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28800" windowHeight="11880"/>
  </bookViews>
  <sheets>
    <sheet name="Calendrier rentrée 2025" sheetId="6" r:id="rId1"/>
    <sheet name="Modifications" sheetId="9" r:id="rId2"/>
    <sheet name="Volume" sheetId="7" state="hidden" r:id="rId3"/>
    <sheet name="Volume Mois" sheetId="8" state="hidden"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6" l="1"/>
  <c r="C8" i="6" s="1"/>
  <c r="C9" i="6" s="1"/>
  <c r="C10" i="6" s="1"/>
  <c r="C11" i="6" s="1"/>
  <c r="Q26" i="8" l="1"/>
  <c r="Q27" i="8"/>
  <c r="Q28" i="8"/>
  <c r="Q29" i="8"/>
  <c r="Q30" i="8"/>
  <c r="Q25" i="8"/>
  <c r="M26" i="8"/>
  <c r="M27" i="8"/>
  <c r="M28" i="8"/>
  <c r="M29" i="8"/>
  <c r="M30" i="8"/>
  <c r="M25" i="8"/>
  <c r="K21" i="8"/>
  <c r="K22" i="8"/>
  <c r="K23" i="8"/>
  <c r="K24" i="8"/>
  <c r="K25" i="8"/>
  <c r="K20" i="8"/>
  <c r="I25" i="8"/>
  <c r="I26" i="8"/>
  <c r="I27" i="8"/>
  <c r="I24" i="8"/>
  <c r="G29" i="8"/>
  <c r="G30" i="8"/>
  <c r="G28" i="8"/>
  <c r="E28" i="8"/>
  <c r="E29" i="8"/>
  <c r="E30" i="8"/>
  <c r="E27" i="8"/>
  <c r="P30" i="8"/>
  <c r="P21" i="8"/>
  <c r="P22" i="8"/>
  <c r="P23" i="8"/>
  <c r="P24" i="8"/>
  <c r="P20" i="8"/>
  <c r="N21" i="8"/>
  <c r="N22" i="8"/>
  <c r="N23" i="8"/>
  <c r="N24" i="8"/>
  <c r="N25" i="8"/>
  <c r="N26" i="8"/>
  <c r="N27" i="8"/>
  <c r="N28" i="8"/>
  <c r="N29" i="8"/>
  <c r="N20" i="8"/>
  <c r="L30" i="8"/>
  <c r="L21" i="8"/>
  <c r="L22" i="8"/>
  <c r="L23" i="8"/>
  <c r="L24" i="8"/>
  <c r="L20" i="8"/>
  <c r="J26" i="8"/>
  <c r="J27" i="8"/>
  <c r="J28" i="8"/>
  <c r="J29" i="8"/>
  <c r="J25" i="8"/>
  <c r="H21" i="8"/>
  <c r="H22" i="8"/>
  <c r="H23" i="8"/>
  <c r="H24" i="8"/>
  <c r="H27" i="8"/>
  <c r="H28" i="8"/>
  <c r="H29" i="8"/>
  <c r="H20" i="8"/>
  <c r="F21" i="8"/>
  <c r="F22" i="8"/>
  <c r="F23" i="8"/>
  <c r="F24" i="8"/>
  <c r="F25" i="8"/>
  <c r="F26" i="8"/>
  <c r="F27" i="8"/>
  <c r="F28" i="8"/>
  <c r="F20" i="8"/>
  <c r="P28" i="7" l="1"/>
  <c r="O28" i="7"/>
  <c r="P27" i="7"/>
  <c r="P26" i="7"/>
  <c r="O26" i="7"/>
  <c r="O25" i="7"/>
  <c r="O24" i="7"/>
  <c r="O23" i="7"/>
  <c r="P22" i="7"/>
  <c r="O22" i="7"/>
  <c r="P21" i="7"/>
  <c r="O20" i="7"/>
  <c r="P19" i="7"/>
  <c r="O19" i="7"/>
  <c r="P18" i="7"/>
  <c r="O18" i="7"/>
  <c r="O17" i="7"/>
  <c r="H28" i="7"/>
  <c r="G28" i="7"/>
  <c r="H27" i="7"/>
  <c r="H26" i="7"/>
  <c r="G26" i="7"/>
  <c r="G25" i="7"/>
  <c r="G24" i="7"/>
  <c r="G23" i="7"/>
  <c r="H22" i="7"/>
  <c r="G22" i="7"/>
  <c r="H21" i="7"/>
  <c r="G20" i="7"/>
  <c r="H19" i="7"/>
  <c r="G19" i="7"/>
  <c r="H18" i="7"/>
  <c r="G18" i="7"/>
  <c r="G17" i="7"/>
  <c r="B16" i="6" l="1"/>
  <c r="C12" i="6"/>
  <c r="C13" i="6" s="1"/>
  <c r="C14" i="6" s="1"/>
  <c r="C15" i="6" s="1"/>
  <c r="C16" i="6" s="1"/>
  <c r="B106" i="6" l="1"/>
  <c r="B111" i="6" s="1"/>
  <c r="B116" i="6" s="1"/>
  <c r="B121" i="6" s="1"/>
  <c r="B126" i="6" s="1"/>
  <c r="B131" i="6" s="1"/>
  <c r="B136" i="6" s="1"/>
  <c r="B141" i="6" s="1"/>
  <c r="B146" i="6" s="1"/>
  <c r="B151" i="6" s="1"/>
  <c r="B156" i="6" s="1"/>
  <c r="B161" i="6" s="1"/>
  <c r="B166" i="6" s="1"/>
  <c r="B171" i="6" s="1"/>
  <c r="B176" i="6" s="1"/>
  <c r="B181" i="6" s="1"/>
  <c r="B186" i="6" s="1"/>
  <c r="B191" i="6" s="1"/>
  <c r="B196" i="6" s="1"/>
  <c r="B201" i="6" s="1"/>
  <c r="B206" i="6" s="1"/>
  <c r="B211" i="6" s="1"/>
  <c r="B216" i="6" s="1"/>
  <c r="B221" i="6" s="1"/>
  <c r="B226" i="6" s="1"/>
  <c r="B231" i="6" s="1"/>
  <c r="B236" i="6" s="1"/>
  <c r="B241" i="6" s="1"/>
  <c r="B246" i="6" s="1"/>
  <c r="B251" i="6" s="1"/>
  <c r="B256" i="6" s="1"/>
  <c r="B21" i="6"/>
  <c r="B26" i="6" s="1"/>
  <c r="B31" i="6" s="1"/>
  <c r="B36" i="6" s="1"/>
  <c r="B41" i="6" s="1"/>
  <c r="B46" i="6" s="1"/>
  <c r="B51" i="6" s="1"/>
  <c r="B56" i="6" s="1"/>
  <c r="B61" i="6" s="1"/>
  <c r="B66" i="6" s="1"/>
  <c r="B71" i="6" s="1"/>
  <c r="B76" i="6" s="1"/>
  <c r="B81" i="6" s="1"/>
  <c r="B86" i="6" s="1"/>
  <c r="B91" i="6" s="1"/>
  <c r="B96" i="6" s="1"/>
  <c r="C21" i="6"/>
  <c r="C26" i="6" s="1"/>
  <c r="C31" i="6" s="1"/>
  <c r="Q28" i="7"/>
  <c r="Q27" i="7"/>
  <c r="Q25" i="7"/>
  <c r="Q24" i="7"/>
  <c r="Q23" i="7"/>
  <c r="Q22" i="7"/>
  <c r="Q21" i="7"/>
  <c r="Q20" i="7"/>
  <c r="Q19" i="7"/>
  <c r="Q18" i="7"/>
  <c r="Q17" i="7"/>
  <c r="N18" i="7"/>
  <c r="N19" i="7"/>
  <c r="N21" i="7"/>
  <c r="N22" i="7"/>
  <c r="N26" i="7"/>
  <c r="N28" i="7"/>
  <c r="N27" i="7"/>
  <c r="M28" i="7"/>
  <c r="M26" i="7"/>
  <c r="M25" i="7"/>
  <c r="M24" i="7"/>
  <c r="M23" i="7"/>
  <c r="M22" i="7"/>
  <c r="M20" i="7"/>
  <c r="M19" i="7"/>
  <c r="M18" i="7"/>
  <c r="M17" i="7"/>
  <c r="K28" i="7"/>
  <c r="K27" i="7"/>
  <c r="K25" i="7"/>
  <c r="K24" i="7"/>
  <c r="K23" i="7"/>
  <c r="K22" i="7"/>
  <c r="K21" i="7"/>
  <c r="K20" i="7"/>
  <c r="K19" i="7"/>
  <c r="K18" i="7"/>
  <c r="K17" i="7"/>
  <c r="I24" i="7"/>
  <c r="I23" i="7"/>
  <c r="I22" i="7"/>
  <c r="I21" i="7"/>
  <c r="I20" i="7"/>
  <c r="I19" i="7"/>
  <c r="I18" i="7"/>
  <c r="I17" i="7"/>
  <c r="D24" i="7"/>
  <c r="D23" i="7"/>
  <c r="F28" i="7"/>
  <c r="F27" i="7"/>
  <c r="F26" i="7"/>
  <c r="F22" i="7"/>
  <c r="F21" i="7"/>
  <c r="F19" i="7"/>
  <c r="F18" i="7"/>
  <c r="E28" i="7"/>
  <c r="E26" i="7"/>
  <c r="E25" i="7"/>
  <c r="E24" i="7"/>
  <c r="E23" i="7"/>
  <c r="E22" i="7"/>
  <c r="E20" i="7"/>
  <c r="E19" i="7"/>
  <c r="E18" i="7"/>
  <c r="E17" i="7"/>
  <c r="C28" i="7"/>
  <c r="C27" i="7"/>
  <c r="C26" i="7"/>
  <c r="C25" i="7"/>
  <c r="C24" i="7"/>
  <c r="C23" i="7"/>
  <c r="C22" i="7"/>
  <c r="C21" i="7"/>
  <c r="C20" i="7"/>
  <c r="C19" i="7"/>
  <c r="C18" i="7"/>
  <c r="C17" i="7"/>
  <c r="C22" i="6" l="1"/>
  <c r="C23" i="6" s="1"/>
  <c r="C24" i="6" s="1"/>
  <c r="C25" i="6" s="1"/>
  <c r="C17" i="6"/>
  <c r="C18" i="6" s="1"/>
  <c r="C19" i="6" s="1"/>
  <c r="C20" i="6" s="1"/>
  <c r="C27" i="6"/>
  <c r="C28" i="6" s="1"/>
  <c r="C29" i="6" s="1"/>
  <c r="C30" i="6" s="1"/>
  <c r="C32" i="6"/>
  <c r="C33" i="6" s="1"/>
  <c r="C34" i="6" s="1"/>
  <c r="C35" i="6" s="1"/>
  <c r="C36" i="6"/>
  <c r="C37" i="6" l="1"/>
  <c r="C38" i="6" s="1"/>
  <c r="C39" i="6" s="1"/>
  <c r="C40" i="6" s="1"/>
  <c r="C41" i="6"/>
  <c r="C42" i="6" l="1"/>
  <c r="C43" i="6" s="1"/>
  <c r="C44" i="6" s="1"/>
  <c r="C45" i="6" s="1"/>
  <c r="C46" i="6"/>
  <c r="C47" i="6" l="1"/>
  <c r="C48" i="6" s="1"/>
  <c r="C49" i="6" s="1"/>
  <c r="C50" i="6" s="1"/>
  <c r="C51" i="6"/>
  <c r="C52" i="6" l="1"/>
  <c r="C53" i="6" s="1"/>
  <c r="C54" i="6" s="1"/>
  <c r="C55" i="6" s="1"/>
  <c r="C56" i="6"/>
  <c r="C61" i="6" l="1"/>
  <c r="C57" i="6"/>
  <c r="C58" i="6" s="1"/>
  <c r="C59" i="6" s="1"/>
  <c r="C60" i="6" s="1"/>
  <c r="C62" i="6" l="1"/>
  <c r="C63" i="6" s="1"/>
  <c r="C64" i="6" s="1"/>
  <c r="C65" i="6" s="1"/>
  <c r="C66" i="6"/>
  <c r="C67" i="6" l="1"/>
  <c r="C68" i="6" s="1"/>
  <c r="C69" i="6" s="1"/>
  <c r="C70" i="6" s="1"/>
  <c r="C71" i="6"/>
  <c r="C72" i="6" l="1"/>
  <c r="C73" i="6" s="1"/>
  <c r="C74" i="6" s="1"/>
  <c r="C75" i="6" s="1"/>
  <c r="C76" i="6"/>
  <c r="C77" i="6" l="1"/>
  <c r="C78" i="6" s="1"/>
  <c r="C79" i="6" s="1"/>
  <c r="C80" i="6" s="1"/>
  <c r="C81" i="6"/>
  <c r="C82" i="6" l="1"/>
  <c r="C83" i="6" s="1"/>
  <c r="C84" i="6" s="1"/>
  <c r="C85" i="6" s="1"/>
  <c r="C86" i="6"/>
  <c r="C87" i="6" l="1"/>
  <c r="C88" i="6" s="1"/>
  <c r="C89" i="6" s="1"/>
  <c r="C90" i="6" s="1"/>
  <c r="C91" i="6"/>
  <c r="C92" i="6" l="1"/>
  <c r="C93" i="6" s="1"/>
  <c r="C94" i="6" s="1"/>
  <c r="C95" i="6" s="1"/>
  <c r="C96" i="6"/>
  <c r="C101" i="6" l="1"/>
  <c r="C97" i="6"/>
  <c r="C98" i="6" s="1"/>
  <c r="C99" i="6" s="1"/>
  <c r="C100" i="6" s="1"/>
  <c r="C106" i="6" l="1"/>
  <c r="C102" i="6"/>
  <c r="C103" i="6" s="1"/>
  <c r="C104" i="6" s="1"/>
  <c r="C105" i="6" s="1"/>
  <c r="C107" i="6" l="1"/>
  <c r="C108" i="6" s="1"/>
  <c r="C109" i="6" s="1"/>
  <c r="C110" i="6" s="1"/>
  <c r="C111" i="6"/>
  <c r="C116" i="6" l="1"/>
  <c r="C112" i="6"/>
  <c r="C113" i="6" s="1"/>
  <c r="C114" i="6" s="1"/>
  <c r="C115" i="6" s="1"/>
  <c r="C117" i="6" l="1"/>
  <c r="C118" i="6" s="1"/>
  <c r="C119" i="6" s="1"/>
  <c r="C120" i="6" s="1"/>
  <c r="C121" i="6"/>
  <c r="C126" i="6" l="1"/>
  <c r="C122" i="6"/>
  <c r="C123" i="6" s="1"/>
  <c r="C124" i="6" s="1"/>
  <c r="C125" i="6" s="1"/>
  <c r="C127" i="6" l="1"/>
  <c r="C128" i="6" s="1"/>
  <c r="C129" i="6" s="1"/>
  <c r="C130" i="6" s="1"/>
  <c r="C131" i="6"/>
  <c r="C136" i="6" l="1"/>
  <c r="C132" i="6"/>
  <c r="C133" i="6" s="1"/>
  <c r="C134" i="6" s="1"/>
  <c r="C135" i="6" s="1"/>
  <c r="C137" i="6" l="1"/>
  <c r="C138" i="6" s="1"/>
  <c r="C139" i="6" s="1"/>
  <c r="C140" i="6" s="1"/>
  <c r="C141" i="6"/>
  <c r="C146" i="6" l="1"/>
  <c r="C142" i="6"/>
  <c r="C143" i="6" s="1"/>
  <c r="C144" i="6" s="1"/>
  <c r="C145" i="6" s="1"/>
  <c r="C147" i="6" l="1"/>
  <c r="C148" i="6" s="1"/>
  <c r="C149" i="6" s="1"/>
  <c r="C150" i="6" s="1"/>
  <c r="C151" i="6"/>
  <c r="C156" i="6" l="1"/>
  <c r="C152" i="6"/>
  <c r="C153" i="6" s="1"/>
  <c r="C154" i="6" s="1"/>
  <c r="C155" i="6" s="1"/>
  <c r="C157" i="6" l="1"/>
  <c r="C158" i="6" s="1"/>
  <c r="C159" i="6" s="1"/>
  <c r="C160" i="6" s="1"/>
  <c r="C161" i="6"/>
  <c r="C166" i="6" l="1"/>
  <c r="C162" i="6"/>
  <c r="C163" i="6" s="1"/>
  <c r="C164" i="6" s="1"/>
  <c r="C165" i="6" s="1"/>
  <c r="C167" i="6" l="1"/>
  <c r="C168" i="6" s="1"/>
  <c r="C169" i="6" s="1"/>
  <c r="C170" i="6" s="1"/>
  <c r="C171" i="6"/>
  <c r="C176" i="6" l="1"/>
  <c r="C172" i="6"/>
  <c r="C173" i="6" s="1"/>
  <c r="C174" i="6" s="1"/>
  <c r="C175" i="6" s="1"/>
  <c r="C177" i="6" l="1"/>
  <c r="C178" i="6" s="1"/>
  <c r="C179" i="6" s="1"/>
  <c r="C180" i="6" s="1"/>
  <c r="C181" i="6"/>
  <c r="C186" i="6" l="1"/>
  <c r="C182" i="6"/>
  <c r="C183" i="6" s="1"/>
  <c r="C184" i="6" s="1"/>
  <c r="C185" i="6" s="1"/>
  <c r="C187" i="6" l="1"/>
  <c r="C188" i="6" s="1"/>
  <c r="C189" i="6" s="1"/>
  <c r="C190" i="6" s="1"/>
  <c r="C191" i="6"/>
  <c r="C196" i="6" l="1"/>
  <c r="C192" i="6"/>
  <c r="C193" i="6" s="1"/>
  <c r="C194" i="6" s="1"/>
  <c r="C195" i="6" s="1"/>
  <c r="C197" i="6" l="1"/>
  <c r="C198" i="6" s="1"/>
  <c r="C199" i="6" s="1"/>
  <c r="C200" i="6" s="1"/>
  <c r="C201" i="6"/>
  <c r="C206" i="6" l="1"/>
  <c r="C202" i="6"/>
  <c r="C203" i="6" s="1"/>
  <c r="C204" i="6" s="1"/>
  <c r="C205" i="6" s="1"/>
  <c r="C207" i="6" l="1"/>
  <c r="C208" i="6" s="1"/>
  <c r="C209" i="6" s="1"/>
  <c r="C210" i="6" s="1"/>
  <c r="C211" i="6"/>
  <c r="C216" i="6" l="1"/>
  <c r="C212" i="6"/>
  <c r="C213" i="6" s="1"/>
  <c r="C214" i="6" s="1"/>
  <c r="C215" i="6" s="1"/>
  <c r="C217" i="6" l="1"/>
  <c r="C218" i="6" s="1"/>
  <c r="C219" i="6" s="1"/>
  <c r="C220" i="6" s="1"/>
  <c r="C221" i="6"/>
  <c r="C226" i="6" l="1"/>
  <c r="C222" i="6"/>
  <c r="C223" i="6" s="1"/>
  <c r="C224" i="6" s="1"/>
  <c r="C225" i="6" s="1"/>
  <c r="C227" i="6" l="1"/>
  <c r="C228" i="6" s="1"/>
  <c r="C229" i="6" s="1"/>
  <c r="C230" i="6" s="1"/>
  <c r="C231" i="6"/>
  <c r="C236" i="6" l="1"/>
  <c r="C232" i="6"/>
  <c r="C233" i="6" s="1"/>
  <c r="C234" i="6" s="1"/>
  <c r="C235" i="6" s="1"/>
  <c r="C237" i="6" l="1"/>
  <c r="C238" i="6" s="1"/>
  <c r="C239" i="6" s="1"/>
  <c r="C240" i="6" s="1"/>
  <c r="C241" i="6"/>
  <c r="C246" i="6" l="1"/>
  <c r="C242" i="6"/>
  <c r="C243" i="6" s="1"/>
  <c r="C244" i="6" s="1"/>
  <c r="C245" i="6" s="1"/>
  <c r="C247" i="6" l="1"/>
  <c r="C248" i="6" s="1"/>
  <c r="C249" i="6" s="1"/>
  <c r="C250" i="6" s="1"/>
  <c r="C251" i="6"/>
  <c r="C256" i="6" l="1"/>
  <c r="C252" i="6"/>
  <c r="C253" i="6" s="1"/>
  <c r="C254" i="6" s="1"/>
  <c r="C255" i="6" s="1"/>
  <c r="C257" i="6" l="1"/>
  <c r="C258" i="6" s="1"/>
  <c r="C259" i="6" s="1"/>
  <c r="C260" i="6" s="1"/>
</calcChain>
</file>

<file path=xl/comments1.xml><?xml version="1.0" encoding="utf-8"?>
<comments xmlns="http://schemas.openxmlformats.org/spreadsheetml/2006/main">
  <authors>
    <author>Auteur</author>
  </authors>
  <commentList>
    <comment ref="N21" authorId="0" shapeId="0">
      <text>
        <r>
          <rPr>
            <b/>
            <sz val="9"/>
            <color indexed="81"/>
            <rFont val="Tahoma"/>
            <family val="2"/>
          </rPr>
          <t>Auteur:</t>
        </r>
        <r>
          <rPr>
            <sz val="9"/>
            <color indexed="81"/>
            <rFont val="Tahoma"/>
            <family val="2"/>
          </rPr>
          <t xml:space="preserve">
A planifier idéalement sur cette semaine</t>
        </r>
      </text>
    </comment>
    <comment ref="R21" authorId="0" shapeId="0">
      <text>
        <r>
          <rPr>
            <b/>
            <sz val="9"/>
            <color indexed="81"/>
            <rFont val="Tahoma"/>
            <family val="2"/>
          </rPr>
          <t>Auteur:</t>
        </r>
        <r>
          <rPr>
            <sz val="9"/>
            <color indexed="81"/>
            <rFont val="Tahoma"/>
            <family val="2"/>
          </rPr>
          <t xml:space="preserve">
A planifier idéalement sur cette semaine</t>
        </r>
      </text>
    </comment>
    <comment ref="T21" authorId="0" shapeId="0">
      <text>
        <r>
          <rPr>
            <b/>
            <sz val="9"/>
            <color indexed="81"/>
            <rFont val="Tahoma"/>
            <family val="2"/>
          </rPr>
          <t>Auteur:</t>
        </r>
        <r>
          <rPr>
            <sz val="9"/>
            <color indexed="81"/>
            <rFont val="Tahoma"/>
            <family val="2"/>
          </rPr>
          <t xml:space="preserve">
A planifier idéalement sur cette semaine</t>
        </r>
      </text>
    </comment>
    <comment ref="EF41" authorId="0" shapeId="0">
      <text>
        <r>
          <rPr>
            <b/>
            <sz val="9"/>
            <color indexed="81"/>
            <rFont val="Tahoma"/>
            <family val="2"/>
          </rPr>
          <t>Auteur :</t>
        </r>
        <r>
          <rPr>
            <sz val="9"/>
            <color indexed="81"/>
            <rFont val="Tahoma"/>
            <family val="2"/>
          </rPr>
          <t xml:space="preserve">
Hors campus</t>
        </r>
      </text>
    </comment>
    <comment ref="AS53" authorId="0" shapeId="0">
      <text>
        <r>
          <rPr>
            <b/>
            <sz val="9"/>
            <color indexed="81"/>
            <rFont val="Tahoma"/>
            <family val="2"/>
          </rPr>
          <t>Auteur:</t>
        </r>
        <r>
          <rPr>
            <sz val="9"/>
            <color indexed="81"/>
            <rFont val="Tahoma"/>
            <family val="2"/>
          </rPr>
          <t xml:space="preserve">
Double soutenance : scientifique et développement durable</t>
        </r>
      </text>
    </comment>
    <comment ref="AL54" authorId="0" shapeId="0">
      <text>
        <r>
          <rPr>
            <b/>
            <sz val="9"/>
            <color indexed="81"/>
            <rFont val="Tahoma"/>
            <charset val="1"/>
          </rPr>
          <t>Auteur:</t>
        </r>
        <r>
          <rPr>
            <sz val="9"/>
            <color indexed="81"/>
            <rFont val="Tahoma"/>
            <charset val="1"/>
          </rPr>
          <t xml:space="preserve">
Sauf S3E</t>
        </r>
      </text>
    </comment>
    <comment ref="AB55" authorId="0" shapeId="0">
      <text>
        <r>
          <rPr>
            <b/>
            <sz val="9"/>
            <color indexed="81"/>
            <rFont val="Tahoma"/>
            <family val="2"/>
          </rPr>
          <t>Auteur:</t>
        </r>
        <r>
          <rPr>
            <sz val="9"/>
            <color indexed="81"/>
            <rFont val="Tahoma"/>
            <family val="2"/>
          </rPr>
          <t xml:space="preserve">
G &amp; BTP uniquement</t>
        </r>
      </text>
    </comment>
    <comment ref="AL55" authorId="0" shapeId="0">
      <text>
        <r>
          <rPr>
            <b/>
            <sz val="9"/>
            <color indexed="81"/>
            <rFont val="Tahoma"/>
            <family val="2"/>
          </rPr>
          <t>Auteur:</t>
        </r>
        <r>
          <rPr>
            <sz val="9"/>
            <color indexed="81"/>
            <rFont val="Tahoma"/>
            <family val="2"/>
          </rPr>
          <t xml:space="preserve">
G &amp; BTP uniquement</t>
        </r>
      </text>
    </comment>
    <comment ref="AL61" authorId="0" shapeId="0">
      <text>
        <r>
          <rPr>
            <b/>
            <sz val="9"/>
            <color indexed="81"/>
            <rFont val="Tahoma"/>
            <family val="2"/>
          </rPr>
          <t>Auteur:</t>
        </r>
        <r>
          <rPr>
            <sz val="9"/>
            <color indexed="81"/>
            <rFont val="Tahoma"/>
            <family val="2"/>
          </rPr>
          <t xml:space="preserve">
Info &amp; S3E uniquement</t>
        </r>
      </text>
    </comment>
    <comment ref="DP61" authorId="0" shapeId="0">
      <text>
        <r>
          <rPr>
            <b/>
            <sz val="9"/>
            <color indexed="81"/>
            <rFont val="Tahoma"/>
            <family val="2"/>
          </rPr>
          <t>Auteur:</t>
        </r>
        <r>
          <rPr>
            <sz val="9"/>
            <color indexed="81"/>
            <rFont val="Tahoma"/>
            <family val="2"/>
          </rPr>
          <t xml:space="preserve">
Possibilité de décaler le bloc d'une semaine en remontant l'ILW semaine du 3 novembre pour synchroniser avec BTP et informatique</t>
        </r>
      </text>
    </comment>
    <comment ref="C66" authorId="0" shapeId="0">
      <text>
        <r>
          <rPr>
            <b/>
            <sz val="9"/>
            <color indexed="81"/>
            <rFont val="Tahoma"/>
            <family val="2"/>
          </rPr>
          <t>Auteur:</t>
        </r>
        <r>
          <rPr>
            <sz val="9"/>
            <color indexed="81"/>
            <rFont val="Tahoma"/>
            <family val="2"/>
          </rPr>
          <t xml:space="preserve">
RTT</t>
        </r>
      </text>
    </comment>
    <comment ref="EL67" authorId="0" shapeId="0">
      <text>
        <r>
          <rPr>
            <b/>
            <sz val="9"/>
            <color indexed="81"/>
            <rFont val="Tahoma"/>
            <family val="2"/>
          </rPr>
          <t xml:space="preserve">Auteur :
</t>
        </r>
        <r>
          <rPr>
            <sz val="9"/>
            <color indexed="81"/>
            <rFont val="Tahoma"/>
            <family val="2"/>
          </rPr>
          <t>Pour les étudiants n'ayant pas pu passer le test en A4 (2022-23)</t>
        </r>
      </text>
    </comment>
    <comment ref="AS75" authorId="0" shapeId="0">
      <text>
        <r>
          <rPr>
            <b/>
            <sz val="9"/>
            <color indexed="81"/>
            <rFont val="Tahoma"/>
            <family val="2"/>
          </rPr>
          <t>Auteur:</t>
        </r>
        <r>
          <rPr>
            <sz val="9"/>
            <color indexed="81"/>
            <rFont val="Tahoma"/>
            <family val="2"/>
          </rPr>
          <t xml:space="preserve">
Double soutenance : scientifique et écoconception</t>
        </r>
      </text>
    </comment>
    <comment ref="AL84" authorId="0" shapeId="0">
      <text>
        <r>
          <rPr>
            <b/>
            <sz val="9"/>
            <color indexed="81"/>
            <rFont val="Tahoma"/>
            <charset val="1"/>
          </rPr>
          <t>Auteur:</t>
        </r>
        <r>
          <rPr>
            <sz val="9"/>
            <color indexed="81"/>
            <rFont val="Tahoma"/>
            <charset val="1"/>
          </rPr>
          <t xml:space="preserve">
BTP &amp; Généralistes uniquement</t>
        </r>
      </text>
    </comment>
    <comment ref="AL85" authorId="0" shapeId="0">
      <text>
        <r>
          <rPr>
            <b/>
            <sz val="9"/>
            <color indexed="81"/>
            <rFont val="Tahoma"/>
            <family val="2"/>
          </rPr>
          <t>Auteur:</t>
        </r>
        <r>
          <rPr>
            <sz val="9"/>
            <color indexed="81"/>
            <rFont val="Tahoma"/>
            <family val="2"/>
          </rPr>
          <t xml:space="preserve">
G &amp; BTP uniquement</t>
        </r>
      </text>
    </comment>
    <comment ref="AL86" authorId="0" shapeId="0">
      <text>
        <r>
          <rPr>
            <b/>
            <sz val="9"/>
            <color indexed="81"/>
            <rFont val="Tahoma"/>
            <family val="2"/>
          </rPr>
          <t>Auteur:</t>
        </r>
        <r>
          <rPr>
            <sz val="9"/>
            <color indexed="81"/>
            <rFont val="Tahoma"/>
            <family val="2"/>
          </rPr>
          <t xml:space="preserve">
Info &amp; S3E uniquement</t>
        </r>
      </text>
    </comment>
    <comment ref="CI9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Attention : retour en entreprise (pour respecter les 1800h)</t>
        </r>
      </text>
    </comment>
    <comment ref="C98" authorId="0" shapeId="0">
      <text>
        <r>
          <rPr>
            <b/>
            <sz val="9"/>
            <color indexed="81"/>
            <rFont val="Tahoma"/>
            <family val="2"/>
          </rPr>
          <t>Auteur:</t>
        </r>
        <r>
          <rPr>
            <sz val="9"/>
            <color indexed="81"/>
            <rFont val="Tahoma"/>
            <family val="2"/>
          </rPr>
          <t xml:space="preserve">
RTT</t>
        </r>
      </text>
    </comment>
    <comment ref="BZ106" authorId="0" shapeId="0">
      <text>
        <r>
          <rPr>
            <b/>
            <sz val="9"/>
            <color indexed="81"/>
            <rFont val="Tahoma"/>
            <family val="2"/>
          </rPr>
          <t>Auteur :</t>
        </r>
        <r>
          <rPr>
            <sz val="9"/>
            <color indexed="81"/>
            <rFont val="Tahoma"/>
            <family val="2"/>
          </rPr>
          <t xml:space="preserve">
Pour les étudiant·e·s ne l'ayant pas validé en A4</t>
        </r>
      </text>
    </comment>
    <comment ref="AL114" authorId="0" shapeId="0">
      <text>
        <r>
          <rPr>
            <b/>
            <sz val="9"/>
            <color indexed="81"/>
            <rFont val="Tahoma"/>
            <charset val="1"/>
          </rPr>
          <t>Auteur:</t>
        </r>
        <r>
          <rPr>
            <sz val="9"/>
            <color indexed="81"/>
            <rFont val="Tahoma"/>
            <charset val="1"/>
          </rPr>
          <t xml:space="preserve">
Pas Généralistes
Rattrapages : uniquement BTP&amp;Généraliste</t>
        </r>
      </text>
    </comment>
    <comment ref="AL120" authorId="0" shapeId="0">
      <text>
        <r>
          <rPr>
            <b/>
            <sz val="9"/>
            <color indexed="81"/>
            <rFont val="Tahoma"/>
            <family val="2"/>
          </rPr>
          <t>Auteur:</t>
        </r>
        <r>
          <rPr>
            <sz val="9"/>
            <color indexed="81"/>
            <rFont val="Tahoma"/>
            <family val="2"/>
          </rPr>
          <t xml:space="preserve">
S3E uniquement</t>
        </r>
      </text>
    </comment>
    <comment ref="AL121" authorId="0" shapeId="0">
      <text>
        <r>
          <rPr>
            <b/>
            <sz val="9"/>
            <color indexed="81"/>
            <rFont val="Tahoma"/>
            <family val="2"/>
          </rPr>
          <t>Auteur:</t>
        </r>
        <r>
          <rPr>
            <sz val="9"/>
            <color indexed="81"/>
            <rFont val="Tahoma"/>
            <family val="2"/>
          </rPr>
          <t xml:space="preserve">
Info uniquement</t>
        </r>
      </text>
    </comment>
    <comment ref="AC126" authorId="0" shapeId="0">
      <text>
        <r>
          <rPr>
            <b/>
            <sz val="9"/>
            <color indexed="81"/>
            <rFont val="Tahoma"/>
            <charset val="1"/>
          </rPr>
          <t>Auteur:</t>
        </r>
        <r>
          <rPr>
            <sz val="9"/>
            <color indexed="81"/>
            <rFont val="Tahoma"/>
            <charset val="1"/>
          </rPr>
          <t xml:space="preserve">
S3E &amp; Informatique
</t>
        </r>
      </text>
    </comment>
    <comment ref="AM126" authorId="0" shapeId="0">
      <text>
        <r>
          <rPr>
            <b/>
            <sz val="9"/>
            <color indexed="81"/>
            <rFont val="Tahoma"/>
            <charset val="1"/>
          </rPr>
          <t>Auteur:</t>
        </r>
        <r>
          <rPr>
            <sz val="9"/>
            <color indexed="81"/>
            <rFont val="Tahoma"/>
            <charset val="1"/>
          </rPr>
          <t xml:space="preserve">
S3E &amp; Informatique
</t>
        </r>
      </text>
    </comment>
    <comment ref="AL129" authorId="0" shapeId="0">
      <text>
        <r>
          <rPr>
            <b/>
            <sz val="9"/>
            <color indexed="81"/>
            <rFont val="Tahoma"/>
            <charset val="1"/>
          </rPr>
          <t>Auteur:</t>
        </r>
        <r>
          <rPr>
            <sz val="9"/>
            <color indexed="81"/>
            <rFont val="Tahoma"/>
            <charset val="1"/>
          </rPr>
          <t xml:space="preserve">
Pas Généralistes</t>
        </r>
      </text>
    </comment>
    <comment ref="AL131" authorId="0" shapeId="0">
      <text>
        <r>
          <rPr>
            <b/>
            <sz val="9"/>
            <color indexed="81"/>
            <rFont val="Tahoma"/>
            <family val="2"/>
          </rPr>
          <t>Auteur:</t>
        </r>
        <r>
          <rPr>
            <sz val="9"/>
            <color indexed="81"/>
            <rFont val="Tahoma"/>
            <family val="2"/>
          </rPr>
          <t xml:space="preserve">
G &amp; BTP uniquement</t>
        </r>
      </text>
    </comment>
    <comment ref="CU131" authorId="0" shapeId="0">
      <text>
        <r>
          <rPr>
            <b/>
            <sz val="9"/>
            <color indexed="81"/>
            <rFont val="Tahoma"/>
            <family val="2"/>
          </rPr>
          <t>Auteur:</t>
        </r>
        <r>
          <rPr>
            <sz val="9"/>
            <color indexed="81"/>
            <rFont val="Tahoma"/>
            <family val="2"/>
          </rPr>
          <t xml:space="preserve">
Dernière année en A5</t>
        </r>
      </text>
    </comment>
    <comment ref="AL134" authorId="0" shapeId="0">
      <text>
        <r>
          <rPr>
            <b/>
            <sz val="9"/>
            <color indexed="81"/>
            <rFont val="Tahoma"/>
            <charset val="1"/>
          </rPr>
          <t>Auteur:</t>
        </r>
        <r>
          <rPr>
            <sz val="9"/>
            <color indexed="81"/>
            <rFont val="Tahoma"/>
            <charset val="1"/>
          </rPr>
          <t xml:space="preserve">
BTP &amp; Généralistes uniquement
Rattrapage BIM pour BTP le matin</t>
        </r>
      </text>
    </comment>
    <comment ref="CE150" authorId="0" shapeId="0">
      <text>
        <r>
          <rPr>
            <b/>
            <sz val="9"/>
            <color indexed="81"/>
            <rFont val="Tahoma"/>
            <family val="2"/>
          </rPr>
          <t>Auteur:</t>
        </r>
        <r>
          <rPr>
            <sz val="9"/>
            <color indexed="81"/>
            <rFont val="Tahoma"/>
            <family val="2"/>
          </rPr>
          <t xml:space="preserve">
En anglais</t>
        </r>
      </text>
    </comment>
    <comment ref="CF151" authorId="0" shapeId="0">
      <text>
        <r>
          <rPr>
            <b/>
            <sz val="9"/>
            <color indexed="81"/>
            <rFont val="Tahoma"/>
            <family val="2"/>
          </rPr>
          <t>Auteur :</t>
        </r>
        <r>
          <rPr>
            <sz val="9"/>
            <color indexed="81"/>
            <rFont val="Tahoma"/>
            <family val="2"/>
          </rPr>
          <t xml:space="preserve">
Pour les étudiant·e·s ne l'ayant pas validé en A4</t>
        </r>
      </text>
    </comment>
    <comment ref="AL154" authorId="0" shapeId="0">
      <text>
        <r>
          <rPr>
            <b/>
            <sz val="9"/>
            <color indexed="81"/>
            <rFont val="Tahoma"/>
            <charset val="1"/>
          </rPr>
          <t>Auteur:</t>
        </r>
        <r>
          <rPr>
            <sz val="9"/>
            <color indexed="81"/>
            <rFont val="Tahoma"/>
            <charset val="1"/>
          </rPr>
          <t xml:space="preserve">
BTP &amp; Informatique uniquement</t>
        </r>
      </text>
    </comment>
    <comment ref="AL158" authorId="0" shapeId="0">
      <text>
        <r>
          <rPr>
            <b/>
            <sz val="9"/>
            <color indexed="81"/>
            <rFont val="Tahoma"/>
            <family val="2"/>
          </rPr>
          <t>Auteur:</t>
        </r>
        <r>
          <rPr>
            <sz val="9"/>
            <color indexed="81"/>
            <rFont val="Tahoma"/>
            <family val="2"/>
          </rPr>
          <t xml:space="preserve">
S3E uniquement</t>
        </r>
      </text>
    </comment>
    <comment ref="M159" authorId="0" shapeId="0">
      <text>
        <r>
          <rPr>
            <b/>
            <sz val="9"/>
            <color indexed="81"/>
            <rFont val="Tahoma"/>
            <family val="2"/>
          </rPr>
          <t>Auteur:</t>
        </r>
        <r>
          <rPr>
            <sz val="9"/>
            <color indexed="81"/>
            <rFont val="Tahoma"/>
            <family val="2"/>
          </rPr>
          <t xml:space="preserve">
Rattrapage de Mathématiques le matin en plus de l'après-midi</t>
        </r>
      </text>
    </comment>
    <comment ref="R159" authorId="0" shapeId="0">
      <text>
        <r>
          <rPr>
            <b/>
            <sz val="9"/>
            <color indexed="81"/>
            <rFont val="Tahoma"/>
            <family val="2"/>
          </rPr>
          <t>Auteur:</t>
        </r>
        <r>
          <rPr>
            <sz val="9"/>
            <color indexed="81"/>
            <rFont val="Tahoma"/>
            <family val="2"/>
          </rPr>
          <t xml:space="preserve">
Rattrapage de Mathématiques le matin en plus de l'après-midi</t>
        </r>
      </text>
    </comment>
    <comment ref="T159" authorId="0" shapeId="0">
      <text>
        <r>
          <rPr>
            <b/>
            <sz val="9"/>
            <color indexed="81"/>
            <rFont val="Tahoma"/>
            <family val="2"/>
          </rPr>
          <t>Auteur:</t>
        </r>
        <r>
          <rPr>
            <sz val="9"/>
            <color indexed="81"/>
            <rFont val="Tahoma"/>
            <family val="2"/>
          </rPr>
          <t xml:space="preserve">
Rattrapage de Mathématiques le matin en plus de l'après-midi</t>
        </r>
      </text>
    </comment>
    <comment ref="AL170" authorId="0" shapeId="0">
      <text>
        <r>
          <rPr>
            <b/>
            <sz val="9"/>
            <color indexed="81"/>
            <rFont val="Tahoma"/>
            <family val="2"/>
          </rPr>
          <t>Auteur:</t>
        </r>
        <r>
          <rPr>
            <sz val="9"/>
            <color indexed="81"/>
            <rFont val="Tahoma"/>
            <family val="2"/>
          </rPr>
          <t xml:space="preserve">
Pas pour S3E</t>
        </r>
      </text>
    </comment>
    <comment ref="EE176" authorId="0" shapeId="0">
      <text>
        <r>
          <rPr>
            <b/>
            <sz val="9"/>
            <color indexed="81"/>
            <rFont val="Tahoma"/>
            <family val="2"/>
          </rPr>
          <t>Auteur:</t>
        </r>
        <r>
          <rPr>
            <sz val="9"/>
            <color indexed="81"/>
            <rFont val="Tahoma"/>
            <family val="2"/>
          </rPr>
          <t xml:space="preserve">
Certification le matin
Lancement du projet ensuite</t>
        </r>
      </text>
    </comment>
    <comment ref="BF186" authorId="0" shapeId="0">
      <text>
        <r>
          <rPr>
            <b/>
            <sz val="9"/>
            <color indexed="81"/>
            <rFont val="Tahoma"/>
            <family val="2"/>
          </rPr>
          <t>Auteur:</t>
        </r>
        <r>
          <rPr>
            <sz val="9"/>
            <color indexed="81"/>
            <rFont val="Tahoma"/>
            <family val="2"/>
          </rPr>
          <t xml:space="preserve">
ADS</t>
        </r>
      </text>
    </comment>
    <comment ref="BL186" authorId="0" shapeId="0">
      <text>
        <r>
          <rPr>
            <b/>
            <sz val="9"/>
            <color indexed="81"/>
            <rFont val="Tahoma"/>
            <family val="2"/>
          </rPr>
          <t>Auteur:</t>
        </r>
        <r>
          <rPr>
            <sz val="9"/>
            <color indexed="81"/>
            <rFont val="Tahoma"/>
            <family val="2"/>
          </rPr>
          <t xml:space="preserve">
ADS</t>
        </r>
      </text>
    </comment>
    <comment ref="BT186" authorId="0" shapeId="0">
      <text>
        <r>
          <rPr>
            <b/>
            <sz val="9"/>
            <color indexed="81"/>
            <rFont val="Tahoma"/>
            <family val="2"/>
          </rPr>
          <t>Auteur:</t>
        </r>
        <r>
          <rPr>
            <sz val="9"/>
            <color indexed="81"/>
            <rFont val="Tahoma"/>
            <family val="2"/>
          </rPr>
          <t xml:space="preserve">
ADS</t>
        </r>
      </text>
    </comment>
    <comment ref="EE186" authorId="0" shapeId="0">
      <text>
        <r>
          <rPr>
            <b/>
            <sz val="9"/>
            <color indexed="81"/>
            <rFont val="Tahoma"/>
            <family val="2"/>
          </rPr>
          <t>Auteur:</t>
        </r>
        <r>
          <rPr>
            <sz val="9"/>
            <color indexed="81"/>
            <rFont val="Tahoma"/>
            <family val="2"/>
          </rPr>
          <t xml:space="preserve">
Certification</t>
        </r>
      </text>
    </comment>
    <comment ref="DX191" authorId="0" shapeId="0">
      <text>
        <r>
          <rPr>
            <b/>
            <sz val="9"/>
            <color indexed="81"/>
            <rFont val="Tahoma"/>
            <family val="2"/>
          </rPr>
          <t>Auteur:</t>
        </r>
        <r>
          <rPr>
            <sz val="9"/>
            <color indexed="81"/>
            <rFont val="Tahoma"/>
            <family val="2"/>
          </rPr>
          <t xml:space="preserve">
Kick off Projet Algo
</t>
        </r>
      </text>
    </comment>
    <comment ref="C200" authorId="0" shapeId="0">
      <text>
        <r>
          <rPr>
            <b/>
            <sz val="9"/>
            <color indexed="81"/>
            <rFont val="Tahoma"/>
            <family val="2"/>
          </rPr>
          <t>Auteur:</t>
        </r>
        <r>
          <rPr>
            <sz val="9"/>
            <color indexed="81"/>
            <rFont val="Tahoma"/>
            <family val="2"/>
          </rPr>
          <t xml:space="preserve">
RTT</t>
        </r>
      </text>
    </comment>
    <comment ref="AZ201" authorId="0" shapeId="0">
      <text>
        <r>
          <rPr>
            <b/>
            <sz val="9"/>
            <color indexed="81"/>
            <rFont val="Tahoma"/>
            <family val="2"/>
          </rPr>
          <t>Auteur:</t>
        </r>
        <r>
          <rPr>
            <sz val="9"/>
            <color indexed="81"/>
            <rFont val="Tahoma"/>
            <family val="2"/>
          </rPr>
          <t xml:space="preserve">
En français (à partir de la rentrée 2023).</t>
        </r>
      </text>
    </comment>
    <comment ref="K207" authorId="0" shapeId="0">
      <text>
        <r>
          <rPr>
            <b/>
            <sz val="9"/>
            <color indexed="81"/>
            <rFont val="Tahoma"/>
            <charset val="1"/>
          </rPr>
          <t>Auteur:</t>
        </r>
        <r>
          <rPr>
            <sz val="9"/>
            <color indexed="81"/>
            <rFont val="Tahoma"/>
            <charset val="1"/>
          </rPr>
          <t xml:space="preserve">
Séquence de formalisation de choix de la mineure</t>
        </r>
      </text>
    </comment>
    <comment ref="U207" authorId="0" shapeId="0">
      <text>
        <r>
          <rPr>
            <b/>
            <sz val="9"/>
            <color indexed="81"/>
            <rFont val="Tahoma"/>
            <charset val="1"/>
          </rPr>
          <t>Auteur:</t>
        </r>
        <r>
          <rPr>
            <sz val="9"/>
            <color indexed="81"/>
            <rFont val="Tahoma"/>
            <charset val="1"/>
          </rPr>
          <t xml:space="preserve">
Séquence de formalisation de choix de la mineure</t>
        </r>
      </text>
    </comment>
    <comment ref="AR207" authorId="0" shapeId="0">
      <text>
        <r>
          <rPr>
            <b/>
            <sz val="9"/>
            <color indexed="81"/>
            <rFont val="Tahoma"/>
            <family val="2"/>
          </rPr>
          <t>Auteur:</t>
        </r>
        <r>
          <rPr>
            <sz val="9"/>
            <color indexed="81"/>
            <rFont val="Tahoma"/>
            <family val="2"/>
          </rPr>
          <t xml:space="preserve">
Kickoff Projet</t>
        </r>
      </text>
    </comment>
    <comment ref="BD211" authorId="0" shapeId="0">
      <text>
        <r>
          <rPr>
            <b/>
            <sz val="9"/>
            <color indexed="81"/>
            <rFont val="Tahoma"/>
            <family val="2"/>
          </rPr>
          <t>Auteur:</t>
        </r>
        <r>
          <rPr>
            <sz val="9"/>
            <color indexed="81"/>
            <rFont val="Tahoma"/>
            <family val="2"/>
          </rPr>
          <t xml:space="preserve">
Spécifique FISE</t>
        </r>
      </text>
    </comment>
    <comment ref="BJ211" authorId="0" shapeId="0">
      <text>
        <r>
          <rPr>
            <b/>
            <sz val="9"/>
            <color indexed="81"/>
            <rFont val="Tahoma"/>
            <family val="2"/>
          </rPr>
          <t>Auteur:</t>
        </r>
        <r>
          <rPr>
            <sz val="9"/>
            <color indexed="81"/>
            <rFont val="Tahoma"/>
            <family val="2"/>
          </rPr>
          <t xml:space="preserve">
Spécifique FISE</t>
        </r>
      </text>
    </comment>
    <comment ref="CR211" authorId="0" shapeId="0">
      <text>
        <r>
          <rPr>
            <b/>
            <sz val="9"/>
            <color indexed="81"/>
            <rFont val="Tahoma"/>
            <family val="2"/>
          </rPr>
          <t>Auteur:</t>
        </r>
        <r>
          <rPr>
            <sz val="9"/>
            <color indexed="81"/>
            <rFont val="Tahoma"/>
            <family val="2"/>
          </rPr>
          <t xml:space="preserve">
Retour uniquement pour la soutenance</t>
        </r>
      </text>
    </comment>
    <comment ref="DE211" authorId="0" shapeId="0">
      <text>
        <r>
          <rPr>
            <b/>
            <sz val="9"/>
            <color indexed="81"/>
            <rFont val="Tahoma"/>
            <family val="2"/>
          </rPr>
          <t>Auteur:</t>
        </r>
        <r>
          <rPr>
            <sz val="9"/>
            <color indexed="81"/>
            <rFont val="Tahoma"/>
            <family val="2"/>
          </rPr>
          <t xml:space="preserve">
Kick off Projet Algo
</t>
        </r>
      </text>
    </comment>
    <comment ref="DM211" authorId="0" shapeId="0">
      <text>
        <r>
          <rPr>
            <b/>
            <sz val="9"/>
            <color indexed="81"/>
            <rFont val="Tahoma"/>
            <family val="2"/>
          </rPr>
          <t>Auteur:</t>
        </r>
        <r>
          <rPr>
            <sz val="9"/>
            <color indexed="81"/>
            <rFont val="Tahoma"/>
            <family val="2"/>
          </rPr>
          <t xml:space="preserve">
Présence uniquement pour la soutenance</t>
        </r>
      </text>
    </comment>
    <comment ref="EF211" authorId="0" shapeId="0">
      <text>
        <r>
          <rPr>
            <b/>
            <sz val="9"/>
            <color indexed="81"/>
            <rFont val="Tahoma"/>
            <family val="2"/>
          </rPr>
          <t>Auteur:</t>
        </r>
        <r>
          <rPr>
            <sz val="9"/>
            <color indexed="81"/>
            <rFont val="Tahoma"/>
            <family val="2"/>
          </rPr>
          <t xml:space="preserve">
Présence uniquement pour la soutenance</t>
        </r>
      </text>
    </comment>
    <comment ref="CK230" authorId="0" shapeId="0">
      <text>
        <r>
          <rPr>
            <b/>
            <sz val="9"/>
            <color indexed="81"/>
            <rFont val="Tahoma"/>
            <family val="2"/>
          </rPr>
          <t>Auteur :</t>
        </r>
        <r>
          <rPr>
            <sz val="9"/>
            <color indexed="81"/>
            <rFont val="Tahoma"/>
            <family val="2"/>
          </rPr>
          <t xml:space="preserve">
Soutenance en français à partir de la rentrée 2023.</t>
        </r>
      </text>
    </comment>
    <comment ref="C241" authorId="0" shapeId="0">
      <text>
        <r>
          <rPr>
            <b/>
            <sz val="9"/>
            <color indexed="81"/>
            <rFont val="Tahoma"/>
            <family val="2"/>
          </rPr>
          <t>Auteur:</t>
        </r>
        <r>
          <rPr>
            <sz val="9"/>
            <color indexed="81"/>
            <rFont val="Tahoma"/>
            <family val="2"/>
          </rPr>
          <t xml:space="preserve">
RTT</t>
        </r>
      </text>
    </comment>
  </commentList>
</comments>
</file>

<file path=xl/sharedStrings.xml><?xml version="1.0" encoding="utf-8"?>
<sst xmlns="http://schemas.openxmlformats.org/spreadsheetml/2006/main" count="2001" uniqueCount="467">
  <si>
    <t>A1</t>
  </si>
  <si>
    <t>A2</t>
  </si>
  <si>
    <t>A2 - Généraliste</t>
  </si>
  <si>
    <t>A2 - BTP</t>
  </si>
  <si>
    <t>A2 - S3E</t>
  </si>
  <si>
    <t>A2 - informatique</t>
  </si>
  <si>
    <t>Toutes spécialités</t>
  </si>
  <si>
    <t xml:space="preserve">A3 FISE Généraliste </t>
  </si>
  <si>
    <t xml:space="preserve">A4 FISE Généraliste </t>
  </si>
  <si>
    <t>FISA Info A3</t>
  </si>
  <si>
    <t>FISA Info A4</t>
  </si>
  <si>
    <t>FISA Info A5</t>
  </si>
  <si>
    <t xml:space="preserve">A3 FISA Généraliste </t>
  </si>
  <si>
    <t xml:space="preserve">A4 FISA Généraliste </t>
  </si>
  <si>
    <t xml:space="preserve">A5 FISA Généraliste </t>
  </si>
  <si>
    <t xml:space="preserve">A3 FISA BTP </t>
  </si>
  <si>
    <t xml:space="preserve">A4 FISA BTP </t>
  </si>
  <si>
    <t xml:space="preserve">A5 FISA BTP </t>
  </si>
  <si>
    <t>Echéancier</t>
  </si>
  <si>
    <t>Découpage blocs/projets</t>
  </si>
  <si>
    <r>
      <t xml:space="preserve">Nombre </t>
    </r>
    <r>
      <rPr>
        <b/>
        <sz val="12"/>
        <rFont val="Arial"/>
        <family val="2"/>
        <scheme val="minor"/>
      </rPr>
      <t>ETS</t>
    </r>
  </si>
  <si>
    <t>AES</t>
  </si>
  <si>
    <t>Eval.
Fixe</t>
  </si>
  <si>
    <t>Eval.
Plage</t>
  </si>
  <si>
    <t>Découpage blocs/projets
-
Majeure Génie civil</t>
  </si>
  <si>
    <t>Envoyer  les convocations de rentrée</t>
  </si>
  <si>
    <t>Entreprise</t>
  </si>
  <si>
    <r>
      <rPr>
        <b/>
        <u/>
        <sz val="11"/>
        <color indexed="8"/>
        <rFont val="Arial"/>
        <family val="2"/>
        <scheme val="minor"/>
      </rPr>
      <t>Toute l'année :</t>
    </r>
    <r>
      <rPr>
        <b/>
        <sz val="11"/>
        <color indexed="8"/>
        <rFont val="Arial"/>
        <family val="2"/>
        <scheme val="minor"/>
      </rPr>
      <t xml:space="preserve"> 
</t>
    </r>
    <r>
      <rPr>
        <i/>
        <sz val="11"/>
        <color indexed="8"/>
        <rFont val="Arial"/>
        <family val="2"/>
        <scheme val="minor"/>
      </rPr>
      <t xml:space="preserve">(Chaque fin de mois) </t>
    </r>
    <r>
      <rPr>
        <b/>
        <sz val="11"/>
        <color indexed="8"/>
        <rFont val="Arial"/>
        <family val="2"/>
        <scheme val="minor"/>
      </rPr>
      <t xml:space="preserve">Remontée des informations pour l'édition des cartes étudiantes
</t>
    </r>
    <r>
      <rPr>
        <i/>
        <sz val="11"/>
        <color indexed="8"/>
        <rFont val="Arial"/>
        <family val="2"/>
        <scheme val="minor"/>
      </rPr>
      <t xml:space="preserve">(Tous les 15 jours) </t>
    </r>
    <r>
      <rPr>
        <b/>
        <sz val="11"/>
        <color indexed="8"/>
        <rFont val="Arial"/>
        <family val="2"/>
        <scheme val="minor"/>
      </rPr>
      <t xml:space="preserve">Bilan-briefing avec Compte-rendu
</t>
    </r>
    <r>
      <rPr>
        <i/>
        <sz val="11"/>
        <color indexed="8"/>
        <rFont val="Arial"/>
        <family val="2"/>
        <scheme val="minor"/>
      </rPr>
      <t xml:space="preserve">(Minimum une fois par mois) </t>
    </r>
    <r>
      <rPr>
        <b/>
        <sz val="11"/>
        <color indexed="8"/>
        <rFont val="Arial"/>
        <family val="2"/>
        <scheme val="minor"/>
      </rPr>
      <t>Régulariser la saisie des absences</t>
    </r>
  </si>
  <si>
    <r>
      <t xml:space="preserve">Pré-rentrée </t>
    </r>
    <r>
      <rPr>
        <sz val="12"/>
        <rFont val="Arial"/>
        <family val="2"/>
        <scheme val="minor"/>
      </rPr>
      <t>(nouveaux uniquement) :</t>
    </r>
    <r>
      <rPr>
        <b/>
        <sz val="12"/>
        <rFont val="Arial"/>
        <family val="2"/>
        <scheme val="minor"/>
      </rPr>
      <t xml:space="preserve"> </t>
    </r>
    <r>
      <rPr>
        <sz val="12"/>
        <rFont val="Arial"/>
        <family val="2"/>
        <scheme val="minor"/>
      </rPr>
      <t>1 journée
(planification libre)</t>
    </r>
  </si>
  <si>
    <t>Remettre les documents administratifs (certificat scolarité, attestation remise de documents…)
Election délégués (à réaliser entre la 20ème et la 40ème heure après le début de la formation)
Préconisé : Réunion des parents</t>
  </si>
  <si>
    <t>Remettre les documents administratifs (certificat scolarité, attestation remise de documents…)
Election délégués (à réaliser entre la 20ème et la 40ème heure après le début de la formation)
Réunion des parents optionnelle</t>
  </si>
  <si>
    <t>Accueil campus</t>
  </si>
  <si>
    <t>Envoyer les documents administratifs (certificat scolarité, attestation remise de documents…)
Réunion des parents optionnelle</t>
  </si>
  <si>
    <r>
      <rPr>
        <b/>
        <u/>
        <sz val="11"/>
        <color indexed="8"/>
        <rFont val="Arial"/>
        <family val="2"/>
        <scheme val="minor"/>
      </rPr>
      <t>Toute l'année :</t>
    </r>
    <r>
      <rPr>
        <b/>
        <sz val="11"/>
        <color indexed="8"/>
        <rFont val="Arial"/>
        <family val="2"/>
        <scheme val="minor"/>
      </rPr>
      <t xml:space="preserve"> 
</t>
    </r>
    <r>
      <rPr>
        <i/>
        <sz val="11"/>
        <color indexed="8"/>
        <rFont val="Arial"/>
        <family val="2"/>
        <scheme val="minor"/>
      </rPr>
      <t xml:space="preserve">(Une fois par alternance) </t>
    </r>
    <r>
      <rPr>
        <b/>
        <sz val="11"/>
        <color indexed="8"/>
        <rFont val="Arial"/>
        <family val="2"/>
        <scheme val="minor"/>
      </rPr>
      <t xml:space="preserve">Bilan-briefing avec Compte-rendu
</t>
    </r>
    <r>
      <rPr>
        <i/>
        <sz val="11"/>
        <color indexed="8"/>
        <rFont val="Arial"/>
        <family val="2"/>
        <scheme val="minor"/>
      </rPr>
      <t xml:space="preserve">(Minimum une fois par mois) </t>
    </r>
    <r>
      <rPr>
        <b/>
        <sz val="11"/>
        <color indexed="8"/>
        <rFont val="Arial"/>
        <family val="2"/>
        <scheme val="minor"/>
      </rPr>
      <t>Régulariser la saisie des absences + Envoi des informations aux entreprises</t>
    </r>
  </si>
  <si>
    <r>
      <t xml:space="preserve">Séminaire d'intégration
</t>
    </r>
    <r>
      <rPr>
        <sz val="12"/>
        <rFont val="Arial"/>
        <family val="2"/>
        <scheme val="minor"/>
      </rPr>
      <t>(Commun Généraliste)</t>
    </r>
  </si>
  <si>
    <r>
      <t xml:space="preserve">Séminaire d'intégration
</t>
    </r>
    <r>
      <rPr>
        <sz val="12"/>
        <rFont val="Arial"/>
        <family val="2"/>
        <scheme val="minor"/>
      </rPr>
      <t>(Commun Informatique)</t>
    </r>
  </si>
  <si>
    <t>A1.01</t>
  </si>
  <si>
    <t>A2.01</t>
  </si>
  <si>
    <t>Option 1</t>
  </si>
  <si>
    <t>Ingénierie durable</t>
  </si>
  <si>
    <t>ETS</t>
  </si>
  <si>
    <t>Review A1.01</t>
  </si>
  <si>
    <t>Review A2.01</t>
  </si>
  <si>
    <t>A3.00</t>
  </si>
  <si>
    <t>Appréciation du bloc
Bilan et analyse du bloc par le tuteur (+ débriefing programmé au minimum 1 semaine après la fin du bloc - 1 représentant par campus)</t>
  </si>
  <si>
    <t>Remettre les documents administratifs (certificat scolarité, attestation remise de documents…)
Election délégués (à réaliser entre la 20ème et la 40ème heure après le début de la formation)</t>
  </si>
  <si>
    <r>
      <t xml:space="preserve">Accueil campus </t>
    </r>
    <r>
      <rPr>
        <sz val="12"/>
        <rFont val="Arial Narrow"/>
        <family val="2"/>
      </rPr>
      <t>(cf NP suivi de l'alternance)</t>
    </r>
  </si>
  <si>
    <r>
      <t xml:space="preserve">Séminaire d'intégration pédagogique
</t>
    </r>
    <r>
      <rPr>
        <sz val="12"/>
        <rFont val="Arial"/>
        <family val="2"/>
        <scheme val="minor"/>
      </rPr>
      <t>(Commun FISA)</t>
    </r>
  </si>
  <si>
    <t>S</t>
  </si>
  <si>
    <t>A1.02</t>
  </si>
  <si>
    <t>A2.02</t>
  </si>
  <si>
    <t>A3.01</t>
  </si>
  <si>
    <t>Management des processus / Transition écologique</t>
  </si>
  <si>
    <t>A4.01</t>
  </si>
  <si>
    <t>TOEIC blanc ou officiel</t>
  </si>
  <si>
    <t>Review A1.02</t>
  </si>
  <si>
    <t>Review A2.02</t>
  </si>
  <si>
    <t>Review A3.01</t>
  </si>
  <si>
    <t>Prévoir Réunion des maitres d'apprentissage (et inviter les tuteurs entreprise)</t>
  </si>
  <si>
    <t>:;</t>
  </si>
  <si>
    <t>Review A4.01</t>
  </si>
  <si>
    <t>I</t>
  </si>
  <si>
    <t>V</t>
  </si>
  <si>
    <t>A1.03</t>
  </si>
  <si>
    <t>A2.03</t>
  </si>
  <si>
    <t>A3.02</t>
  </si>
  <si>
    <t>Appréciation du bloc</t>
  </si>
  <si>
    <t>A4.01 Oral</t>
  </si>
  <si>
    <t>Vacances</t>
  </si>
  <si>
    <t>Bilan et analyse du bloc par le tuteur (+ débriefing programmé au minimum 1 semaine après la fin du bloc - 1 représentant par campus)</t>
  </si>
  <si>
    <t>P</t>
  </si>
  <si>
    <t>F</t>
  </si>
  <si>
    <t>Réunion des délégués n°1</t>
  </si>
  <si>
    <t>Electronique</t>
  </si>
  <si>
    <t>Review A1.03</t>
  </si>
  <si>
    <t>Review A2.03</t>
  </si>
  <si>
    <t>Review A3.02</t>
  </si>
  <si>
    <t>Suivi du stage en entreprise</t>
  </si>
  <si>
    <r>
      <rPr>
        <b/>
        <sz val="12"/>
        <color rgb="FF000000"/>
        <rFont val="Arial"/>
        <family val="2"/>
        <scheme val="minor"/>
      </rPr>
      <t xml:space="preserve">Séminaire Management des Hommes </t>
    </r>
    <r>
      <rPr>
        <sz val="12"/>
        <color rgb="FF000000"/>
        <rFont val="Arial"/>
        <family val="2"/>
        <scheme val="minor"/>
      </rPr>
      <t>(5 jours)</t>
    </r>
  </si>
  <si>
    <t>Projet Innovation</t>
  </si>
  <si>
    <t>R</t>
  </si>
  <si>
    <t>Envoi de la convocation avant session de rattrapage par mail (informer également l'entreprise)</t>
  </si>
  <si>
    <t>A1.04</t>
  </si>
  <si>
    <t>Mécanique des fluides</t>
  </si>
  <si>
    <t xml:space="preserve">Amplification et filtrage
</t>
  </si>
  <si>
    <t>Conception et programmation orientée objet</t>
  </si>
  <si>
    <t>A2.04</t>
  </si>
  <si>
    <t>A3.03</t>
  </si>
  <si>
    <t>Modélisation numérique</t>
  </si>
  <si>
    <r>
      <t xml:space="preserve">Management de Projet
</t>
    </r>
    <r>
      <rPr>
        <sz val="12"/>
        <rFont val="Arial Narrow"/>
        <family val="2"/>
      </rPr>
      <t>+ 2 1/2 journées préparation PMP</t>
    </r>
  </si>
  <si>
    <t>TOEIC officiel</t>
  </si>
  <si>
    <t>CAMPUS</t>
  </si>
  <si>
    <t>Appréciation du bloc
Bilan et analyse du bloc par le tuteur (+ débriefing programmé au minimum 1 semaine après la fin du bloc - 1 représentant par campus)
Envoi de la convocation avant session de rattrapage par mail</t>
  </si>
  <si>
    <t>Review A1.04</t>
  </si>
  <si>
    <t>Review A2.04</t>
  </si>
  <si>
    <t>Bilans Individuels avec le référent ou un tuteur</t>
  </si>
  <si>
    <t>Review A3.03</t>
  </si>
  <si>
    <t>A4.02</t>
  </si>
  <si>
    <t>A1.05</t>
  </si>
  <si>
    <t>Envoi de la convocation avant session de rattrapage par mail</t>
  </si>
  <si>
    <t>A2.05</t>
  </si>
  <si>
    <t>A3.04</t>
  </si>
  <si>
    <t>Review A4.02</t>
  </si>
  <si>
    <t>Review A1.05</t>
  </si>
  <si>
    <t>Review A2.05</t>
  </si>
  <si>
    <t>Review A3.04</t>
  </si>
  <si>
    <t>Vieux pont</t>
  </si>
  <si>
    <t>A1.06</t>
  </si>
  <si>
    <t>A2.06</t>
  </si>
  <si>
    <t>A3.04 Oral</t>
  </si>
  <si>
    <t>Option 2</t>
  </si>
  <si>
    <r>
      <t xml:space="preserve">Option 2
</t>
    </r>
    <r>
      <rPr>
        <sz val="12"/>
        <rFont val="Arial"/>
        <family val="2"/>
        <scheme val="minor"/>
      </rPr>
      <t>Point Ingénierie durable à faire</t>
    </r>
  </si>
  <si>
    <t xml:space="preserve">Concours de Structures </t>
  </si>
  <si>
    <t>I/R</t>
  </si>
  <si>
    <t>Review A1.06</t>
  </si>
  <si>
    <t>Review A2.06</t>
  </si>
  <si>
    <t>Récupération des fiches de validation de stage et rédaction des conventions de stage</t>
  </si>
  <si>
    <t>A1.07</t>
  </si>
  <si>
    <t>A2.07</t>
  </si>
  <si>
    <r>
      <rPr>
        <b/>
        <sz val="12"/>
        <color rgb="FF000000"/>
        <rFont val="Arial"/>
        <family val="2"/>
        <scheme val="minor"/>
      </rPr>
      <t xml:space="preserve">Projet professionnel : Séminaire PFI
</t>
    </r>
    <r>
      <rPr>
        <sz val="11"/>
        <color rgb="FF000000"/>
        <rFont val="Arial"/>
        <family val="2"/>
        <scheme val="minor"/>
      </rPr>
      <t>[Soutenances cibles à prévoir]</t>
    </r>
  </si>
  <si>
    <t>Review A1.07</t>
  </si>
  <si>
    <t>Review A2.07</t>
  </si>
  <si>
    <t>TOEIC
blanc ou officiel</t>
  </si>
  <si>
    <t>Réunion des délégués</t>
  </si>
  <si>
    <r>
      <rPr>
        <b/>
        <sz val="12"/>
        <color rgb="FF000000"/>
        <rFont val="Arial"/>
        <family val="2"/>
        <scheme val="minor"/>
      </rPr>
      <t xml:space="preserve">ILW The Experts return
</t>
    </r>
    <r>
      <rPr>
        <b/>
        <sz val="12"/>
        <color rgb="FF000000"/>
        <rFont val="Arial Narrow"/>
        <family val="2"/>
      </rPr>
      <t xml:space="preserve">Point Innovation
</t>
    </r>
    <r>
      <rPr>
        <sz val="12"/>
        <color rgb="FF000000"/>
        <rFont val="Arial Narrow"/>
        <family val="2"/>
      </rPr>
      <t xml:space="preserve">(1/2 journée à prévoir en début de semaine)
</t>
    </r>
    <r>
      <rPr>
        <b/>
        <sz val="12"/>
        <color rgb="FF000000"/>
        <rFont val="Arial"/>
        <family val="2"/>
        <scheme val="minor"/>
      </rPr>
      <t xml:space="preserve">
</t>
    </r>
    <r>
      <rPr>
        <sz val="12"/>
        <color rgb="FF000000"/>
        <rFont val="Arial"/>
        <family val="2"/>
        <scheme val="minor"/>
      </rPr>
      <t xml:space="preserve">(inclut soutenance PFI international &amp; TOEIC officiel)
</t>
    </r>
  </si>
  <si>
    <t>TOEIC
officiel</t>
  </si>
  <si>
    <t>A1.08</t>
  </si>
  <si>
    <t>A2.08</t>
  </si>
  <si>
    <t>Appréciation des blocs</t>
  </si>
  <si>
    <t>Review A1.08</t>
  </si>
  <si>
    <t>Review A2.08</t>
  </si>
  <si>
    <t>Appréciation des blocs
Bilan et analyse du bloc par le tuteur (+ débriefing programmé au minimum 1 semaine après la fin du bloc - 1 représentant par campus)</t>
  </si>
  <si>
    <r>
      <t xml:space="preserve">Ingénierie durable
</t>
    </r>
    <r>
      <rPr>
        <b/>
        <i/>
        <sz val="10"/>
        <color rgb="FF000000"/>
        <rFont val="Arial"/>
        <family val="2"/>
        <scheme val="minor"/>
      </rPr>
      <t>[Evénement Projet Ingénierie durable à planifier entre le 29/01 et le 02/02]</t>
    </r>
  </si>
  <si>
    <t>A4.02 Ecrit</t>
  </si>
  <si>
    <t>A1.08 Oral</t>
  </si>
  <si>
    <t>A2.08 Oral</t>
  </si>
  <si>
    <t>Envoi des rapports aux membres de jury + fiche de confidentialité</t>
  </si>
  <si>
    <r>
      <t xml:space="preserve">Stage
</t>
    </r>
    <r>
      <rPr>
        <sz val="12"/>
        <rFont val="Arial"/>
        <family val="2"/>
        <scheme val="minor"/>
      </rPr>
      <t>25 semaines à effectuer</t>
    </r>
  </si>
  <si>
    <t>A4.03</t>
  </si>
  <si>
    <t>B</t>
  </si>
  <si>
    <t>Matériaux</t>
  </si>
  <si>
    <t>A1.09</t>
  </si>
  <si>
    <t>A2.09</t>
  </si>
  <si>
    <t>Appréciation du stage par le tuteur entreprise</t>
  </si>
  <si>
    <t>Review A4.03</t>
  </si>
  <si>
    <t>C</t>
  </si>
  <si>
    <t>ILW The Experts Return</t>
  </si>
  <si>
    <t>A4.03 Débat</t>
  </si>
  <si>
    <t>Lancement Projet Recherche</t>
  </si>
  <si>
    <t>Récupérer la fiche d'évaluation de l'étudiant par l'entreprise</t>
  </si>
  <si>
    <t>A</t>
  </si>
  <si>
    <t>Review A1.09</t>
  </si>
  <si>
    <t>Développement web</t>
  </si>
  <si>
    <t>Suivi du stage en entreprise (privilégier le lieu du stage pour la visite)</t>
  </si>
  <si>
    <t>IoT / Systèmes communicants</t>
  </si>
  <si>
    <r>
      <t xml:space="preserve">Chaque semestre :
</t>
    </r>
    <r>
      <rPr>
        <sz val="11"/>
        <color theme="1"/>
        <rFont val="Arial"/>
        <family val="2"/>
        <scheme val="minor"/>
      </rPr>
      <t>Objectifs / Bilan semestriel / CR si visite en entreprise
Envoi du dossier de synthèse à l'entreprise</t>
    </r>
  </si>
  <si>
    <t>A3.05</t>
  </si>
  <si>
    <t>A1.10</t>
  </si>
  <si>
    <t>A2.10</t>
  </si>
  <si>
    <r>
      <t>TOEIC
blanc ou officiel</t>
    </r>
    <r>
      <rPr>
        <sz val="12"/>
        <color theme="0"/>
        <rFont val="Arial Narrow"/>
        <family val="2"/>
      </rPr>
      <t xml:space="preserve"> (à prévoir entre les semaines 11 et 15)</t>
    </r>
  </si>
  <si>
    <t>Review A3.05</t>
  </si>
  <si>
    <t>Review A1.10</t>
  </si>
  <si>
    <t>Review A2.10</t>
  </si>
  <si>
    <r>
      <t xml:space="preserve">A4.01
</t>
    </r>
    <r>
      <rPr>
        <sz val="12"/>
        <rFont val="Arial Narrow"/>
        <family val="2"/>
      </rPr>
      <t>Présentation</t>
    </r>
  </si>
  <si>
    <t>A4.01
Présentation</t>
  </si>
  <si>
    <t>A3.05 Retour</t>
  </si>
  <si>
    <t>A1.11</t>
  </si>
  <si>
    <t>A2.10
Oral</t>
  </si>
  <si>
    <t>Projet Recherche</t>
  </si>
  <si>
    <t>Envoi de la convocation avant session de rattrapage par mail
Appréciation du bloc
Bilan et analyse du bloc par le tuteur (+ débriefing programmé au minimum 1 semaine après la fin du bloc - 1 représentant par campus)</t>
  </si>
  <si>
    <r>
      <t>Module Gestion de Projet</t>
    </r>
    <r>
      <rPr>
        <sz val="12"/>
        <color rgb="FF000000"/>
        <rFont val="Arial"/>
        <family val="2"/>
        <scheme val="minor"/>
      </rPr>
      <t xml:space="preserve"> (3 jours)</t>
    </r>
    <r>
      <rPr>
        <b/>
        <sz val="12"/>
        <color rgb="FF000000"/>
        <rFont val="Arial"/>
        <family val="2"/>
        <scheme val="minor"/>
      </rPr>
      <t xml:space="preserve">  /
Projet Recherche + soutenance Recherche</t>
    </r>
  </si>
  <si>
    <r>
      <rPr>
        <b/>
        <sz val="12"/>
        <color rgb="FF000000"/>
        <rFont val="Arial"/>
        <family val="2"/>
        <scheme val="minor"/>
      </rPr>
      <t xml:space="preserve">Projet professionnel : Séminaire PFI
</t>
    </r>
    <r>
      <rPr>
        <sz val="11"/>
        <color rgb="FF000000"/>
        <rFont val="Arial"/>
        <family val="2"/>
        <scheme val="minor"/>
      </rPr>
      <t>[Soutenances cibles à prévoir]</t>
    </r>
  </si>
  <si>
    <t xml:space="preserve">Option
</t>
  </si>
  <si>
    <t>Review A1.11</t>
  </si>
  <si>
    <r>
      <rPr>
        <b/>
        <sz val="11"/>
        <color indexed="8"/>
        <rFont val="Arial"/>
        <family val="2"/>
        <scheme val="minor"/>
      </rPr>
      <t>Bilan de formation</t>
    </r>
    <r>
      <rPr>
        <sz val="11"/>
        <color indexed="8"/>
        <rFont val="Arial"/>
        <family val="2"/>
        <scheme val="minor"/>
      </rPr>
      <t xml:space="preserve">
Appréciation du bloc</t>
    </r>
  </si>
  <si>
    <t>A4.04</t>
  </si>
  <si>
    <t>A4.05</t>
  </si>
  <si>
    <t>A1.11 Oral</t>
  </si>
  <si>
    <r>
      <t xml:space="preserve">A4.04 </t>
    </r>
    <r>
      <rPr>
        <sz val="12"/>
        <rFont val="Arial Narrow"/>
        <family val="2"/>
      </rPr>
      <t>Livrable</t>
    </r>
  </si>
  <si>
    <t>A1.12</t>
  </si>
  <si>
    <r>
      <rPr>
        <b/>
        <sz val="12"/>
        <color rgb="FF000000"/>
        <rFont val="Arial"/>
        <family val="2"/>
        <scheme val="minor"/>
      </rPr>
      <t>Entreprise
+ Soutenances ADS
(</t>
    </r>
    <r>
      <rPr>
        <sz val="12"/>
        <color rgb="FF000000"/>
        <rFont val="Arial"/>
        <family val="2"/>
        <scheme val="minor"/>
      </rPr>
      <t>Retour uniquement pour la soutenance)</t>
    </r>
  </si>
  <si>
    <t>A3.06 Retour</t>
  </si>
  <si>
    <t>Review A4.04</t>
  </si>
  <si>
    <t>Jury régional de passage en année supérieure</t>
  </si>
  <si>
    <r>
      <t>Entreprise
IR</t>
    </r>
    <r>
      <rPr>
        <sz val="12"/>
        <rFont val="Arial"/>
        <family val="2"/>
        <scheme val="minor"/>
      </rPr>
      <t xml:space="preserve"> (5 semaines)</t>
    </r>
    <r>
      <rPr>
        <b/>
        <sz val="12"/>
        <rFont val="Arial"/>
        <family val="2"/>
        <scheme val="minor"/>
      </rPr>
      <t xml:space="preserve">
MI </t>
    </r>
    <r>
      <rPr>
        <sz val="12"/>
        <rFont val="Arial"/>
        <family val="2"/>
        <scheme val="minor"/>
      </rPr>
      <t>(12 semaines)</t>
    </r>
  </si>
  <si>
    <t>Soutenances de stage</t>
  </si>
  <si>
    <t>A3.06</t>
  </si>
  <si>
    <t>Collaboration internationale</t>
  </si>
  <si>
    <t>[A4] : Lancement PFE</t>
  </si>
  <si>
    <t>Séminaire nucléaire</t>
  </si>
  <si>
    <t>Terrassement</t>
  </si>
  <si>
    <r>
      <t>Entreprise
+ Soutenances ADS
(</t>
    </r>
    <r>
      <rPr>
        <sz val="12"/>
        <rFont val="Arial"/>
        <family val="2"/>
        <scheme val="minor"/>
      </rPr>
      <t>Retour uniquement pour la soutenance)</t>
    </r>
  </si>
  <si>
    <t xml:space="preserve">Electrotech. </t>
  </si>
  <si>
    <t>[A3] : Lancement ADS</t>
  </si>
  <si>
    <t>Modélisation et bases de données</t>
  </si>
  <si>
    <t>Review A1.12</t>
  </si>
  <si>
    <r>
      <rPr>
        <b/>
        <sz val="12"/>
        <color rgb="FF000000"/>
        <rFont val="Arial"/>
        <family val="2"/>
        <scheme val="minor"/>
      </rPr>
      <t xml:space="preserve">Entreprise +
Soutenance ADS - Entretien RH
</t>
    </r>
    <r>
      <rPr>
        <sz val="12"/>
        <color rgb="FF000000"/>
        <rFont val="Arial"/>
        <family val="2"/>
        <scheme val="minor"/>
      </rPr>
      <t>(présence uniquement pour la soutenance)</t>
    </r>
  </si>
  <si>
    <t>Review A3.06</t>
  </si>
  <si>
    <t>Soutenances ADS [+ Projet Innovation]</t>
  </si>
  <si>
    <r>
      <t>Entreprise
IR</t>
    </r>
    <r>
      <rPr>
        <sz val="12"/>
        <rFont val="Arial"/>
        <family val="2"/>
        <scheme val="minor"/>
      </rPr>
      <t xml:space="preserve"> (5 semaines)
</t>
    </r>
    <r>
      <rPr>
        <b/>
        <sz val="12"/>
        <rFont val="Arial"/>
        <family val="2"/>
        <scheme val="minor"/>
      </rPr>
      <t>MI</t>
    </r>
    <r>
      <rPr>
        <sz val="12"/>
        <rFont val="Arial"/>
        <family val="2"/>
        <scheme val="minor"/>
      </rPr>
      <t xml:space="preserve"> (12 semaines)</t>
    </r>
  </si>
  <si>
    <t>A1.13</t>
  </si>
  <si>
    <t>Review A1.13</t>
  </si>
  <si>
    <t>Electrotechnique</t>
  </si>
  <si>
    <t>A1.14</t>
  </si>
  <si>
    <t>A3.07</t>
  </si>
  <si>
    <t>Performance énergétique</t>
  </si>
  <si>
    <t>PFE en juillet : Envoi des rapports aux membres de jury + fiche de confidentialité</t>
  </si>
  <si>
    <t>Option</t>
  </si>
  <si>
    <t>Review A1.14</t>
  </si>
  <si>
    <t>Review
A3.07</t>
  </si>
  <si>
    <t>Review A4.05</t>
  </si>
  <si>
    <t>A1.14
Retour</t>
  </si>
  <si>
    <t>A3.07 Oral</t>
  </si>
  <si>
    <r>
      <t xml:space="preserve">A3.05 </t>
    </r>
    <r>
      <rPr>
        <sz val="12"/>
        <rFont val="Arial Narrow"/>
        <family val="2"/>
      </rPr>
      <t>Livrable</t>
    </r>
  </si>
  <si>
    <t>Review A3.07</t>
  </si>
  <si>
    <t>Ingénierie Durable</t>
  </si>
  <si>
    <r>
      <rPr>
        <b/>
        <sz val="11"/>
        <color indexed="8"/>
        <rFont val="Arial"/>
        <family val="2"/>
        <scheme val="minor"/>
      </rPr>
      <t>Bilan de formation</t>
    </r>
    <r>
      <rPr>
        <sz val="11"/>
        <color indexed="8"/>
        <rFont val="Arial"/>
        <family val="2"/>
        <scheme val="minor"/>
      </rPr>
      <t xml:space="preserve">
Appréciation du bloc
Bilan et analyse du bloc par le tuteur (+ débriefing programmé au minimum 1 semaine après la fin du bloc - 1 représentant par campus)</t>
    </r>
  </si>
  <si>
    <t>Soutenances stage</t>
  </si>
  <si>
    <t>THM / Lancement ADS</t>
  </si>
  <si>
    <t>Envoi Convention de ré-inscription + demande de prélèvement (plus tard)</t>
  </si>
  <si>
    <t>Jury national d'attribution du diplôme
Envoyer la décision du jury à l'étudiant</t>
  </si>
  <si>
    <t>Soutenances stage + PFI : REX</t>
  </si>
  <si>
    <t>Bilan / Préparation du PFE</t>
  </si>
  <si>
    <r>
      <t>Journée annuelle de la promotion</t>
    </r>
    <r>
      <rPr>
        <b/>
        <sz val="12"/>
        <rFont val="Arial Narrow"/>
        <family val="2"/>
      </rPr>
      <t xml:space="preserve"> </t>
    </r>
    <r>
      <rPr>
        <sz val="10"/>
        <rFont val="Arial Narrow"/>
        <family val="2"/>
      </rPr>
      <t>(Gestion Campus : REX et bilan, repas des délégués, activités, sortie conférence…)</t>
    </r>
  </si>
  <si>
    <t>PFE en septembre : Envoi des rapports aux membres de jury + fiche de confidentialité</t>
  </si>
  <si>
    <t>Légende :</t>
  </si>
  <si>
    <t>Evaluation initiale</t>
  </si>
  <si>
    <t>Evaluation rattrapage</t>
  </si>
  <si>
    <t>Soutenances</t>
  </si>
  <si>
    <t>Pour les éval. Plage :</t>
  </si>
  <si>
    <t>Positionnement</t>
  </si>
  <si>
    <t>Formatif</t>
  </si>
  <si>
    <t>N</t>
  </si>
  <si>
    <t>Normatif</t>
  </si>
  <si>
    <t>CPI / A5 CP</t>
  </si>
  <si>
    <t>FISE Info</t>
  </si>
  <si>
    <t>FISA Info</t>
  </si>
  <si>
    <t>FISA Généraliste</t>
  </si>
  <si>
    <t>FISE Généraliste</t>
  </si>
  <si>
    <t>FISA BTP</t>
  </si>
  <si>
    <t>Nb Semaines</t>
  </si>
  <si>
    <t>Ecole</t>
  </si>
  <si>
    <t>S1 / S5</t>
  </si>
  <si>
    <t>Sept-Déc.</t>
  </si>
  <si>
    <t>Janv-Fév.</t>
  </si>
  <si>
    <t>S2 / S6</t>
  </si>
  <si>
    <t>Mars-Avr.</t>
  </si>
  <si>
    <t>Mai-JuiL.</t>
  </si>
  <si>
    <t>S3 / S7</t>
  </si>
  <si>
    <t>S4 / S8</t>
  </si>
  <si>
    <t>S9</t>
  </si>
  <si>
    <t>S10</t>
  </si>
  <si>
    <t>Nb Heures</t>
  </si>
  <si>
    <t>BPI A1</t>
  </si>
  <si>
    <t>BPI A2</t>
  </si>
  <si>
    <t>A planifier</t>
  </si>
  <si>
    <t>Algorithmique et optimisation combinatoire</t>
  </si>
  <si>
    <t>S.I. et sécurité</t>
  </si>
  <si>
    <t>I.A. (machine learning)</t>
  </si>
  <si>
    <t>Génie logiciel</t>
  </si>
  <si>
    <t>Big data</t>
  </si>
  <si>
    <t>Sciences fondamentales de l'ingénieur</t>
  </si>
  <si>
    <t>S.I. : Sécurité et administration</t>
  </si>
  <si>
    <t>Recherche opérationnelle</t>
  </si>
  <si>
    <t>Séminaire Management des Hommes</t>
  </si>
  <si>
    <t>Lean Construction</t>
  </si>
  <si>
    <r>
      <t xml:space="preserve">ILW Experts Return </t>
    </r>
    <r>
      <rPr>
        <sz val="12"/>
        <rFont val="Arial"/>
        <family val="2"/>
        <scheme val="minor"/>
      </rPr>
      <t>(5 jours)</t>
    </r>
    <r>
      <rPr>
        <b/>
        <sz val="12"/>
        <rFont val="Arial"/>
        <family val="2"/>
        <scheme val="minor"/>
      </rPr>
      <t xml:space="preserve">  </t>
    </r>
    <r>
      <rPr>
        <sz val="12"/>
        <rFont val="Arial"/>
        <family val="2"/>
        <scheme val="minor"/>
      </rPr>
      <t>inclut soutenance PFI International</t>
    </r>
  </si>
  <si>
    <t>Lancement ADS</t>
  </si>
  <si>
    <r>
      <t xml:space="preserve">Soutenances stage
</t>
    </r>
    <r>
      <rPr>
        <sz val="12"/>
        <color theme="0"/>
        <rFont val="Arial"/>
        <family val="2"/>
        <scheme val="minor"/>
      </rPr>
      <t xml:space="preserve">
[+ Projet Recherche]</t>
    </r>
  </si>
  <si>
    <t>A1.12 Oral</t>
  </si>
  <si>
    <t>Review A2.09</t>
  </si>
  <si>
    <t>A5.01</t>
  </si>
  <si>
    <t>My Final Presentation</t>
  </si>
  <si>
    <t>Management</t>
  </si>
  <si>
    <t>AES Management</t>
  </si>
  <si>
    <t>A5.02</t>
  </si>
  <si>
    <t>A5.03</t>
  </si>
  <si>
    <t>A5.04</t>
  </si>
  <si>
    <t>A5.05</t>
  </si>
  <si>
    <t>A5.06</t>
  </si>
  <si>
    <t>A5.07</t>
  </si>
  <si>
    <t>A5.08</t>
  </si>
  <si>
    <r>
      <rPr>
        <sz val="11"/>
        <color indexed="8"/>
        <rFont val="Arial"/>
        <family val="2"/>
        <scheme val="minor"/>
      </rPr>
      <t>Jury régional de passage en année supérieure</t>
    </r>
    <r>
      <rPr>
        <b/>
        <sz val="11"/>
        <color indexed="8"/>
        <rFont val="Arial"/>
        <family val="2"/>
        <scheme val="minor"/>
      </rPr>
      <t xml:space="preserve">
Convention de ré-inscription + demande de prélèvement (plus tard)</t>
    </r>
  </si>
  <si>
    <t>Envoi de la convocation avant session de rattrapage par mail
Bilan et analyse du bloc par le tuteur (+ débriefing programmé au minimum 1 semaine après la fin du bloc - 1 représentant par campus)</t>
  </si>
  <si>
    <t>Envoyer  les convocations de rentrée (mail type disponible dans le SMQ indiquant les documents à joindre)</t>
  </si>
  <si>
    <t>Développement d'applications distribuées</t>
  </si>
  <si>
    <r>
      <t xml:space="preserve">Pré-rentrée : </t>
    </r>
    <r>
      <rPr>
        <sz val="12"/>
        <rFont val="Arial"/>
        <family val="2"/>
        <scheme val="minor"/>
      </rPr>
      <t>1 journée
(planification libre)</t>
    </r>
  </si>
  <si>
    <t>Sciences fondamentales de l'ingénieur (SFI)</t>
  </si>
  <si>
    <r>
      <t xml:space="preserve">[A2 / A3] Erasmus days :
</t>
    </r>
    <r>
      <rPr>
        <sz val="12"/>
        <color rgb="FF000000"/>
        <rFont val="Arial"/>
        <family val="2"/>
        <scheme val="minor"/>
      </rPr>
      <t>Présentations internationales sur la semaine</t>
    </r>
    <r>
      <rPr>
        <sz val="12"/>
        <color rgb="FF000000"/>
        <rFont val="Arial Narrow"/>
        <family val="2"/>
      </rPr>
      <t xml:space="preserve"> (plusieurs interventions en débuts d'après-midi)</t>
    </r>
  </si>
  <si>
    <t>Journée de l'Europe</t>
  </si>
  <si>
    <r>
      <rPr>
        <b/>
        <sz val="11"/>
        <color indexed="8"/>
        <rFont val="Arial"/>
        <family val="2"/>
        <scheme val="minor"/>
      </rPr>
      <t>A la fin de la formation :</t>
    </r>
    <r>
      <rPr>
        <sz val="11"/>
        <color indexed="8"/>
        <rFont val="Arial"/>
        <family val="2"/>
        <scheme val="minor"/>
      </rPr>
      <t xml:space="preserve">
Vérification des informations d'identité et de contact des étudiants.
Assistant d'impression Bora : \documents nationaux\Documents\Mettre en oeuvre la formation\3-Cloture de la formation\RN 0237 - Document à destination des étudiants sortants.docx.
Mettre à jour Bora au plus tard 1 mois après la fin de formation.</t>
    </r>
  </si>
  <si>
    <r>
      <t xml:space="preserve">Fiches planification </t>
    </r>
    <r>
      <rPr>
        <sz val="11"/>
        <color theme="1"/>
        <rFont val="Arial"/>
        <family val="2"/>
        <scheme val="minor"/>
      </rPr>
      <t>(Moodle)</t>
    </r>
  </si>
  <si>
    <t>Industrie</t>
  </si>
  <si>
    <t>A4.01 Retour</t>
  </si>
  <si>
    <r>
      <t xml:space="preserve">Entreprise
</t>
    </r>
    <r>
      <rPr>
        <sz val="12"/>
        <rFont val="Arial"/>
        <family val="2"/>
        <scheme val="minor"/>
      </rPr>
      <t>IR (5 semaines)
MI (12 semaines)</t>
    </r>
  </si>
  <si>
    <t>FEP</t>
  </si>
  <si>
    <t>FISE Info Anglophone</t>
  </si>
  <si>
    <t>FISE Généraliste Anglophone</t>
  </si>
  <si>
    <t>Septembre</t>
  </si>
  <si>
    <t>Octobre</t>
  </si>
  <si>
    <t>Novembre</t>
  </si>
  <si>
    <t>Décembre</t>
  </si>
  <si>
    <t>Janvier</t>
  </si>
  <si>
    <t>Février</t>
  </si>
  <si>
    <t>Mars</t>
  </si>
  <si>
    <t>Avril</t>
  </si>
  <si>
    <t>Mai</t>
  </si>
  <si>
    <t>Juin</t>
  </si>
  <si>
    <t>Juillet</t>
  </si>
  <si>
    <t>FISE Anglophone A3</t>
  </si>
  <si>
    <t>S1 / S5 / S7 / S9</t>
  </si>
  <si>
    <t>S2 / S6 / S8 / S10</t>
  </si>
  <si>
    <t>FISE Anglophone A4</t>
  </si>
  <si>
    <t>FISE Anglophone A5</t>
  </si>
  <si>
    <t>Master's degree A4</t>
  </si>
  <si>
    <t>Master's degree A5</t>
  </si>
  <si>
    <t>A voir si stage 3 semaines ?</t>
  </si>
  <si>
    <t>A voir si stage 2 semaines ?</t>
  </si>
  <si>
    <t>BSI</t>
  </si>
  <si>
    <t>Nb Jours</t>
  </si>
  <si>
    <t>Nombre Heures par semaine</t>
  </si>
  <si>
    <t>Traitement du signal</t>
  </si>
  <si>
    <t>Suivi du stage en entreprise (distanciel)</t>
  </si>
  <si>
    <t>Bilans Individuels avec le référent ou un tuteur (nouveaux uniquement)</t>
  </si>
  <si>
    <t>Optionnel : Réunion des délégués n°2</t>
  </si>
  <si>
    <t>A4.05 Livrable</t>
  </si>
  <si>
    <t>IoT</t>
  </si>
  <si>
    <t>Pour information</t>
  </si>
  <si>
    <t>Retour A3.06</t>
  </si>
  <si>
    <t>Remettre les documents administratifs (certificat scolarité, attestation remise de documents…)
Election délégués à prévoir</t>
  </si>
  <si>
    <t>Optionnelle : Réunion des délégués n°2</t>
  </si>
  <si>
    <t>Intelligence Artificielle (machine learning)</t>
  </si>
  <si>
    <t>Management de projet</t>
  </si>
  <si>
    <t>Environnement et éthique</t>
  </si>
  <si>
    <t>Innovation</t>
  </si>
  <si>
    <r>
      <rPr>
        <b/>
        <sz val="11"/>
        <color indexed="8"/>
        <rFont val="Arial"/>
        <family val="2"/>
        <scheme val="minor"/>
      </rPr>
      <t>Bilan de formation</t>
    </r>
    <r>
      <rPr>
        <sz val="11"/>
        <color indexed="8"/>
        <rFont val="Arial"/>
        <family val="2"/>
        <scheme val="minor"/>
      </rPr>
      <t xml:space="preserve">
Appréciation des blocs</t>
    </r>
  </si>
  <si>
    <t>Bilan et analyse des blocs par le tuteur (+ débriefing programmé au minimum 1 semaine après la fin du bloc - 1 représentant par campus)</t>
  </si>
  <si>
    <r>
      <rPr>
        <sz val="12"/>
        <color rgb="FF000000"/>
        <rFont val="Arial Narrow"/>
        <family val="2"/>
      </rPr>
      <t xml:space="preserve">(Prévoir point Projet Olympiades Innover pour le Climat)
</t>
    </r>
    <r>
      <rPr>
        <b/>
        <sz val="12"/>
        <color rgb="FF000000"/>
        <rFont val="Arial"/>
        <family val="2"/>
      </rPr>
      <t xml:space="preserve">
Performance environnementale du Bâtiment (PEB)</t>
    </r>
  </si>
  <si>
    <t>Géotechnique &amp; Béton précontraint</t>
  </si>
  <si>
    <t>Acteurs de la construction</t>
  </si>
  <si>
    <t>Constructions métalliques</t>
  </si>
  <si>
    <t>Gros œuvre</t>
  </si>
  <si>
    <t>Energies renouvelables</t>
  </si>
  <si>
    <t>Eco-quartier</t>
  </si>
  <si>
    <t>Bilans Individuels avec le référent ou un tuteur (si nécessaire)</t>
  </si>
  <si>
    <t>Etude de fonctions</t>
  </si>
  <si>
    <t>Mécanique</t>
  </si>
  <si>
    <t>Chimie des matériaux</t>
  </si>
  <si>
    <t>Electricité et asservissement</t>
  </si>
  <si>
    <t>Systèmes embarqués</t>
  </si>
  <si>
    <t>Amplification et filtrage</t>
  </si>
  <si>
    <t>Conception et programmation objet</t>
  </si>
  <si>
    <t>Maquette robotique</t>
  </si>
  <si>
    <t>Maquette numérique</t>
  </si>
  <si>
    <t>Réseaux</t>
  </si>
  <si>
    <t>Réseaux &amp; Système</t>
  </si>
  <si>
    <t>Travaux Publics</t>
  </si>
  <si>
    <t>Radioélectricité</t>
  </si>
  <si>
    <t>Conception mécanique</t>
  </si>
  <si>
    <t>Bâtiment : Dimensionnement des structures</t>
  </si>
  <si>
    <t>Management des processus</t>
  </si>
  <si>
    <t>Industrie du Futur</t>
  </si>
  <si>
    <t>En campus (7 semaines)</t>
  </si>
  <si>
    <t>En campus (3 semaines)</t>
  </si>
  <si>
    <t>En campus (11 semaines)</t>
  </si>
  <si>
    <r>
      <t>Industrie du Futur</t>
    </r>
    <r>
      <rPr>
        <sz val="12"/>
        <rFont val="Arial"/>
        <family val="2"/>
        <scheme val="minor"/>
      </rPr>
      <t xml:space="preserve">
-
</t>
    </r>
    <r>
      <rPr>
        <b/>
        <i/>
        <sz val="12"/>
        <rFont val="Arial"/>
        <family val="2"/>
        <scheme val="minor"/>
      </rPr>
      <t xml:space="preserve">Module Gestion de projets </t>
    </r>
    <r>
      <rPr>
        <i/>
        <sz val="12"/>
        <rFont val="Arial"/>
        <family val="2"/>
        <scheme val="minor"/>
      </rPr>
      <t>(3 jours)</t>
    </r>
    <r>
      <rPr>
        <b/>
        <i/>
        <sz val="12"/>
        <rFont val="Arial"/>
        <family val="2"/>
        <scheme val="minor"/>
      </rPr>
      <t xml:space="preserve"> et SST </t>
    </r>
    <r>
      <rPr>
        <i/>
        <sz val="12"/>
        <rFont val="Arial"/>
        <family val="2"/>
        <scheme val="minor"/>
      </rPr>
      <t>(1 jour)</t>
    </r>
    <r>
      <rPr>
        <b/>
        <i/>
        <sz val="12"/>
        <rFont val="Arial"/>
        <family val="2"/>
        <scheme val="minor"/>
      </rPr>
      <t xml:space="preserve"> durant la première semaine</t>
    </r>
  </si>
  <si>
    <t>Systèmes automatisés</t>
  </si>
  <si>
    <t>Découpage blocs/projets
-
Majeure Industrie et Services</t>
  </si>
  <si>
    <t>Environnement et éthique (Majeure)</t>
  </si>
  <si>
    <t>Systèmes automatisés (Majeure)</t>
  </si>
  <si>
    <t>Performance industrielle (Majeure)</t>
  </si>
  <si>
    <t>Introduction : du pont du gard aux gratte-ciels</t>
  </si>
  <si>
    <t>Mécanique des structures (RDM, BA, CM, Bois)</t>
  </si>
  <si>
    <r>
      <t>Mécanique des structures</t>
    </r>
    <r>
      <rPr>
        <sz val="12"/>
        <color rgb="FF000000"/>
        <rFont val="Arial"/>
        <family val="2"/>
        <scheme val="minor"/>
      </rPr>
      <t xml:space="preserve"> (3 jours)</t>
    </r>
    <r>
      <rPr>
        <b/>
        <sz val="12"/>
        <color rgb="FF000000"/>
        <rFont val="Arial"/>
        <family val="2"/>
        <scheme val="minor"/>
      </rPr>
      <t xml:space="preserve">  /
Projet Recherche + soutenance Recherche</t>
    </r>
  </si>
  <si>
    <t>Mécanique des sols et Géotechnique</t>
  </si>
  <si>
    <t>Conception des ouvrages et infrastructures complexes</t>
  </si>
  <si>
    <t>Infrastructures: urbanisme et réseaux de transport</t>
  </si>
  <si>
    <t>Génie environnemental</t>
  </si>
  <si>
    <t>En campus (6 semaines)</t>
  </si>
  <si>
    <t>FISA Info A5 2026-2027 (pour information)</t>
  </si>
  <si>
    <r>
      <t>Remédiation + Pré-rentrée (</t>
    </r>
    <r>
      <rPr>
        <sz val="12"/>
        <rFont val="Arial"/>
        <family val="2"/>
        <scheme val="minor"/>
      </rPr>
      <t>1 journée à planifier librement)</t>
    </r>
  </si>
  <si>
    <t>Informatique</t>
  </si>
  <si>
    <t>Eval.</t>
  </si>
  <si>
    <t>FEP/APCI</t>
  </si>
  <si>
    <t>Séminaire Management</t>
  </si>
  <si>
    <t>A5.09</t>
  </si>
  <si>
    <t>Management de Projet</t>
  </si>
  <si>
    <r>
      <t xml:space="preserve">ILW The Experts return
</t>
    </r>
    <r>
      <rPr>
        <b/>
        <sz val="12"/>
        <color rgb="FF000000"/>
        <rFont val="Arial Narrow"/>
        <family val="2"/>
      </rPr>
      <t xml:space="preserve">Point Innovation
</t>
    </r>
    <r>
      <rPr>
        <sz val="12"/>
        <color rgb="FF000000"/>
        <rFont val="Arial Narrow"/>
        <family val="2"/>
      </rPr>
      <t xml:space="preserve">(1/2 journée à prévoir en début de semaine)
</t>
    </r>
    <r>
      <rPr>
        <b/>
        <sz val="12"/>
        <color rgb="FF000000"/>
        <rFont val="Arial"/>
        <family val="2"/>
        <scheme val="minor"/>
      </rPr>
      <t xml:space="preserve">
</t>
    </r>
    <r>
      <rPr>
        <sz val="12"/>
        <color rgb="FF000000"/>
        <rFont val="Arial"/>
        <family val="2"/>
        <scheme val="minor"/>
      </rPr>
      <t xml:space="preserve">(inclut soutenance PFI international &amp; TOEIC officiel)
</t>
    </r>
  </si>
  <si>
    <t>A5 09</t>
  </si>
  <si>
    <t>FISA A5 info</t>
  </si>
  <si>
    <t>Déplacement de l'ILW de mars à début décembre. Déplacement de la dernière AES en S10. TOEIC ajouté en S43.</t>
  </si>
  <si>
    <t>TOEIC
Initial</t>
  </si>
  <si>
    <t>TOEIC
Jalon</t>
  </si>
  <si>
    <t>TOEIC
Final</t>
  </si>
  <si>
    <t>TOEIC Jalon 1</t>
  </si>
  <si>
    <t>TOEIC Jalon 2</t>
  </si>
  <si>
    <t>TOEIC Final</t>
  </si>
  <si>
    <t>Toutes les formations concernées</t>
  </si>
  <si>
    <t>Entreprise + ADS préconisée à la place de la semaine 23</t>
  </si>
  <si>
    <t>PFI</t>
  </si>
  <si>
    <t>CAMPUS / Présentation cycles ingénieurs (A2)</t>
  </si>
  <si>
    <t>CAMPUS
Présentation M.I. (A3 FISE)</t>
  </si>
  <si>
    <t>Présentation M.I. (A3 FISA)</t>
  </si>
  <si>
    <t>Jury national</t>
  </si>
  <si>
    <r>
      <t xml:space="preserve">Stage
</t>
    </r>
    <r>
      <rPr>
        <sz val="12"/>
        <rFont val="Arial"/>
        <family val="2"/>
        <scheme val="minor"/>
      </rPr>
      <t>12 semaines à effectuer (minimum 8)</t>
    </r>
  </si>
  <si>
    <t>DETTES</t>
  </si>
  <si>
    <t>R Voltaire</t>
  </si>
  <si>
    <t>CCNA 1</t>
  </si>
  <si>
    <t>Suppression de Voltaire. Conservation uniquement pour les rattrapages A5.</t>
  </si>
  <si>
    <t>Toutes les formations</t>
  </si>
  <si>
    <t>Révision des dates de CCTLs (initiaux et rattrapages) pour lisser les évaluations de l'année</t>
  </si>
  <si>
    <t>Olympiades : innovons pour le climat</t>
  </si>
  <si>
    <t>Acculturation</t>
  </si>
  <si>
    <t>Olympiades : idéation</t>
  </si>
  <si>
    <t>Olympiades : Formalisation de l'idée</t>
  </si>
  <si>
    <t>Olympiades : état de l'art</t>
  </si>
  <si>
    <t>Olympiades : dossier de synthèse</t>
  </si>
  <si>
    <t>FISA S3E</t>
  </si>
  <si>
    <t>Blocs nationaux</t>
  </si>
  <si>
    <r>
      <t xml:space="preserve">A5 - ILW Experts Return </t>
    </r>
    <r>
      <rPr>
        <sz val="12"/>
        <rFont val="Arial"/>
        <family val="2"/>
        <scheme val="minor"/>
      </rPr>
      <t>(5 jours)</t>
    </r>
    <r>
      <rPr>
        <b/>
        <sz val="12"/>
        <rFont val="Arial"/>
        <family val="2"/>
        <scheme val="minor"/>
      </rPr>
      <t xml:space="preserve">  </t>
    </r>
    <r>
      <rPr>
        <sz val="12"/>
        <rFont val="Arial"/>
        <family val="2"/>
        <scheme val="minor"/>
      </rPr>
      <t>inclut soutenance PFI International</t>
    </r>
  </si>
  <si>
    <r>
      <t xml:space="preserve">A3 - Projet professionnel : Séminaire PFI
</t>
    </r>
    <r>
      <rPr>
        <sz val="11"/>
        <color rgb="FF000000"/>
        <rFont val="Arial"/>
        <family val="2"/>
        <scheme val="minor"/>
      </rPr>
      <t>[Soutenances cibles à prévoir]</t>
    </r>
  </si>
  <si>
    <r>
      <t>A4 - Entreprise
+ Soutenances ADS
(</t>
    </r>
    <r>
      <rPr>
        <sz val="12"/>
        <rFont val="Arial"/>
        <family val="2"/>
        <scheme val="minor"/>
      </rPr>
      <t>Retour uniquement pour la soutenance)</t>
    </r>
  </si>
  <si>
    <t>A5 - TOEIC officiel</t>
  </si>
  <si>
    <t>Evénements</t>
  </si>
  <si>
    <t>Evaluation Mathématiques (ou sciences)</t>
  </si>
  <si>
    <t>Rattrapage Mathématiques (ou Sciences)</t>
  </si>
  <si>
    <t>FISE Info A4 (FR et EN)</t>
  </si>
  <si>
    <t>A4 FISE Info Admission parallèle / Master's Degree</t>
  </si>
  <si>
    <r>
      <t xml:space="preserve">Séminaire d'intégration </t>
    </r>
    <r>
      <rPr>
        <sz val="12"/>
        <rFont val="Arial"/>
        <family val="2"/>
        <scheme val="minor"/>
      </rPr>
      <t>(local - incluant la Fresque du climat)</t>
    </r>
  </si>
  <si>
    <r>
      <t xml:space="preserve">Stage
</t>
    </r>
    <r>
      <rPr>
        <sz val="12"/>
        <color indexed="8"/>
        <rFont val="Arial"/>
        <family val="2"/>
        <scheme val="minor"/>
      </rPr>
      <t>12 semaines à effectuer (minimum 8)</t>
    </r>
  </si>
  <si>
    <t>Jury régional de passage en année supérieure
Convocation aux épreuves de dettes par mail</t>
  </si>
  <si>
    <t xml:space="preserve">Appréciation du bloc
Bilan et analyse du bloc par le tuteur (+ débriefing programmé au minimum 1 semaine après la fin du bloc - 1 représentant par campus)
Envoi de la convocation avant session de rattrapage par mail
</t>
  </si>
  <si>
    <t>Récupération des fiches de validation de stage et rédaction des conventions de stage
Envoi de la convocation avant session de rattrapage par mail</t>
  </si>
  <si>
    <r>
      <t xml:space="preserve">Stage
</t>
    </r>
    <r>
      <rPr>
        <sz val="12"/>
        <rFont val="Arial"/>
        <family val="2"/>
        <scheme val="minor"/>
      </rPr>
      <t>12 semaines à effectuer
(minimum 8)</t>
    </r>
  </si>
  <si>
    <r>
      <rPr>
        <b/>
        <sz val="11"/>
        <color indexed="8"/>
        <rFont val="Arial"/>
        <family val="2"/>
        <scheme val="minor"/>
      </rPr>
      <t>Bilan de formation</t>
    </r>
    <r>
      <rPr>
        <sz val="11"/>
        <color indexed="8"/>
        <rFont val="Arial"/>
        <family val="2"/>
        <scheme val="minor"/>
      </rPr>
      <t xml:space="preserve">
Appréciation du bloc
Envoi de la convocation avant session de rattrapage par mail</t>
    </r>
  </si>
  <si>
    <t xml:space="preserve">Majeure (1ère partie) :
[Cybersécurité] Administration du S.I.
OU
[Data sciences] Deep learning
OU
[Systèmes embarqués] Architecture et solutions IoT </t>
  </si>
  <si>
    <t>Majeure (1ère partie)</t>
  </si>
  <si>
    <t>Majeure (2ème partie)</t>
  </si>
  <si>
    <t>Majeure (2ème partie) :
[Cybersécurité] Communications unifiées
OU
[Data sciences ET Systèmes embarqués] Développement d'applications distribuées</t>
  </si>
  <si>
    <r>
      <rPr>
        <b/>
        <sz val="11"/>
        <color indexed="8"/>
        <rFont val="Arial"/>
        <family val="2"/>
        <scheme val="minor"/>
      </rPr>
      <t>Bilan de formation</t>
    </r>
    <r>
      <rPr>
        <sz val="11"/>
        <color indexed="8"/>
        <rFont val="Arial"/>
        <family val="2"/>
        <scheme val="minor"/>
      </rPr>
      <t xml:space="preserve">
Bilan et analyse du bloc par le tuteur (+ débriefing programmé au minimum 1 semaine après la fin du bloc - 1 représentant par campus)</t>
    </r>
  </si>
  <si>
    <t>A4 FISE Info Admission parallèle / Master's Degree in CS (EN)</t>
  </si>
  <si>
    <r>
      <t xml:space="preserve">Pré-rentrée
</t>
    </r>
    <r>
      <rPr>
        <sz val="12"/>
        <rFont val="Arial"/>
        <family val="2"/>
        <scheme val="minor"/>
      </rPr>
      <t>1 journée
(planification libre)</t>
    </r>
  </si>
  <si>
    <t>FISE A5 Info et Généraliste (FR et EN)</t>
  </si>
  <si>
    <t>FISE A5 - CP - Info et Généraliste</t>
  </si>
  <si>
    <r>
      <t xml:space="preserve">Appréciation de la formation par l'entreprise
</t>
    </r>
    <r>
      <rPr>
        <b/>
        <sz val="11"/>
        <color indexed="8"/>
        <rFont val="Arial"/>
        <family val="2"/>
        <scheme val="minor"/>
      </rPr>
      <t xml:space="preserve">
Après jury intermédiaire, communiquer le résultat à l'étudiant et à l'entreprise.</t>
    </r>
  </si>
  <si>
    <r>
      <t xml:space="preserve">Appréciation de la formation par l'entreprise
</t>
    </r>
    <r>
      <rPr>
        <b/>
        <sz val="11"/>
        <color indexed="8"/>
        <rFont val="Arial"/>
        <family val="2"/>
        <scheme val="minor"/>
      </rPr>
      <t>Après jury intermédiaire, communiquer le résultat à l'étudiant et à l'entreprise.</t>
    </r>
  </si>
  <si>
    <t>Appréciation du bloc
Bilan et analyse du bloc par le tuteur (+ débriefing programmé au minimum 1 semaine après la fin du bloc - 1 représentant par campus)
Envoi de la convocation avant session de rattrapage par mail (informer également l'entreprise)</t>
  </si>
  <si>
    <t>Option (partie 1)</t>
  </si>
  <si>
    <t>Option (partie 2)</t>
  </si>
  <si>
    <r>
      <rPr>
        <b/>
        <sz val="11"/>
        <color indexed="8"/>
        <rFont val="Arial"/>
        <family val="2"/>
        <scheme val="minor"/>
      </rPr>
      <t>Bilan de formation</t>
    </r>
    <r>
      <rPr>
        <sz val="11"/>
        <color indexed="8"/>
        <rFont val="Arial"/>
        <family val="2"/>
        <scheme val="minor"/>
      </rPr>
      <t xml:space="preserve">
Appréciation du bloc
Envoi de la convocation avant session de rattrapage par mail (informer également l'entreprise)</t>
    </r>
  </si>
  <si>
    <r>
      <rPr>
        <sz val="12"/>
        <color rgb="FF000000"/>
        <rFont val="Arial"/>
        <family val="2"/>
        <scheme val="minor"/>
      </rPr>
      <t xml:space="preserve">Lancement Ingénierie durable </t>
    </r>
    <r>
      <rPr>
        <b/>
        <sz val="12"/>
        <color rgb="FF000000"/>
        <rFont val="Arial"/>
        <family val="2"/>
        <scheme val="minor"/>
      </rPr>
      <t xml:space="preserve">
-
Séminaire Management des Hommes</t>
    </r>
    <r>
      <rPr>
        <sz val="12"/>
        <color rgb="FF000000"/>
        <rFont val="Arial"/>
        <family val="2"/>
        <scheme val="minor"/>
      </rPr>
      <t xml:space="preserve"> (5 jours)</t>
    </r>
  </si>
  <si>
    <r>
      <t xml:space="preserve">Réunion des délégués
</t>
    </r>
    <r>
      <rPr>
        <sz val="11"/>
        <color indexed="8"/>
        <rFont val="Arial"/>
        <family val="2"/>
        <scheme val="minor"/>
      </rPr>
      <t>Envoi de la convocation avant session de rattrapage par mail (informer également l'entreprise)</t>
    </r>
  </si>
  <si>
    <t>Option (2e partie)</t>
  </si>
  <si>
    <r>
      <t xml:space="preserve">
Option (1ère partie)
</t>
    </r>
    <r>
      <rPr>
        <i/>
        <sz val="12"/>
        <rFont val="Arial"/>
        <family val="2"/>
        <scheme val="minor"/>
      </rPr>
      <t>Planifier une 1/2 journée sur Management de projet</t>
    </r>
  </si>
  <si>
    <t>Option (1ère partie)</t>
  </si>
  <si>
    <r>
      <rPr>
        <b/>
        <sz val="11"/>
        <color indexed="8"/>
        <rFont val="Arial"/>
        <family val="2"/>
        <scheme val="minor"/>
      </rPr>
      <t>Bilan de formation</t>
    </r>
    <r>
      <rPr>
        <sz val="11"/>
        <color indexed="8"/>
        <rFont val="Arial"/>
        <family val="2"/>
        <scheme val="minor"/>
      </rPr>
      <t xml:space="preserve">
Appréciation des blocs
Envoi de la convocation avant session de rattrapage par mail (informer également l'entreprise)</t>
    </r>
  </si>
  <si>
    <t>A4 - Entreprise + ADS préconisée à la place de la semaine 23</t>
  </si>
  <si>
    <t>Bilan et analyse du bloc par le tuteur (+ débriefing programmé au minimum 1 semaine après la fin du bloc - 1 représentant par campus)
Envoi de la convocation avant session de rattrapage par mail</t>
  </si>
  <si>
    <r>
      <t xml:space="preserve">Réunion des délégués
</t>
    </r>
    <r>
      <rPr>
        <sz val="11"/>
        <color indexed="8"/>
        <rFont val="Arial"/>
        <family val="2"/>
        <scheme val="minor"/>
      </rPr>
      <t xml:space="preserve">
Envoi de la convocation avant session de rattrapage par mail</t>
    </r>
  </si>
  <si>
    <t>A3 FISE Info (FR et EN)</t>
  </si>
  <si>
    <r>
      <t xml:space="preserve">Stage
</t>
    </r>
    <r>
      <rPr>
        <sz val="12"/>
        <color rgb="FF000000"/>
        <rFont val="Arial"/>
        <family val="2"/>
        <scheme val="minor"/>
      </rPr>
      <t xml:space="preserve">17 semaines à effectuer (12 semaines minimum)
</t>
    </r>
    <r>
      <rPr>
        <b/>
        <sz val="12"/>
        <color rgb="FF000000"/>
        <rFont val="Arial"/>
        <family val="2"/>
        <scheme val="minor"/>
      </rPr>
      <t>OU
Mobilité académique</t>
    </r>
  </si>
  <si>
    <t>Réunion de rentrée (enseignants)</t>
  </si>
  <si>
    <t>Nouvelles colonnes</t>
  </si>
  <si>
    <t>Admissions parallèles / Master's Degree in CS + S3E (3 ans)</t>
  </si>
  <si>
    <t>[CPI et FISE] Présentation double diplomes internationaux</t>
  </si>
  <si>
    <t>Présentation des majeures (A3 FISE)</t>
  </si>
  <si>
    <t>Présentation des double-diplomes (A3 FISE)
Jury 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</si>
</sst>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F800]dddd\,\ mmmm\ dd\,\ yyyy"/>
  </numFmts>
  <fonts count="50" x14ac:knownFonts="1">
    <font>
      <sz val="11"/>
      <color theme="1"/>
      <name val="Arial"/>
      <family val="2"/>
      <scheme val="minor"/>
    </font>
    <font>
      <sz val="11"/>
      <color rgb="FF9C0006"/>
      <name val="Arial"/>
      <family val="2"/>
      <scheme val="minor"/>
    </font>
    <font>
      <sz val="11"/>
      <color rgb="FF9C6500"/>
      <name val="Arial"/>
      <family val="2"/>
      <scheme val="minor"/>
    </font>
    <font>
      <b/>
      <sz val="11"/>
      <name val="Arial"/>
      <family val="2"/>
      <scheme val="minor"/>
    </font>
    <font>
      <b/>
      <sz val="11"/>
      <color theme="1"/>
      <name val="Arial"/>
      <family val="2"/>
      <scheme val="minor"/>
    </font>
    <font>
      <u/>
      <sz val="11"/>
      <color theme="10"/>
      <name val="Arial"/>
      <family val="2"/>
      <scheme val="minor"/>
    </font>
    <font>
      <b/>
      <sz val="8"/>
      <color theme="1"/>
      <name val="Arial"/>
      <family val="2"/>
      <scheme val="minor"/>
    </font>
    <font>
      <b/>
      <sz val="8"/>
      <color indexed="8"/>
      <name val="Arial"/>
      <family val="2"/>
      <scheme val="minor"/>
    </font>
    <font>
      <b/>
      <sz val="8"/>
      <name val="Arial"/>
      <family val="2"/>
      <scheme val="minor"/>
    </font>
    <font>
      <sz val="9"/>
      <color indexed="81"/>
      <name val="Tahoma"/>
      <family val="2"/>
    </font>
    <font>
      <b/>
      <sz val="9"/>
      <color indexed="81"/>
      <name val="Tahoma"/>
      <family val="2"/>
    </font>
    <font>
      <b/>
      <sz val="12"/>
      <color theme="1"/>
      <name val="Arial Narrow"/>
      <family val="2"/>
    </font>
    <font>
      <sz val="12"/>
      <color theme="1"/>
      <name val="Arial Narrow"/>
      <family val="2"/>
    </font>
    <font>
      <sz val="12"/>
      <color indexed="8"/>
      <name val="Arial Narrow"/>
      <family val="2"/>
    </font>
    <font>
      <b/>
      <sz val="12"/>
      <color theme="1"/>
      <name val="Arial Black"/>
      <family val="2"/>
      <scheme val="major"/>
    </font>
    <font>
      <b/>
      <sz val="16"/>
      <color theme="1"/>
      <name val="Arial Black"/>
      <family val="2"/>
      <scheme val="major"/>
    </font>
    <font>
      <b/>
      <sz val="12"/>
      <name val="Arial Black"/>
      <family val="2"/>
      <scheme val="major"/>
    </font>
    <font>
      <b/>
      <sz val="12"/>
      <name val="Arial"/>
      <family val="2"/>
      <scheme val="minor"/>
    </font>
    <font>
      <sz val="12"/>
      <name val="Arial"/>
      <family val="2"/>
      <scheme val="minor"/>
    </font>
    <font>
      <b/>
      <sz val="12"/>
      <color theme="1"/>
      <name val="Arial"/>
      <family val="2"/>
      <scheme val="minor"/>
    </font>
    <font>
      <b/>
      <sz val="12"/>
      <color indexed="8"/>
      <name val="Arial"/>
      <family val="2"/>
      <scheme val="minor"/>
    </font>
    <font>
      <b/>
      <sz val="12"/>
      <color theme="0"/>
      <name val="Arial"/>
      <family val="2"/>
      <scheme val="minor"/>
    </font>
    <font>
      <b/>
      <sz val="12"/>
      <name val="Arial Narrow"/>
      <family val="2"/>
    </font>
    <font>
      <sz val="12"/>
      <name val="Arial Narrow"/>
      <family val="2"/>
    </font>
    <font>
      <b/>
      <sz val="12"/>
      <name val="Arial"/>
      <family val="2"/>
    </font>
    <font>
      <i/>
      <sz val="12"/>
      <name val="Arial"/>
      <family val="2"/>
      <scheme val="minor"/>
    </font>
    <font>
      <b/>
      <i/>
      <sz val="12"/>
      <name val="Arial"/>
      <family val="2"/>
      <scheme val="minor"/>
    </font>
    <font>
      <sz val="12"/>
      <color theme="0"/>
      <name val="Arial Narrow"/>
      <family val="2"/>
    </font>
    <font>
      <sz val="12"/>
      <color theme="0"/>
      <name val="Arial"/>
      <family val="2"/>
      <scheme val="minor"/>
    </font>
    <font>
      <sz val="10"/>
      <name val="Arial Narrow"/>
      <family val="2"/>
    </font>
    <font>
      <b/>
      <sz val="12"/>
      <color theme="0"/>
      <name val="Arial Narrow"/>
      <family val="2"/>
    </font>
    <font>
      <b/>
      <sz val="12"/>
      <color rgb="FF000000"/>
      <name val="Arial"/>
      <family val="2"/>
      <scheme val="minor"/>
    </font>
    <font>
      <sz val="12"/>
      <color rgb="FF000000"/>
      <name val="Arial"/>
      <family val="2"/>
      <scheme val="minor"/>
    </font>
    <font>
      <b/>
      <sz val="10"/>
      <name val="Arial"/>
      <family val="2"/>
      <scheme val="minor"/>
    </font>
    <font>
      <b/>
      <sz val="10"/>
      <color rgb="FF000000"/>
      <name val="Arial"/>
      <family val="2"/>
      <scheme val="minor"/>
    </font>
    <font>
      <b/>
      <i/>
      <sz val="10"/>
      <color rgb="FF000000"/>
      <name val="Arial"/>
      <family val="2"/>
      <scheme val="minor"/>
    </font>
    <font>
      <b/>
      <sz val="12"/>
      <color rgb="FF000000"/>
      <name val="Arial"/>
      <family val="2"/>
    </font>
    <font>
      <sz val="12"/>
      <color rgb="FF000000"/>
      <name val="Arial Narrow"/>
      <family val="2"/>
    </font>
    <font>
      <sz val="11"/>
      <color rgb="FF000000"/>
      <name val="Arial"/>
      <family val="2"/>
      <scheme val="minor"/>
    </font>
    <font>
      <b/>
      <sz val="12"/>
      <color rgb="FF000000"/>
      <name val="Arial Narrow"/>
      <family val="2"/>
    </font>
    <font>
      <sz val="11"/>
      <color theme="1"/>
      <name val="Arial"/>
      <family val="2"/>
      <scheme val="minor"/>
    </font>
    <font>
      <sz val="11"/>
      <color indexed="8"/>
      <name val="Arial"/>
      <family val="2"/>
      <scheme val="minor"/>
    </font>
    <font>
      <b/>
      <sz val="11"/>
      <color indexed="8"/>
      <name val="Arial"/>
      <family val="2"/>
      <scheme val="minor"/>
    </font>
    <font>
      <b/>
      <u/>
      <sz val="11"/>
      <color indexed="8"/>
      <name val="Arial"/>
      <family val="2"/>
      <scheme val="minor"/>
    </font>
    <font>
      <i/>
      <sz val="11"/>
      <color indexed="8"/>
      <name val="Arial"/>
      <family val="2"/>
      <scheme val="minor"/>
    </font>
    <font>
      <i/>
      <sz val="11"/>
      <color theme="1"/>
      <name val="Arial"/>
      <family val="2"/>
      <scheme val="minor"/>
    </font>
    <font>
      <b/>
      <sz val="14"/>
      <name val="Arial"/>
      <family val="2"/>
      <scheme val="minor"/>
    </font>
    <font>
      <sz val="9"/>
      <color indexed="81"/>
      <name val="Tahoma"/>
      <charset val="1"/>
    </font>
    <font>
      <b/>
      <sz val="9"/>
      <color indexed="81"/>
      <name val="Tahoma"/>
      <charset val="1"/>
    </font>
    <font>
      <sz val="12"/>
      <color indexed="8"/>
      <name val="Arial"/>
      <family val="2"/>
      <scheme val="minor"/>
    </font>
  </fonts>
  <fills count="42">
    <fill>
      <patternFill patternType="none"/>
    </fill>
    <fill>
      <patternFill patternType="gray125"/>
    </fill>
    <fill>
      <patternFill patternType="solid">
        <fgColor rgb="FFFFC7CE"/>
      </patternFill>
    </fill>
    <fill>
      <patternFill patternType="solid">
        <fgColor rgb="FFFFEB9C"/>
      </patternFill>
    </fill>
    <fill>
      <patternFill patternType="solid">
        <fgColor theme="0"/>
        <bgColor indexed="64"/>
      </patternFill>
    </fill>
    <fill>
      <patternFill patternType="solid">
        <fgColor theme="7"/>
        <bgColor indexed="64"/>
      </patternFill>
    </fill>
    <fill>
      <patternFill patternType="solid">
        <fgColor theme="6"/>
        <bgColor indexed="64"/>
      </patternFill>
    </fill>
    <fill>
      <patternFill patternType="solid">
        <fgColor rgb="FFFFFFFF"/>
        <bgColor rgb="FF000000"/>
      </patternFill>
    </fill>
    <fill>
      <patternFill patternType="solid">
        <fgColor rgb="FFD9D9D9"/>
        <bgColor indexed="64"/>
      </patternFill>
    </fill>
    <fill>
      <patternFill patternType="solid">
        <fgColor rgb="FF808080"/>
        <bgColor indexed="64"/>
      </patternFill>
    </fill>
    <fill>
      <patternFill patternType="solid">
        <fgColor theme="9"/>
        <bgColor indexed="64"/>
      </patternFill>
    </fill>
    <fill>
      <patternFill patternType="solid">
        <fgColor theme="5"/>
        <bgColor indexed="64"/>
      </patternFill>
    </fill>
    <fill>
      <patternFill patternType="solid">
        <fgColor theme="8"/>
        <bgColor indexed="64"/>
      </patternFill>
    </fill>
    <fill>
      <patternFill patternType="solid">
        <fgColor theme="7" tint="-0.249977111117893"/>
        <bgColor indexed="64"/>
      </patternFill>
    </fill>
    <fill>
      <patternFill patternType="solid">
        <fgColor theme="9"/>
        <bgColor rgb="FF000000"/>
      </patternFill>
    </fill>
    <fill>
      <patternFill patternType="solid">
        <fgColor theme="7"/>
        <bgColor rgb="FF000000"/>
      </patternFill>
    </fill>
    <fill>
      <patternFill patternType="solid">
        <fgColor theme="5"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2" tint="-0.34998626667073579"/>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8" tint="0.79998168889431442"/>
        <bgColor indexed="64"/>
      </patternFill>
    </fill>
    <fill>
      <patternFill patternType="solid">
        <fgColor theme="7" tint="-0.49998474074526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9" tint="0.59999389629810485"/>
        <bgColor rgb="FF000000"/>
      </patternFill>
    </fill>
    <fill>
      <patternFill patternType="solid">
        <fgColor rgb="FFFFFF00"/>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2"/>
        <bgColor indexed="64"/>
      </patternFill>
    </fill>
    <fill>
      <patternFill patternType="solid">
        <fgColor theme="0" tint="-0.34998626667073579"/>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7030A0"/>
        <bgColor indexed="64"/>
      </patternFill>
    </fill>
    <fill>
      <patternFill patternType="solid">
        <fgColor rgb="FFD2005E"/>
        <bgColor indexed="64"/>
      </patternFill>
    </fill>
    <fill>
      <patternFill patternType="solid">
        <fgColor theme="9" tint="0.39997558519241921"/>
        <bgColor rgb="FF000000"/>
      </patternFill>
    </fill>
    <fill>
      <patternFill patternType="solid">
        <fgColor theme="6" tint="0.39997558519241921"/>
        <bgColor indexed="64"/>
      </patternFill>
    </fill>
    <fill>
      <patternFill patternType="solid">
        <fgColor rgb="FF92D050"/>
        <bgColor indexed="64"/>
      </patternFill>
    </fill>
    <fill>
      <patternFill patternType="solid">
        <fgColor rgb="FF92D050"/>
        <bgColor rgb="FF000000"/>
      </patternFill>
    </fill>
  </fills>
  <borders count="13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rgb="FF000000"/>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style="medium">
        <color auto="1"/>
      </top>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auto="1"/>
      </top>
      <bottom/>
      <diagonal/>
    </border>
    <border>
      <left style="thin">
        <color indexed="64"/>
      </left>
      <right/>
      <top/>
      <bottom/>
      <diagonal/>
    </border>
    <border>
      <left style="thin">
        <color indexed="64"/>
      </left>
      <right/>
      <top/>
      <bottom style="medium">
        <color indexed="64"/>
      </bottom>
      <diagonal/>
    </border>
    <border>
      <left style="medium">
        <color indexed="64"/>
      </left>
      <right style="medium">
        <color indexed="64"/>
      </right>
      <top style="medium">
        <color indexed="64"/>
      </top>
      <bottom style="thin">
        <color rgb="FF000000"/>
      </bottom>
      <diagonal/>
    </border>
    <border>
      <left style="thin">
        <color indexed="64"/>
      </left>
      <right/>
      <top style="medium">
        <color indexed="64"/>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style="medium">
        <color indexed="64"/>
      </left>
      <right style="medium">
        <color indexed="64"/>
      </right>
      <top style="thin">
        <color theme="0" tint="-0.34998626667073579"/>
      </top>
      <bottom style="medium">
        <color indexed="64"/>
      </bottom>
      <diagonal/>
    </border>
    <border>
      <left style="medium">
        <color indexed="64"/>
      </left>
      <right style="thin">
        <color indexed="64"/>
      </right>
      <top style="medium">
        <color auto="1"/>
      </top>
      <bottom style="thin">
        <color theme="0" tint="-0.34998626667073579"/>
      </bottom>
      <diagonal/>
    </border>
    <border>
      <left style="thin">
        <color indexed="64"/>
      </left>
      <right style="thin">
        <color indexed="64"/>
      </right>
      <top style="medium">
        <color auto="1"/>
      </top>
      <bottom style="thin">
        <color theme="0" tint="-0.34998626667073579"/>
      </bottom>
      <diagonal/>
    </border>
    <border>
      <left style="thin">
        <color indexed="64"/>
      </left>
      <right style="medium">
        <color indexed="64"/>
      </right>
      <top style="medium">
        <color indexed="64"/>
      </top>
      <bottom style="thin">
        <color theme="0" tint="-0.34998626667073579"/>
      </bottom>
      <diagonal/>
    </border>
    <border>
      <left style="medium">
        <color indexed="64"/>
      </left>
      <right style="thin">
        <color indexed="64"/>
      </right>
      <top style="thin">
        <color theme="0" tint="-0.34998626667073579"/>
      </top>
      <bottom style="thin">
        <color theme="0" tint="-0.34998626667073579"/>
      </bottom>
      <diagonal/>
    </border>
    <border>
      <left style="thin">
        <color indexed="64"/>
      </left>
      <right style="thin">
        <color indexed="64"/>
      </right>
      <top style="thin">
        <color theme="0" tint="-0.34998626667073579"/>
      </top>
      <bottom style="thin">
        <color theme="0" tint="-0.34998626667073579"/>
      </bottom>
      <diagonal/>
    </border>
    <border>
      <left style="thin">
        <color indexed="64"/>
      </left>
      <right style="medium">
        <color indexed="64"/>
      </right>
      <top style="thin">
        <color theme="0" tint="-0.34998626667073579"/>
      </top>
      <bottom style="thin">
        <color theme="0" tint="-0.34998626667073579"/>
      </bottom>
      <diagonal/>
    </border>
    <border>
      <left style="medium">
        <color indexed="64"/>
      </left>
      <right style="thin">
        <color indexed="64"/>
      </right>
      <top style="thin">
        <color theme="0" tint="-0.34998626667073579"/>
      </top>
      <bottom style="medium">
        <color indexed="64"/>
      </bottom>
      <diagonal/>
    </border>
    <border>
      <left style="thin">
        <color indexed="64"/>
      </left>
      <right style="thin">
        <color indexed="64"/>
      </right>
      <top style="thin">
        <color theme="0" tint="-0.34998626667073579"/>
      </top>
      <bottom style="medium">
        <color indexed="64"/>
      </bottom>
      <diagonal/>
    </border>
    <border>
      <left style="thin">
        <color indexed="64"/>
      </left>
      <right style="medium">
        <color indexed="64"/>
      </right>
      <top style="thin">
        <color theme="0" tint="-0.34998626667073579"/>
      </top>
      <bottom style="medium">
        <color indexed="64"/>
      </bottom>
      <diagonal/>
    </border>
    <border>
      <left style="medium">
        <color indexed="64"/>
      </left>
      <right style="medium">
        <color indexed="64"/>
      </right>
      <top style="medium">
        <color indexed="64"/>
      </top>
      <bottom style="thin">
        <color theme="0" tint="-0.34998626667073579"/>
      </bottom>
      <diagonal/>
    </border>
    <border>
      <left style="thin">
        <color indexed="64"/>
      </left>
      <right style="medium">
        <color indexed="64"/>
      </right>
      <top style="thin">
        <color theme="0" tint="-0.34998626667073579"/>
      </top>
      <bottom/>
      <diagonal/>
    </border>
    <border>
      <left/>
      <right style="thin">
        <color indexed="64"/>
      </right>
      <top style="medium">
        <color auto="1"/>
      </top>
      <bottom style="thin">
        <color theme="0" tint="-0.34998626667073579"/>
      </bottom>
      <diagonal/>
    </border>
    <border>
      <left/>
      <right style="thin">
        <color indexed="64"/>
      </right>
      <top style="thin">
        <color theme="0" tint="-0.34998626667073579"/>
      </top>
      <bottom style="thin">
        <color theme="0" tint="-0.34998626667073579"/>
      </bottom>
      <diagonal/>
    </border>
    <border>
      <left/>
      <right style="thin">
        <color indexed="64"/>
      </right>
      <top style="thin">
        <color theme="0" tint="-0.34998626667073579"/>
      </top>
      <bottom style="medium">
        <color indexed="64"/>
      </bottom>
      <diagonal/>
    </border>
    <border>
      <left style="medium">
        <color indexed="64"/>
      </left>
      <right style="thin">
        <color indexed="64"/>
      </right>
      <top/>
      <bottom style="thin">
        <color theme="0" tint="-0.34998626667073579"/>
      </bottom>
      <diagonal/>
    </border>
    <border>
      <left style="thin">
        <color indexed="64"/>
      </left>
      <right style="thin">
        <color indexed="64"/>
      </right>
      <top/>
      <bottom style="thin">
        <color theme="0" tint="-0.34998626667073579"/>
      </bottom>
      <diagonal/>
    </border>
    <border>
      <left style="thin">
        <color indexed="64"/>
      </left>
      <right style="medium">
        <color indexed="64"/>
      </right>
      <top/>
      <bottom style="thin">
        <color theme="0" tint="-0.34998626667073579"/>
      </bottom>
      <diagonal/>
    </border>
    <border>
      <left style="medium">
        <color indexed="64"/>
      </left>
      <right/>
      <top style="medium">
        <color auto="1"/>
      </top>
      <bottom style="thin">
        <color theme="0" tint="-0.34998626667073579"/>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style="double">
        <color indexed="64"/>
      </top>
      <bottom style="double">
        <color indexed="64"/>
      </bottom>
      <diagonal/>
    </border>
    <border>
      <left style="medium">
        <color indexed="64"/>
      </left>
      <right style="medium">
        <color indexed="64"/>
      </right>
      <top style="double">
        <color indexed="64"/>
      </top>
      <bottom style="medium">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style="double">
        <color indexed="64"/>
      </bottom>
      <diagonal/>
    </border>
    <border>
      <left style="thin">
        <color indexed="64"/>
      </left>
      <right style="medium">
        <color indexed="64"/>
      </right>
      <top style="thin">
        <color theme="0" tint="-0.24994659260841701"/>
      </top>
      <bottom style="thin">
        <color theme="0" tint="-0.34998626667073579"/>
      </bottom>
      <diagonal/>
    </border>
    <border>
      <left style="thin">
        <color indexed="64"/>
      </left>
      <right style="thin">
        <color indexed="64"/>
      </right>
      <top style="thin">
        <color theme="0" tint="-0.34998626667073579"/>
      </top>
      <bottom/>
      <diagonal/>
    </border>
    <border>
      <left style="medium">
        <color indexed="64"/>
      </left>
      <right style="thin">
        <color indexed="64"/>
      </right>
      <top style="thin">
        <color theme="0" tint="-0.34998626667073579"/>
      </top>
      <bottom/>
      <diagonal/>
    </border>
    <border>
      <left style="medium">
        <color indexed="64"/>
      </left>
      <right/>
      <top style="thin">
        <color theme="0" tint="-0.34998626667073579"/>
      </top>
      <bottom style="medium">
        <color indexed="64"/>
      </bottom>
      <diagonal/>
    </border>
    <border>
      <left style="thin">
        <color indexed="64"/>
      </left>
      <right/>
      <top style="medium">
        <color indexed="64"/>
      </top>
      <bottom style="thin">
        <color theme="0" tint="-0.34998626667073579"/>
      </bottom>
      <diagonal/>
    </border>
    <border>
      <left style="thin">
        <color indexed="64"/>
      </left>
      <right/>
      <top style="thin">
        <color theme="0" tint="-0.34998626667073579"/>
      </top>
      <bottom style="thin">
        <color theme="0" tint="-0.34998626667073579"/>
      </bottom>
      <diagonal/>
    </border>
    <border>
      <left style="thin">
        <color indexed="64"/>
      </left>
      <right/>
      <top style="thin">
        <color theme="0" tint="-0.34998626667073579"/>
      </top>
      <bottom style="medium">
        <color indexed="64"/>
      </bottom>
      <diagonal/>
    </border>
    <border>
      <left style="medium">
        <color indexed="64"/>
      </left>
      <right/>
      <top style="thin">
        <color theme="0" tint="-0.34998626667073579"/>
      </top>
      <bottom style="thin">
        <color theme="0" tint="-0.34998626667073579"/>
      </bottom>
      <diagonal/>
    </border>
    <border>
      <left style="medium">
        <color indexed="64"/>
      </left>
      <right style="medium">
        <color indexed="64"/>
      </right>
      <top style="thin">
        <color theme="0" tint="-0.34998626667073579"/>
      </top>
      <bottom/>
      <diagonal/>
    </border>
    <border>
      <left style="medium">
        <color indexed="64"/>
      </left>
      <right style="medium">
        <color indexed="64"/>
      </right>
      <top/>
      <bottom style="thin">
        <color rgb="FF000000"/>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style="double">
        <color indexed="64"/>
      </top>
      <bottom style="medium">
        <color rgb="FF000000"/>
      </bottom>
      <diagonal/>
    </border>
    <border>
      <left style="medium">
        <color indexed="64"/>
      </left>
      <right style="medium">
        <color indexed="64"/>
      </right>
      <top style="thin">
        <color rgb="FF000000"/>
      </top>
      <bottom style="medium">
        <color rgb="FF000000"/>
      </bottom>
      <diagonal/>
    </border>
    <border>
      <left style="medium">
        <color indexed="64"/>
      </left>
      <right style="medium">
        <color indexed="64"/>
      </right>
      <top style="medium">
        <color rgb="FF000000"/>
      </top>
      <bottom style="double">
        <color indexed="64"/>
      </bottom>
      <diagonal/>
    </border>
    <border>
      <left style="medium">
        <color indexed="64"/>
      </left>
      <right style="thin">
        <color indexed="64"/>
      </right>
      <top/>
      <bottom/>
      <diagonal/>
    </border>
    <border>
      <left style="thin">
        <color indexed="64"/>
      </left>
      <right style="thin">
        <color indexed="64"/>
      </right>
      <top style="thin">
        <color theme="0" tint="-0.34998626667073579"/>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right style="thin">
        <color indexed="64"/>
      </right>
      <top/>
      <bottom style="thin">
        <color theme="0" tint="-0.34998626667073579"/>
      </bottom>
      <diagonal/>
    </border>
    <border>
      <left style="medium">
        <color indexed="64"/>
      </left>
      <right/>
      <top/>
      <bottom style="double">
        <color indexed="64"/>
      </bottom>
      <diagonal/>
    </border>
    <border>
      <left/>
      <right style="medium">
        <color indexed="64"/>
      </right>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auto="1"/>
      </top>
      <bottom style="thin">
        <color indexed="64"/>
      </bottom>
      <diagonal/>
    </border>
    <border>
      <left style="thin">
        <color indexed="64"/>
      </left>
      <right style="thin">
        <color indexed="64"/>
      </right>
      <top style="medium">
        <color auto="1"/>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theme="0" tint="-0.34998626667073579"/>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theme="0" tint="-0.34998626667073579"/>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theme="0" tint="-0.34998626667073579"/>
      </top>
      <bottom style="thin">
        <color indexed="64"/>
      </bottom>
      <diagonal/>
    </border>
    <border>
      <left style="thin">
        <color indexed="64"/>
      </left>
      <right style="medium">
        <color indexed="64"/>
      </right>
      <top style="thin">
        <color theme="0" tint="-0.34998626667073579"/>
      </top>
      <bottom style="thin">
        <color indexed="64"/>
      </bottom>
      <diagonal/>
    </border>
    <border>
      <left style="medium">
        <color indexed="64"/>
      </left>
      <right style="medium">
        <color indexed="64"/>
      </right>
      <top style="thin">
        <color theme="0" tint="-0.34998626667073579"/>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theme="0" tint="-0.34998626667073579"/>
      </top>
      <bottom style="thin">
        <color indexed="64"/>
      </bottom>
      <diagonal/>
    </border>
    <border>
      <left/>
      <right style="thin">
        <color indexed="64"/>
      </right>
      <top style="thin">
        <color indexed="64"/>
      </top>
      <bottom/>
      <diagonal/>
    </border>
    <border>
      <left style="medium">
        <color indexed="64"/>
      </left>
      <right style="medium">
        <color indexed="64"/>
      </right>
      <top style="medium">
        <color rgb="FF000000"/>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theme="0" tint="-0.34998626667073579"/>
      </top>
      <bottom/>
      <diagonal/>
    </border>
    <border>
      <left/>
      <right style="thin">
        <color indexed="64"/>
      </right>
      <top/>
      <bottom style="thin">
        <color indexed="64"/>
      </bottom>
      <diagonal/>
    </border>
    <border>
      <left style="medium">
        <color indexed="64"/>
      </left>
      <right/>
      <top style="double">
        <color indexed="64"/>
      </top>
      <bottom/>
      <diagonal/>
    </border>
    <border>
      <left style="medium">
        <color indexed="64"/>
      </left>
      <right/>
      <top/>
      <bottom style="thin">
        <color indexed="64"/>
      </bottom>
      <diagonal/>
    </border>
    <border>
      <left style="thin">
        <color indexed="64"/>
      </left>
      <right/>
      <top/>
      <bottom style="thin">
        <color indexed="64"/>
      </bottom>
      <diagonal/>
    </border>
    <border>
      <left/>
      <right style="medium">
        <color indexed="64"/>
      </right>
      <top style="thin">
        <color theme="0" tint="-0.34998626667073579"/>
      </top>
      <bottom style="medium">
        <color indexed="64"/>
      </bottom>
      <diagonal/>
    </border>
    <border>
      <left style="medium">
        <color indexed="64"/>
      </left>
      <right style="medium">
        <color indexed="64"/>
      </right>
      <top style="thin">
        <color rgb="FF000000"/>
      </top>
      <bottom style="double">
        <color indexed="64"/>
      </bottom>
      <diagonal/>
    </border>
    <border>
      <left style="medium">
        <color indexed="64"/>
      </left>
      <right/>
      <top style="thin">
        <color indexed="64"/>
      </top>
      <bottom/>
      <diagonal/>
    </border>
    <border>
      <left style="medium">
        <color indexed="64"/>
      </left>
      <right/>
      <top style="double">
        <color indexed="64"/>
      </top>
      <bottom style="double">
        <color indexed="64"/>
      </bottom>
      <diagonal/>
    </border>
    <border>
      <left style="medium">
        <color indexed="64"/>
      </left>
      <right/>
      <top style="double">
        <color indexed="64"/>
      </top>
      <bottom style="thin">
        <color indexed="64"/>
      </bottom>
      <diagonal/>
    </border>
    <border>
      <left style="medium">
        <color indexed="64"/>
      </left>
      <right/>
      <top style="medium">
        <color indexed="64"/>
      </top>
      <bottom style="double">
        <color indexed="64"/>
      </bottom>
      <diagonal/>
    </border>
    <border>
      <left style="medium">
        <color auto="1"/>
      </left>
      <right style="thin">
        <color auto="1"/>
      </right>
      <top style="thin">
        <color indexed="64"/>
      </top>
      <bottom style="thin">
        <color theme="0" tint="-0.34998626667073579"/>
      </bottom>
      <diagonal/>
    </border>
    <border>
      <left/>
      <right style="medium">
        <color indexed="64"/>
      </right>
      <top/>
      <bottom style="thin">
        <color theme="0" tint="-0.34998626667073579"/>
      </bottom>
      <diagonal/>
    </border>
  </borders>
  <cellStyleXfs count="7">
    <xf numFmtId="0" fontId="0" fillId="0" borderId="0"/>
    <xf numFmtId="0" fontId="1" fillId="2" borderId="0" applyNumberFormat="0" applyBorder="0" applyAlignment="0" applyProtection="0"/>
    <xf numFmtId="0" fontId="2" fillId="3" borderId="0" applyNumberFormat="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43" fontId="40" fillId="0" borderId="0" applyFont="0" applyFill="0" applyBorder="0" applyAlignment="0" applyProtection="0"/>
    <xf numFmtId="43" fontId="40" fillId="0" borderId="0" applyFont="0" applyFill="0" applyBorder="0" applyAlignment="0" applyProtection="0"/>
  </cellStyleXfs>
  <cellXfs count="1171">
    <xf numFmtId="0" fontId="0" fillId="0" borderId="0" xfId="0"/>
    <xf numFmtId="164" fontId="6" fillId="0" borderId="0" xfId="0" applyNumberFormat="1" applyFont="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164" fontId="7" fillId="0" borderId="0" xfId="0" applyNumberFormat="1" applyFont="1" applyAlignment="1">
      <alignment horizontal="center" vertical="center" wrapText="1"/>
    </xf>
    <xf numFmtId="164" fontId="4" fillId="0" borderId="0" xfId="0" applyNumberFormat="1"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3" fillId="0" borderId="0" xfId="0" applyFont="1" applyAlignment="1">
      <alignment horizontal="center" vertical="center" wrapText="1"/>
    </xf>
    <xf numFmtId="0" fontId="8" fillId="0" borderId="0" xfId="0" applyFont="1" applyAlignment="1">
      <alignment horizontal="center" vertical="center" wrapText="1"/>
    </xf>
    <xf numFmtId="0" fontId="3"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horizontal="center" vertical="center" textRotation="90" wrapText="1"/>
    </xf>
    <xf numFmtId="0" fontId="12"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right"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164" fontId="17" fillId="0" borderId="0" xfId="0" applyNumberFormat="1" applyFont="1" applyAlignment="1">
      <alignment horizontal="center" vertical="center" wrapText="1"/>
    </xf>
    <xf numFmtId="0" fontId="19" fillId="0" borderId="0" xfId="0" applyFont="1" applyAlignment="1">
      <alignment horizontal="center" vertical="center" wrapText="1"/>
    </xf>
    <xf numFmtId="164" fontId="19" fillId="0" borderId="0" xfId="0" applyNumberFormat="1" applyFont="1" applyAlignment="1">
      <alignment horizontal="center" vertical="center" wrapText="1"/>
    </xf>
    <xf numFmtId="164" fontId="20" fillId="0" borderId="0" xfId="0" applyNumberFormat="1" applyFont="1" applyAlignment="1">
      <alignment horizontal="center" vertical="center" wrapText="1"/>
    </xf>
    <xf numFmtId="0" fontId="17" fillId="0" borderId="21" xfId="0" applyFont="1" applyBorder="1" applyAlignment="1">
      <alignment horizontal="center" vertical="center" wrapText="1"/>
    </xf>
    <xf numFmtId="0" fontId="17" fillId="0" borderId="21" xfId="2" applyFont="1" applyFill="1" applyBorder="1" applyAlignment="1">
      <alignment horizontal="center" vertical="center" wrapText="1"/>
    </xf>
    <xf numFmtId="0" fontId="17" fillId="0" borderId="29" xfId="0" applyFont="1" applyBorder="1" applyAlignment="1">
      <alignment horizontal="center" vertical="center" wrapText="1"/>
    </xf>
    <xf numFmtId="0" fontId="18" fillId="0" borderId="0" xfId="0" applyFont="1" applyAlignment="1">
      <alignment horizontal="center" vertical="center" wrapText="1"/>
    </xf>
    <xf numFmtId="0" fontId="17" fillId="0" borderId="1" xfId="0" applyFont="1" applyBorder="1" applyAlignment="1">
      <alignment horizontal="center" vertical="center" wrapText="1"/>
    </xf>
    <xf numFmtId="0" fontId="22" fillId="0" borderId="25"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18" xfId="0" applyFont="1" applyBorder="1" applyAlignment="1">
      <alignment horizontal="center" vertical="center" wrapText="1"/>
    </xf>
    <xf numFmtId="164" fontId="12" fillId="0" borderId="38" xfId="0" applyNumberFormat="1" applyFont="1" applyBorder="1" applyAlignment="1">
      <alignment horizontal="left" vertical="center" wrapText="1"/>
    </xf>
    <xf numFmtId="164" fontId="12" fillId="0" borderId="39" xfId="0" applyNumberFormat="1" applyFont="1" applyBorder="1" applyAlignment="1">
      <alignment horizontal="left" vertical="center" wrapText="1"/>
    </xf>
    <xf numFmtId="0" fontId="17" fillId="0" borderId="42" xfId="2" applyFont="1" applyFill="1" applyBorder="1" applyAlignment="1">
      <alignment horizontal="center" vertical="center" wrapText="1"/>
    </xf>
    <xf numFmtId="0" fontId="17" fillId="0" borderId="45" xfId="2" applyFont="1" applyFill="1" applyBorder="1" applyAlignment="1">
      <alignment horizontal="center" vertical="center" wrapText="1"/>
    </xf>
    <xf numFmtId="0" fontId="17" fillId="0" borderId="40" xfId="1" applyFont="1" applyFill="1" applyBorder="1" applyAlignment="1">
      <alignment horizontal="center" vertical="center" wrapText="1"/>
    </xf>
    <xf numFmtId="0" fontId="18" fillId="0" borderId="41" xfId="1" applyFont="1" applyFill="1" applyBorder="1" applyAlignment="1">
      <alignment horizontal="center" vertical="center" wrapText="1"/>
    </xf>
    <xf numFmtId="0" fontId="17" fillId="0" borderId="41" xfId="2" applyFont="1" applyFill="1" applyBorder="1" applyAlignment="1">
      <alignment horizontal="center" vertical="center" wrapText="1"/>
    </xf>
    <xf numFmtId="0" fontId="17" fillId="0" borderId="43" xfId="2" applyFont="1" applyFill="1" applyBorder="1" applyAlignment="1">
      <alignment horizontal="center" vertical="center" wrapText="1"/>
    </xf>
    <xf numFmtId="0" fontId="18" fillId="0" borderId="44" xfId="2" applyFont="1" applyFill="1" applyBorder="1" applyAlignment="1">
      <alignment horizontal="center" vertical="center" wrapText="1"/>
    </xf>
    <xf numFmtId="0" fontId="17" fillId="0" borderId="44" xfId="1" applyFont="1" applyFill="1" applyBorder="1" applyAlignment="1">
      <alignment horizontal="center" vertical="center" wrapText="1"/>
    </xf>
    <xf numFmtId="0" fontId="17" fillId="0" borderId="45" xfId="1" applyFont="1" applyFill="1" applyBorder="1" applyAlignment="1">
      <alignment horizontal="center" vertical="center" wrapText="1"/>
    </xf>
    <xf numFmtId="0" fontId="17" fillId="0" borderId="44" xfId="2" applyFont="1" applyFill="1" applyBorder="1" applyAlignment="1">
      <alignment horizontal="center" vertical="center" wrapText="1"/>
    </xf>
    <xf numFmtId="0" fontId="17" fillId="0" borderId="46" xfId="2" applyFont="1" applyFill="1" applyBorder="1" applyAlignment="1">
      <alignment horizontal="center" vertical="center" wrapText="1"/>
    </xf>
    <xf numFmtId="0" fontId="18" fillId="0" borderId="47" xfId="2" applyFont="1" applyFill="1" applyBorder="1" applyAlignment="1">
      <alignment horizontal="center" vertical="center" wrapText="1"/>
    </xf>
    <xf numFmtId="0" fontId="17" fillId="0" borderId="47" xfId="0" applyFont="1" applyBorder="1" applyAlignment="1">
      <alignment horizontal="center" vertical="center" wrapText="1"/>
    </xf>
    <xf numFmtId="0" fontId="17" fillId="0" borderId="48" xfId="0" applyFont="1" applyBorder="1" applyAlignment="1">
      <alignment horizontal="center" vertical="center" wrapText="1"/>
    </xf>
    <xf numFmtId="0" fontId="17" fillId="0" borderId="44" xfId="0" applyFont="1" applyBorder="1" applyAlignment="1">
      <alignment vertical="center"/>
    </xf>
    <xf numFmtId="0" fontId="17" fillId="0" borderId="44" xfId="0" applyFont="1" applyBorder="1" applyAlignment="1">
      <alignment horizontal="center" vertical="center" wrapText="1"/>
    </xf>
    <xf numFmtId="0" fontId="18" fillId="0" borderId="41" xfId="2" applyFont="1" applyFill="1" applyBorder="1" applyAlignment="1">
      <alignment horizontal="center" vertical="center" wrapText="1"/>
    </xf>
    <xf numFmtId="0" fontId="18" fillId="0" borderId="44" xfId="1" applyFont="1" applyFill="1" applyBorder="1" applyAlignment="1">
      <alignment horizontal="center" vertical="center" wrapText="1"/>
    </xf>
    <xf numFmtId="0" fontId="18" fillId="0" borderId="44" xfId="0" applyFont="1" applyBorder="1" applyAlignment="1">
      <alignment vertical="center" wrapText="1"/>
    </xf>
    <xf numFmtId="0" fontId="18" fillId="0" borderId="44" xfId="0" applyFont="1" applyBorder="1" applyAlignment="1">
      <alignment horizontal="center" vertical="center" wrapText="1"/>
    </xf>
    <xf numFmtId="0" fontId="18" fillId="0" borderId="47" xfId="0" applyFont="1" applyBorder="1" applyAlignment="1">
      <alignment horizontal="center" vertical="center" wrapText="1"/>
    </xf>
    <xf numFmtId="0" fontId="17" fillId="0" borderId="41" xfId="0" applyFont="1" applyBorder="1" applyAlignment="1">
      <alignment vertical="center"/>
    </xf>
    <xf numFmtId="0" fontId="17" fillId="0" borderId="42" xfId="0" applyFont="1" applyBorder="1" applyAlignment="1">
      <alignment vertical="center"/>
    </xf>
    <xf numFmtId="0" fontId="17" fillId="0" borderId="41" xfId="1" applyFont="1" applyFill="1" applyBorder="1" applyAlignment="1">
      <alignment horizontal="center" vertical="center" wrapText="1"/>
    </xf>
    <xf numFmtId="0" fontId="17" fillId="0" borderId="47" xfId="2" applyFont="1" applyFill="1" applyBorder="1" applyAlignment="1">
      <alignment horizontal="center" vertical="center" wrapText="1"/>
    </xf>
    <xf numFmtId="0" fontId="17" fillId="0" borderId="45" xfId="0" applyFont="1" applyBorder="1" applyAlignment="1">
      <alignment horizontal="center" vertical="center" wrapText="1"/>
    </xf>
    <xf numFmtId="0" fontId="17" fillId="0" borderId="40" xfId="2" applyFont="1" applyFill="1" applyBorder="1" applyAlignment="1">
      <alignment horizontal="center" vertical="center" wrapText="1"/>
    </xf>
    <xf numFmtId="0" fontId="17" fillId="0" borderId="42" xfId="0" applyFont="1" applyBorder="1" applyAlignment="1">
      <alignment horizontal="center" vertical="center" wrapText="1"/>
    </xf>
    <xf numFmtId="0" fontId="17" fillId="0" borderId="43" xfId="0" applyFont="1" applyBorder="1" applyAlignment="1">
      <alignment horizontal="center" vertical="center" wrapText="1"/>
    </xf>
    <xf numFmtId="0" fontId="17" fillId="0" borderId="48" xfId="2" applyFont="1" applyFill="1" applyBorder="1" applyAlignment="1">
      <alignment horizontal="center" vertical="center" wrapText="1"/>
    </xf>
    <xf numFmtId="0" fontId="17" fillId="0" borderId="45" xfId="0" applyFont="1" applyBorder="1" applyAlignment="1">
      <alignment vertical="center"/>
    </xf>
    <xf numFmtId="0" fontId="21" fillId="20" borderId="44" xfId="0" applyFont="1" applyFill="1" applyBorder="1" applyAlignment="1">
      <alignment horizontal="center" vertical="center" wrapText="1"/>
    </xf>
    <xf numFmtId="0" fontId="17" fillId="0" borderId="46" xfId="0" applyFont="1" applyBorder="1" applyAlignment="1">
      <alignment horizontal="center" vertical="center" wrapText="1"/>
    </xf>
    <xf numFmtId="0" fontId="17" fillId="0" borderId="43" xfId="0" applyFont="1" applyBorder="1" applyAlignment="1">
      <alignment vertical="center"/>
    </xf>
    <xf numFmtId="0" fontId="17" fillId="0" borderId="46" xfId="0" applyFont="1" applyBorder="1" applyAlignment="1">
      <alignment vertical="center"/>
    </xf>
    <xf numFmtId="0" fontId="18" fillId="0" borderId="47" xfId="0" applyFont="1" applyBorder="1" applyAlignment="1">
      <alignment vertical="center" wrapText="1"/>
    </xf>
    <xf numFmtId="0" fontId="17" fillId="0" borderId="40" xfId="0" applyFont="1" applyBorder="1" applyAlignment="1">
      <alignment horizontal="center" vertical="center" wrapText="1"/>
    </xf>
    <xf numFmtId="0" fontId="17" fillId="0" borderId="41" xfId="0" applyFont="1" applyBorder="1" applyAlignment="1">
      <alignment horizontal="center" vertical="center" wrapText="1"/>
    </xf>
    <xf numFmtId="0" fontId="17" fillId="0" borderId="43" xfId="1" applyFont="1" applyFill="1" applyBorder="1" applyAlignment="1">
      <alignment horizontal="center" vertical="center" wrapText="1"/>
    </xf>
    <xf numFmtId="0" fontId="18" fillId="0" borderId="41" xfId="0" applyFont="1" applyBorder="1" applyAlignment="1">
      <alignment horizontal="center" vertical="center" wrapText="1"/>
    </xf>
    <xf numFmtId="0" fontId="18" fillId="0" borderId="44" xfId="2" applyFont="1" applyFill="1" applyBorder="1" applyAlignment="1">
      <alignment vertical="center" wrapText="1"/>
    </xf>
    <xf numFmtId="0" fontId="18" fillId="0" borderId="47" xfId="2" applyFont="1" applyFill="1" applyBorder="1" applyAlignment="1">
      <alignment vertical="center" wrapText="1"/>
    </xf>
    <xf numFmtId="0" fontId="17" fillId="0" borderId="51" xfId="2" applyFont="1" applyFill="1" applyBorder="1" applyAlignment="1">
      <alignment horizontal="center" vertical="center" wrapText="1"/>
    </xf>
    <xf numFmtId="0" fontId="18" fillId="0" borderId="41" xfId="2" applyFont="1" applyFill="1" applyBorder="1" applyAlignment="1">
      <alignment vertical="center" wrapText="1"/>
    </xf>
    <xf numFmtId="0" fontId="17" fillId="0" borderId="52" xfId="1" applyFont="1" applyFill="1" applyBorder="1" applyAlignment="1">
      <alignment horizontal="center" vertical="center" wrapText="1"/>
    </xf>
    <xf numFmtId="0" fontId="17" fillId="0" borderId="53" xfId="0" applyFont="1" applyBorder="1" applyAlignment="1">
      <alignment horizontal="center" vertical="center" wrapText="1"/>
    </xf>
    <xf numFmtId="0" fontId="17" fillId="0" borderId="54" xfId="2" applyFont="1" applyFill="1" applyBorder="1" applyAlignment="1">
      <alignment horizontal="center" vertical="center" wrapText="1"/>
    </xf>
    <xf numFmtId="0" fontId="18" fillId="0" borderId="55" xfId="2" applyFont="1" applyFill="1" applyBorder="1" applyAlignment="1">
      <alignment vertical="center" wrapText="1"/>
    </xf>
    <xf numFmtId="0" fontId="17" fillId="0" borderId="55" xfId="2" applyFont="1" applyFill="1" applyBorder="1" applyAlignment="1">
      <alignment horizontal="center" vertical="center" wrapText="1"/>
    </xf>
    <xf numFmtId="0" fontId="17" fillId="0" borderId="56" xfId="2" applyFont="1" applyFill="1" applyBorder="1" applyAlignment="1">
      <alignment horizontal="center" vertical="center" wrapText="1"/>
    </xf>
    <xf numFmtId="0" fontId="18" fillId="0" borderId="44" xfId="3" applyFont="1" applyFill="1" applyBorder="1" applyAlignment="1">
      <alignment vertical="center" wrapText="1"/>
    </xf>
    <xf numFmtId="0" fontId="17" fillId="6" borderId="44" xfId="0" applyFont="1" applyFill="1" applyBorder="1" applyAlignment="1">
      <alignment horizontal="center" vertical="center" wrapText="1"/>
    </xf>
    <xf numFmtId="0" fontId="18" fillId="0" borderId="47" xfId="3" applyFont="1" applyFill="1" applyBorder="1" applyAlignment="1">
      <alignment vertical="center" wrapText="1"/>
    </xf>
    <xf numFmtId="0" fontId="21" fillId="21" borderId="47" xfId="0" applyFont="1" applyFill="1" applyBorder="1" applyAlignment="1">
      <alignment horizontal="center" vertical="center" wrapText="1"/>
    </xf>
    <xf numFmtId="164" fontId="13" fillId="0" borderId="49" xfId="0" applyNumberFormat="1" applyFont="1" applyBorder="1" applyAlignment="1">
      <alignment horizontal="left" vertical="center" wrapText="1"/>
    </xf>
    <xf numFmtId="0" fontId="17" fillId="0" borderId="58" xfId="0" applyFont="1" applyBorder="1" applyAlignment="1">
      <alignment vertical="center" wrapText="1"/>
    </xf>
    <xf numFmtId="0" fontId="18" fillId="0" borderId="45" xfId="0" applyFont="1" applyBorder="1" applyAlignment="1">
      <alignment vertical="center" wrapText="1"/>
    </xf>
    <xf numFmtId="0" fontId="17" fillId="0" borderId="45" xfId="1" applyFont="1" applyFill="1" applyBorder="1" applyAlignment="1">
      <alignment vertical="center" wrapText="1"/>
    </xf>
    <xf numFmtId="0" fontId="17" fillId="0" borderId="48" xfId="1" applyFont="1" applyFill="1" applyBorder="1" applyAlignment="1">
      <alignment vertical="center" wrapText="1"/>
    </xf>
    <xf numFmtId="0" fontId="17" fillId="26" borderId="22" xfId="2" applyFont="1" applyFill="1" applyBorder="1" applyAlignment="1">
      <alignment horizontal="center" vertical="center" wrapText="1"/>
    </xf>
    <xf numFmtId="0" fontId="17" fillId="26" borderId="31" xfId="2" applyFont="1" applyFill="1" applyBorder="1" applyAlignment="1">
      <alignment horizontal="center" vertical="center" wrapText="1"/>
    </xf>
    <xf numFmtId="0" fontId="17" fillId="26" borderId="27" xfId="2" applyFont="1" applyFill="1" applyBorder="1" applyAlignment="1">
      <alignment horizontal="center" vertical="center" wrapText="1"/>
    </xf>
    <xf numFmtId="0" fontId="17" fillId="26" borderId="28" xfId="2" applyFont="1" applyFill="1" applyBorder="1" applyAlignment="1">
      <alignment horizontal="center" vertical="center" wrapText="1"/>
    </xf>
    <xf numFmtId="0" fontId="17" fillId="26" borderId="23" xfId="2" applyFont="1" applyFill="1" applyBorder="1" applyAlignment="1">
      <alignment horizontal="center" vertical="center" wrapText="1"/>
    </xf>
    <xf numFmtId="0" fontId="17" fillId="26" borderId="29" xfId="2" applyFont="1" applyFill="1" applyBorder="1" applyAlignment="1">
      <alignment horizontal="center" vertical="center" wrapText="1"/>
    </xf>
    <xf numFmtId="0" fontId="17" fillId="26" borderId="19" xfId="2" applyFont="1" applyFill="1" applyBorder="1" applyAlignment="1">
      <alignment horizontal="center" vertical="center" wrapText="1"/>
    </xf>
    <xf numFmtId="0" fontId="17" fillId="26" borderId="21" xfId="2" applyFont="1" applyFill="1" applyBorder="1" applyAlignment="1">
      <alignment horizontal="center" vertical="center" wrapText="1"/>
    </xf>
    <xf numFmtId="0" fontId="17" fillId="26" borderId="20" xfId="2" applyFont="1" applyFill="1" applyBorder="1" applyAlignment="1">
      <alignment horizontal="center" vertical="center" wrapText="1"/>
    </xf>
    <xf numFmtId="0" fontId="17" fillId="26" borderId="41" xfId="2" applyFont="1" applyFill="1" applyBorder="1" applyAlignment="1">
      <alignment horizontal="center" vertical="center" wrapText="1"/>
    </xf>
    <xf numFmtId="0" fontId="17" fillId="26" borderId="42" xfId="2" applyFont="1" applyFill="1" applyBorder="1" applyAlignment="1">
      <alignment horizontal="center" vertical="center" wrapText="1"/>
    </xf>
    <xf numFmtId="0" fontId="17" fillId="26" borderId="44" xfId="1" applyFont="1" applyFill="1" applyBorder="1" applyAlignment="1">
      <alignment horizontal="center" vertical="center" wrapText="1"/>
    </xf>
    <xf numFmtId="0" fontId="17" fillId="26" borderId="44" xfId="0" applyFont="1" applyFill="1" applyBorder="1" applyAlignment="1">
      <alignment vertical="center"/>
    </xf>
    <xf numFmtId="0" fontId="17" fillId="26" borderId="44" xfId="0" applyFont="1" applyFill="1" applyBorder="1" applyAlignment="1">
      <alignment horizontal="center" vertical="center" wrapText="1"/>
    </xf>
    <xf numFmtId="0" fontId="17" fillId="26" borderId="47" xfId="0" applyFont="1" applyFill="1" applyBorder="1" applyAlignment="1">
      <alignment horizontal="center" vertical="center" wrapText="1"/>
    </xf>
    <xf numFmtId="0" fontId="17" fillId="26" borderId="47" xfId="2" applyFont="1" applyFill="1" applyBorder="1" applyAlignment="1">
      <alignment horizontal="center" vertical="center" wrapText="1"/>
    </xf>
    <xf numFmtId="0" fontId="17" fillId="26" borderId="48" xfId="2" applyFont="1" applyFill="1" applyBorder="1" applyAlignment="1">
      <alignment horizontal="center" vertical="center" wrapText="1"/>
    </xf>
    <xf numFmtId="0" fontId="17" fillId="26" borderId="46" xfId="2" applyFont="1" applyFill="1" applyBorder="1" applyAlignment="1">
      <alignment horizontal="center" vertical="center" wrapText="1"/>
    </xf>
    <xf numFmtId="0" fontId="17" fillId="26" borderId="43" xfId="3" applyFont="1" applyFill="1" applyBorder="1" applyAlignment="1">
      <alignment vertical="center" wrapText="1"/>
    </xf>
    <xf numFmtId="0" fontId="17" fillId="26" borderId="44" xfId="3" applyFont="1" applyFill="1" applyBorder="1" applyAlignment="1">
      <alignment vertical="center" wrapText="1"/>
    </xf>
    <xf numFmtId="0" fontId="17" fillId="26" borderId="45" xfId="3" applyFont="1" applyFill="1" applyBorder="1" applyAlignment="1">
      <alignment vertical="center" wrapText="1"/>
    </xf>
    <xf numFmtId="0" fontId="17" fillId="26" borderId="47" xfId="0" applyFont="1" applyFill="1" applyBorder="1" applyAlignment="1">
      <alignment vertical="center"/>
    </xf>
    <xf numFmtId="0" fontId="17" fillId="6" borderId="44" xfId="2" applyFont="1" applyFill="1" applyBorder="1" applyAlignment="1">
      <alignment horizontal="center" vertical="center" wrapText="1"/>
    </xf>
    <xf numFmtId="0" fontId="17" fillId="26" borderId="40" xfId="0" applyFont="1" applyFill="1" applyBorder="1" applyAlignment="1">
      <alignment horizontal="center" vertical="center" wrapText="1"/>
    </xf>
    <xf numFmtId="0" fontId="18" fillId="26" borderId="41" xfId="0" applyFont="1" applyFill="1" applyBorder="1" applyAlignment="1">
      <alignment horizontal="center" vertical="center" wrapText="1"/>
    </xf>
    <xf numFmtId="0" fontId="17" fillId="26" borderId="41" xfId="0" applyFont="1" applyFill="1" applyBorder="1" applyAlignment="1">
      <alignment horizontal="center" vertical="center" wrapText="1"/>
    </xf>
    <xf numFmtId="0" fontId="17" fillId="26" borderId="42" xfId="0" applyFont="1" applyFill="1" applyBorder="1" applyAlignment="1">
      <alignment horizontal="center" vertical="center" wrapText="1"/>
    </xf>
    <xf numFmtId="0" fontId="17" fillId="26" borderId="43" xfId="0" applyFont="1" applyFill="1" applyBorder="1" applyAlignment="1">
      <alignment horizontal="center" vertical="center" wrapText="1"/>
    </xf>
    <xf numFmtId="0" fontId="18" fillId="26" borderId="44" xfId="0" applyFont="1" applyFill="1" applyBorder="1" applyAlignment="1">
      <alignment horizontal="center" vertical="center" wrapText="1"/>
    </xf>
    <xf numFmtId="0" fontId="17" fillId="26" borderId="45" xfId="0" applyFont="1" applyFill="1" applyBorder="1" applyAlignment="1">
      <alignment horizontal="center" vertical="center" wrapText="1"/>
    </xf>
    <xf numFmtId="0" fontId="17" fillId="26" borderId="43" xfId="2" applyFont="1" applyFill="1" applyBorder="1" applyAlignment="1">
      <alignment horizontal="center" vertical="center" wrapText="1"/>
    </xf>
    <xf numFmtId="0" fontId="18" fillId="26" borderId="44" xfId="2" applyFont="1" applyFill="1" applyBorder="1" applyAlignment="1">
      <alignment horizontal="center" vertical="center" wrapText="1"/>
    </xf>
    <xf numFmtId="0" fontId="17" fillId="26" borderId="44" xfId="2" applyFont="1" applyFill="1" applyBorder="1" applyAlignment="1">
      <alignment horizontal="center" vertical="center" wrapText="1"/>
    </xf>
    <xf numFmtId="0" fontId="17" fillId="26" borderId="45" xfId="2" applyFont="1" applyFill="1" applyBorder="1" applyAlignment="1">
      <alignment horizontal="center" vertical="center" wrapText="1"/>
    </xf>
    <xf numFmtId="0" fontId="17" fillId="26" borderId="46" xfId="0" applyFont="1" applyFill="1" applyBorder="1" applyAlignment="1">
      <alignment horizontal="center" vertical="center" wrapText="1"/>
    </xf>
    <xf numFmtId="0" fontId="18" fillId="26" borderId="47" xfId="0" applyFont="1" applyFill="1" applyBorder="1" applyAlignment="1">
      <alignment horizontal="center" vertical="center" wrapText="1"/>
    </xf>
    <xf numFmtId="0" fontId="17" fillId="26" borderId="48" xfId="0" applyFont="1" applyFill="1" applyBorder="1" applyAlignment="1">
      <alignment horizontal="center" vertical="center" wrapText="1"/>
    </xf>
    <xf numFmtId="0" fontId="21" fillId="21" borderId="41" xfId="0" applyFont="1" applyFill="1" applyBorder="1" applyAlignment="1">
      <alignment horizontal="center" vertical="center" wrapText="1"/>
    </xf>
    <xf numFmtId="0" fontId="17" fillId="0" borderId="40" xfId="0" applyFont="1" applyBorder="1" applyAlignment="1">
      <alignment vertical="center"/>
    </xf>
    <xf numFmtId="0" fontId="17" fillId="26" borderId="40" xfId="2" applyFont="1" applyFill="1" applyBorder="1" applyAlignment="1">
      <alignment horizontal="center" vertical="center" wrapText="1"/>
    </xf>
    <xf numFmtId="0" fontId="17" fillId="0" borderId="44" xfId="0" applyFont="1" applyBorder="1" applyAlignment="1">
      <alignment horizontal="left" vertical="center"/>
    </xf>
    <xf numFmtId="0" fontId="17" fillId="0" borderId="45" xfId="0" applyFont="1" applyBorder="1" applyAlignment="1">
      <alignment horizontal="left" vertical="center"/>
    </xf>
    <xf numFmtId="0" fontId="17" fillId="26" borderId="51" xfId="0" applyFont="1" applyFill="1" applyBorder="1" applyAlignment="1">
      <alignment horizontal="center" vertical="center" wrapText="1"/>
    </xf>
    <xf numFmtId="0" fontId="17" fillId="26" borderId="52" xfId="0" applyFont="1" applyFill="1" applyBorder="1" applyAlignment="1">
      <alignment horizontal="center" vertical="center" wrapText="1"/>
    </xf>
    <xf numFmtId="0" fontId="17" fillId="26" borderId="52" xfId="2" applyFont="1" applyFill="1" applyBorder="1" applyAlignment="1">
      <alignment horizontal="center" vertical="center" wrapText="1"/>
    </xf>
    <xf numFmtId="0" fontId="17" fillId="26" borderId="53" xfId="2" applyFont="1" applyFill="1" applyBorder="1" applyAlignment="1">
      <alignment horizontal="center" vertical="center" wrapText="1"/>
    </xf>
    <xf numFmtId="0" fontId="17" fillId="26" borderId="55" xfId="2" applyFont="1" applyFill="1" applyBorder="1" applyAlignment="1">
      <alignment horizontal="center" vertical="center" wrapText="1"/>
    </xf>
    <xf numFmtId="0" fontId="17" fillId="26" borderId="63" xfId="2" applyFont="1" applyFill="1" applyBorder="1" applyAlignment="1">
      <alignment horizontal="center" vertical="center" wrapText="1"/>
    </xf>
    <xf numFmtId="0" fontId="17" fillId="26" borderId="43" xfId="1" applyFont="1" applyFill="1" applyBorder="1" applyAlignment="1">
      <alignment horizontal="center" vertical="center" wrapText="1"/>
    </xf>
    <xf numFmtId="0" fontId="17" fillId="26" borderId="45" xfId="1" applyFont="1" applyFill="1" applyBorder="1" applyAlignment="1">
      <alignment horizontal="center" vertical="center" wrapText="1"/>
    </xf>
    <xf numFmtId="0" fontId="18" fillId="26" borderId="47" xfId="2" applyFont="1" applyFill="1" applyBorder="1" applyAlignment="1">
      <alignment horizontal="center" vertical="center" wrapText="1"/>
    </xf>
    <xf numFmtId="0" fontId="18" fillId="26" borderId="41" xfId="2" applyFont="1" applyFill="1" applyBorder="1" applyAlignment="1">
      <alignment horizontal="center" vertical="center" wrapText="1"/>
    </xf>
    <xf numFmtId="0" fontId="18" fillId="26" borderId="44" xfId="1" applyFont="1" applyFill="1" applyBorder="1" applyAlignment="1">
      <alignment horizontal="center" vertical="center" wrapText="1"/>
    </xf>
    <xf numFmtId="0" fontId="17" fillId="0" borderId="52" xfId="2" applyFont="1" applyFill="1" applyBorder="1" applyAlignment="1">
      <alignment horizontal="center" vertical="center" wrapText="1"/>
    </xf>
    <xf numFmtId="0" fontId="17" fillId="26" borderId="47" xfId="3" applyFont="1" applyFill="1" applyBorder="1" applyAlignment="1">
      <alignment vertical="center" wrapText="1"/>
    </xf>
    <xf numFmtId="0" fontId="17" fillId="26" borderId="48" xfId="3" applyFont="1" applyFill="1" applyBorder="1" applyAlignment="1">
      <alignment vertical="center" wrapText="1"/>
    </xf>
    <xf numFmtId="0" fontId="17" fillId="26" borderId="46" xfId="3" applyFont="1" applyFill="1" applyBorder="1" applyAlignment="1">
      <alignment vertical="center" wrapText="1"/>
    </xf>
    <xf numFmtId="0" fontId="17" fillId="0" borderId="51" xfId="0" applyFont="1" applyBorder="1" applyAlignment="1">
      <alignment horizontal="center" vertical="center" wrapText="1"/>
    </xf>
    <xf numFmtId="0" fontId="21" fillId="21" borderId="44" xfId="0" applyFont="1" applyFill="1" applyBorder="1" applyAlignment="1">
      <alignment horizontal="center" vertical="center" wrapText="1"/>
    </xf>
    <xf numFmtId="0" fontId="17" fillId="0" borderId="53" xfId="2" applyFont="1" applyFill="1" applyBorder="1" applyAlignment="1">
      <alignment horizontal="center" vertical="center" wrapText="1"/>
    </xf>
    <xf numFmtId="0" fontId="17" fillId="26" borderId="43" xfId="0" applyFont="1" applyFill="1" applyBorder="1" applyAlignment="1">
      <alignment vertical="center"/>
    </xf>
    <xf numFmtId="0" fontId="17" fillId="26" borderId="45" xfId="0" applyFont="1" applyFill="1" applyBorder="1" applyAlignment="1">
      <alignment vertical="center"/>
    </xf>
    <xf numFmtId="0" fontId="17" fillId="26" borderId="46" xfId="0" applyFont="1" applyFill="1" applyBorder="1" applyAlignment="1">
      <alignment vertical="center"/>
    </xf>
    <xf numFmtId="0" fontId="17" fillId="26" borderId="48" xfId="0" applyFont="1" applyFill="1" applyBorder="1" applyAlignment="1">
      <alignment vertical="center"/>
    </xf>
    <xf numFmtId="0" fontId="17" fillId="26" borderId="40" xfId="1" applyFont="1" applyFill="1" applyBorder="1" applyAlignment="1">
      <alignment horizontal="center" vertical="center" wrapText="1"/>
    </xf>
    <xf numFmtId="0" fontId="18" fillId="26" borderId="41" xfId="1" applyFont="1" applyFill="1" applyBorder="1" applyAlignment="1">
      <alignment horizontal="center" vertical="center" wrapText="1"/>
    </xf>
    <xf numFmtId="0" fontId="17" fillId="26" borderId="41" xfId="1" applyFont="1" applyFill="1" applyBorder="1" applyAlignment="1">
      <alignment horizontal="center" vertical="center" wrapText="1"/>
    </xf>
    <xf numFmtId="0" fontId="17" fillId="0" borderId="40" xfId="2" applyFont="1" applyFill="1" applyBorder="1" applyAlignment="1">
      <alignment vertical="center" wrapText="1"/>
    </xf>
    <xf numFmtId="0" fontId="17" fillId="0" borderId="43" xfId="2" applyFont="1" applyFill="1" applyBorder="1" applyAlignment="1">
      <alignment vertical="center" wrapText="1"/>
    </xf>
    <xf numFmtId="0" fontId="17" fillId="0" borderId="46" xfId="2" applyFont="1" applyFill="1" applyBorder="1" applyAlignment="1">
      <alignment vertical="center" wrapText="1"/>
    </xf>
    <xf numFmtId="0" fontId="17" fillId="0" borderId="50" xfId="2" applyFont="1" applyFill="1" applyBorder="1" applyAlignment="1">
      <alignment horizontal="center" vertical="center" wrapText="1"/>
    </xf>
    <xf numFmtId="0" fontId="17" fillId="0" borderId="64" xfId="0" applyFont="1" applyBorder="1" applyAlignment="1">
      <alignment horizontal="center" vertical="center" wrapText="1"/>
    </xf>
    <xf numFmtId="0" fontId="17" fillId="0" borderId="50" xfId="0" applyFont="1" applyBorder="1" applyAlignment="1">
      <alignment horizontal="center" vertical="center" wrapText="1"/>
    </xf>
    <xf numFmtId="0" fontId="17" fillId="0" borderId="55" xfId="0" applyFont="1" applyBorder="1" applyAlignment="1">
      <alignment vertical="center"/>
    </xf>
    <xf numFmtId="0" fontId="17" fillId="0" borderId="56" xfId="0" applyFont="1" applyBorder="1" applyAlignment="1">
      <alignment vertical="center"/>
    </xf>
    <xf numFmtId="0" fontId="17" fillId="0" borderId="43" xfId="0" applyFont="1" applyBorder="1" applyAlignment="1">
      <alignment horizontal="left" vertical="center"/>
    </xf>
    <xf numFmtId="0" fontId="21" fillId="21" borderId="44" xfId="2" applyFont="1" applyFill="1" applyBorder="1" applyAlignment="1">
      <alignment horizontal="center" vertical="center" wrapText="1"/>
    </xf>
    <xf numFmtId="0" fontId="18" fillId="0" borderId="44" xfId="1" applyFont="1" applyFill="1" applyBorder="1" applyAlignment="1">
      <alignment vertical="center" wrapText="1"/>
    </xf>
    <xf numFmtId="0" fontId="18" fillId="0" borderId="47" xfId="1" applyFont="1" applyFill="1" applyBorder="1" applyAlignment="1">
      <alignment vertical="center" wrapText="1"/>
    </xf>
    <xf numFmtId="0" fontId="18" fillId="0" borderId="41" xfId="0" applyFont="1" applyBorder="1" applyAlignment="1">
      <alignment vertical="center" wrapText="1"/>
    </xf>
    <xf numFmtId="0" fontId="17" fillId="26" borderId="65" xfId="2" applyFont="1" applyFill="1" applyBorder="1" applyAlignment="1">
      <alignment horizontal="center" vertical="center" wrapText="1"/>
    </xf>
    <xf numFmtId="0" fontId="18" fillId="26" borderId="64" xfId="2" applyFont="1" applyFill="1" applyBorder="1" applyAlignment="1">
      <alignment horizontal="center" vertical="center" wrapText="1"/>
    </xf>
    <xf numFmtId="0" fontId="17" fillId="26" borderId="64" xfId="2" applyFont="1" applyFill="1" applyBorder="1" applyAlignment="1">
      <alignment horizontal="center" vertical="center" wrapText="1"/>
    </xf>
    <xf numFmtId="0" fontId="17" fillId="26" borderId="50" xfId="2" applyFont="1" applyFill="1" applyBorder="1" applyAlignment="1">
      <alignment horizontal="center" vertical="center" wrapText="1"/>
    </xf>
    <xf numFmtId="0" fontId="18" fillId="26" borderId="47" xfId="2" applyFont="1" applyFill="1" applyBorder="1" applyAlignment="1">
      <alignment vertical="center" wrapText="1"/>
    </xf>
    <xf numFmtId="0" fontId="17" fillId="0" borderId="52" xfId="0" applyFont="1" applyBorder="1" applyAlignment="1">
      <alignment vertical="center"/>
    </xf>
    <xf numFmtId="0" fontId="21" fillId="21" borderId="55" xfId="2" applyFont="1" applyFill="1" applyBorder="1" applyAlignment="1">
      <alignment horizontal="center" vertical="center" wrapText="1"/>
    </xf>
    <xf numFmtId="0" fontId="18" fillId="26" borderId="44" xfId="0" applyFont="1" applyFill="1" applyBorder="1" applyAlignment="1">
      <alignment vertical="center" wrapText="1"/>
    </xf>
    <xf numFmtId="0" fontId="18" fillId="26" borderId="47" xfId="0" applyFont="1" applyFill="1" applyBorder="1" applyAlignment="1">
      <alignment vertical="center" wrapText="1"/>
    </xf>
    <xf numFmtId="0" fontId="21" fillId="21" borderId="47" xfId="2" applyFont="1" applyFill="1" applyBorder="1" applyAlignment="1">
      <alignment horizontal="center" vertical="center" wrapText="1"/>
    </xf>
    <xf numFmtId="0" fontId="21" fillId="0" borderId="41" xfId="2" applyFont="1" applyFill="1" applyBorder="1" applyAlignment="1">
      <alignment horizontal="center" vertical="center" wrapText="1"/>
    </xf>
    <xf numFmtId="0" fontId="21" fillId="0" borderId="42" xfId="2" applyFont="1" applyFill="1" applyBorder="1" applyAlignment="1">
      <alignment horizontal="center" vertical="center" wrapText="1"/>
    </xf>
    <xf numFmtId="0" fontId="21" fillId="0" borderId="44" xfId="1" applyFont="1" applyFill="1" applyBorder="1" applyAlignment="1">
      <alignment horizontal="center" vertical="center" wrapText="1"/>
    </xf>
    <xf numFmtId="0" fontId="28" fillId="0" borderId="45" xfId="0" applyFont="1" applyBorder="1" applyAlignment="1">
      <alignment vertical="center" wrapText="1"/>
    </xf>
    <xf numFmtId="0" fontId="21" fillId="0" borderId="44" xfId="0" applyFont="1" applyBorder="1" applyAlignment="1">
      <alignment vertical="center"/>
    </xf>
    <xf numFmtId="0" fontId="21" fillId="0" borderId="45" xfId="1" applyFont="1" applyFill="1" applyBorder="1" applyAlignment="1">
      <alignment vertical="center" wrapText="1"/>
    </xf>
    <xf numFmtId="0" fontId="21" fillId="0" borderId="44" xfId="0" applyFont="1" applyBorder="1" applyAlignment="1">
      <alignment horizontal="center" vertical="center" wrapText="1"/>
    </xf>
    <xf numFmtId="0" fontId="21" fillId="0" borderId="47" xfId="0" applyFont="1" applyBorder="1" applyAlignment="1">
      <alignment horizontal="center" vertical="center" wrapText="1"/>
    </xf>
    <xf numFmtId="0" fontId="21" fillId="0" borderId="48" xfId="1" applyFont="1" applyFill="1" applyBorder="1" applyAlignment="1">
      <alignment vertical="center" wrapText="1"/>
    </xf>
    <xf numFmtId="0" fontId="17" fillId="0" borderId="43" xfId="3" applyFont="1" applyFill="1" applyBorder="1" applyAlignment="1">
      <alignment vertical="center" wrapText="1"/>
    </xf>
    <xf numFmtId="0" fontId="21" fillId="20" borderId="64" xfId="0" applyFont="1" applyFill="1" applyBorder="1" applyAlignment="1">
      <alignment horizontal="center" vertical="center" wrapText="1"/>
    </xf>
    <xf numFmtId="0" fontId="17" fillId="0" borderId="64" xfId="2" applyFont="1" applyFill="1" applyBorder="1" applyAlignment="1">
      <alignment horizontal="center" vertical="center" wrapText="1"/>
    </xf>
    <xf numFmtId="0" fontId="23" fillId="0" borderId="42" xfId="0" applyFont="1" applyBorder="1" applyAlignment="1">
      <alignment vertical="center" wrapText="1"/>
    </xf>
    <xf numFmtId="0" fontId="23" fillId="0" borderId="45" xfId="0" applyFont="1" applyBorder="1" applyAlignment="1">
      <alignment vertical="center" wrapText="1"/>
    </xf>
    <xf numFmtId="0" fontId="17" fillId="0" borderId="46" xfId="1" applyFont="1" applyFill="1" applyBorder="1" applyAlignment="1">
      <alignment horizontal="center" vertical="center" wrapText="1"/>
    </xf>
    <xf numFmtId="0" fontId="17" fillId="0" borderId="47" xfId="1" applyFont="1" applyFill="1" applyBorder="1" applyAlignment="1">
      <alignment horizontal="center" vertical="center" wrapText="1"/>
    </xf>
    <xf numFmtId="0" fontId="17" fillId="0" borderId="48" xfId="1" applyFont="1" applyFill="1" applyBorder="1" applyAlignment="1">
      <alignment horizontal="center" vertical="center" wrapText="1"/>
    </xf>
    <xf numFmtId="0" fontId="17" fillId="0" borderId="42" xfId="1" applyFont="1" applyFill="1" applyBorder="1" applyAlignment="1">
      <alignment horizontal="center" vertical="center" wrapText="1"/>
    </xf>
    <xf numFmtId="0" fontId="21" fillId="23" borderId="47" xfId="0" applyFont="1" applyFill="1" applyBorder="1" applyAlignment="1">
      <alignment horizontal="center" vertical="center" wrapText="1"/>
    </xf>
    <xf numFmtId="0" fontId="17" fillId="0" borderId="50" xfId="1" applyFont="1" applyFill="1" applyBorder="1" applyAlignment="1">
      <alignment horizontal="center" vertical="center" wrapText="1"/>
    </xf>
    <xf numFmtId="0" fontId="17" fillId="0" borderId="58" xfId="2" applyFont="1" applyFill="1" applyBorder="1" applyAlignment="1">
      <alignment horizontal="center" vertical="center" wrapText="1"/>
    </xf>
    <xf numFmtId="0" fontId="17" fillId="12" borderId="34" xfId="3" applyFont="1" applyFill="1" applyBorder="1" applyAlignment="1">
      <alignment horizontal="center" vertical="center" wrapText="1"/>
    </xf>
    <xf numFmtId="0" fontId="17" fillId="12" borderId="14" xfId="3" applyFont="1" applyFill="1" applyBorder="1" applyAlignment="1">
      <alignment horizontal="center" vertical="center" wrapText="1"/>
    </xf>
    <xf numFmtId="0" fontId="17" fillId="0" borderId="65" xfId="2" applyFont="1" applyFill="1" applyBorder="1" applyAlignment="1">
      <alignment horizontal="center" vertical="center" wrapText="1"/>
    </xf>
    <xf numFmtId="0" fontId="17" fillId="27" borderId="44" xfId="0" applyFont="1" applyFill="1" applyBorder="1" applyAlignment="1">
      <alignment horizontal="center" vertical="center" wrapText="1"/>
    </xf>
    <xf numFmtId="0" fontId="17" fillId="16" borderId="59" xfId="1" applyFont="1" applyFill="1" applyBorder="1" applyAlignment="1">
      <alignment horizontal="center" vertical="center" wrapText="1"/>
    </xf>
    <xf numFmtId="0" fontId="19" fillId="28"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21" fillId="21" borderId="76" xfId="2" applyFont="1" applyFill="1" applyBorder="1" applyAlignment="1">
      <alignment horizontal="center" vertical="center" wrapText="1"/>
    </xf>
    <xf numFmtId="0" fontId="17" fillId="0" borderId="9" xfId="0" applyFont="1" applyBorder="1" applyAlignment="1">
      <alignment horizontal="center" vertical="center" wrapText="1"/>
    </xf>
    <xf numFmtId="0" fontId="22" fillId="0" borderId="2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8" xfId="0" applyFont="1" applyBorder="1" applyAlignment="1">
      <alignment horizontal="center" vertical="center" wrapText="1"/>
    </xf>
    <xf numFmtId="0" fontId="24" fillId="0" borderId="21" xfId="0" applyFont="1" applyBorder="1" applyAlignment="1">
      <alignment horizontal="center" vertical="center" wrapText="1"/>
    </xf>
    <xf numFmtId="0" fontId="17" fillId="0" borderId="52" xfId="0" applyFont="1" applyBorder="1" applyAlignment="1">
      <alignment horizontal="center" vertical="center" wrapText="1"/>
    </xf>
    <xf numFmtId="164" fontId="12" fillId="29" borderId="39" xfId="0" applyNumberFormat="1" applyFont="1" applyFill="1" applyBorder="1" applyAlignment="1">
      <alignment horizontal="left" vertical="center" wrapText="1"/>
    </xf>
    <xf numFmtId="164" fontId="13" fillId="29" borderId="49" xfId="0" applyNumberFormat="1" applyFont="1" applyFill="1" applyBorder="1" applyAlignment="1">
      <alignment horizontal="left" vertical="center" wrapText="1"/>
    </xf>
    <xf numFmtId="164" fontId="12" fillId="29" borderId="38" xfId="0" applyNumberFormat="1" applyFont="1" applyFill="1" applyBorder="1" applyAlignment="1">
      <alignment horizontal="left" vertical="center" wrapText="1"/>
    </xf>
    <xf numFmtId="164" fontId="13" fillId="30" borderId="49" xfId="0" applyNumberFormat="1" applyFont="1" applyFill="1" applyBorder="1" applyAlignment="1">
      <alignment horizontal="left" vertical="center" wrapText="1"/>
    </xf>
    <xf numFmtId="164" fontId="12" fillId="30" borderId="39" xfId="0" applyNumberFormat="1" applyFont="1" applyFill="1" applyBorder="1" applyAlignment="1">
      <alignment horizontal="left" vertical="center" wrapText="1"/>
    </xf>
    <xf numFmtId="0" fontId="17" fillId="31" borderId="42" xfId="0" applyFont="1" applyFill="1" applyBorder="1" applyAlignment="1">
      <alignment horizontal="center" vertical="center" wrapText="1"/>
    </xf>
    <xf numFmtId="0" fontId="17" fillId="31" borderId="41" xfId="0" applyFont="1" applyFill="1" applyBorder="1" applyAlignment="1">
      <alignment horizontal="center" vertical="center" wrapText="1"/>
    </xf>
    <xf numFmtId="0" fontId="17" fillId="31" borderId="14" xfId="3" applyFont="1" applyFill="1" applyBorder="1" applyAlignment="1">
      <alignment vertical="center" wrapText="1"/>
    </xf>
    <xf numFmtId="0" fontId="17" fillId="0" borderId="56" xfId="1" applyFont="1" applyFill="1" applyBorder="1" applyAlignment="1">
      <alignment horizontal="center" vertical="center" wrapText="1"/>
    </xf>
    <xf numFmtId="0" fontId="17" fillId="31" borderId="91" xfId="0" applyFont="1" applyFill="1" applyBorder="1" applyAlignment="1">
      <alignment horizontal="center" vertical="center" wrapText="1"/>
    </xf>
    <xf numFmtId="0" fontId="17" fillId="31" borderId="92" xfId="0" applyFont="1" applyFill="1" applyBorder="1" applyAlignment="1">
      <alignment vertical="center" wrapText="1"/>
    </xf>
    <xf numFmtId="0" fontId="18" fillId="31" borderId="93" xfId="2" applyFont="1" applyFill="1" applyBorder="1" applyAlignment="1">
      <alignment vertical="center" wrapText="1"/>
    </xf>
    <xf numFmtId="0" fontId="21" fillId="21" borderId="55" xfId="0" applyFont="1" applyFill="1" applyBorder="1" applyAlignment="1">
      <alignment horizontal="center" vertical="center" wrapText="1"/>
    </xf>
    <xf numFmtId="0" fontId="21" fillId="31" borderId="93" xfId="0" applyFont="1" applyFill="1" applyBorder="1" applyAlignment="1">
      <alignment horizontal="center" vertical="center" wrapText="1"/>
    </xf>
    <xf numFmtId="0" fontId="17" fillId="31" borderId="14" xfId="0" applyFont="1" applyFill="1" applyBorder="1" applyAlignment="1">
      <alignment vertical="center" wrapText="1"/>
    </xf>
    <xf numFmtId="0" fontId="18" fillId="31" borderId="93" xfId="0" applyFont="1" applyFill="1" applyBorder="1" applyAlignment="1">
      <alignment vertical="center" wrapText="1"/>
    </xf>
    <xf numFmtId="0" fontId="17" fillId="31" borderId="91" xfId="2" applyFont="1" applyFill="1" applyBorder="1" applyAlignment="1">
      <alignment vertical="center" wrapText="1"/>
    </xf>
    <xf numFmtId="0" fontId="17" fillId="0" borderId="96" xfId="0" applyFont="1" applyBorder="1" applyAlignment="1">
      <alignment horizontal="center" vertical="center" wrapText="1"/>
    </xf>
    <xf numFmtId="0" fontId="17" fillId="0" borderId="41" xfId="3" applyFont="1" applyFill="1" applyBorder="1" applyAlignment="1">
      <alignment vertical="center" wrapText="1"/>
    </xf>
    <xf numFmtId="0" fontId="17" fillId="31" borderId="43" xfId="2" applyFont="1" applyFill="1" applyBorder="1" applyAlignment="1">
      <alignment horizontal="center" vertical="center" wrapText="1"/>
    </xf>
    <xf numFmtId="0" fontId="17" fillId="31" borderId="44" xfId="2" applyFont="1" applyFill="1" applyBorder="1" applyAlignment="1">
      <alignment horizontal="center" vertical="center" wrapText="1"/>
    </xf>
    <xf numFmtId="0" fontId="17" fillId="31" borderId="45" xfId="2" applyFont="1" applyFill="1" applyBorder="1" applyAlignment="1">
      <alignment horizontal="center" vertical="center" wrapText="1"/>
    </xf>
    <xf numFmtId="0" fontId="17" fillId="0" borderId="46" xfId="3" applyFont="1" applyFill="1" applyBorder="1" applyAlignment="1">
      <alignment vertical="center" wrapText="1"/>
    </xf>
    <xf numFmtId="0" fontId="17" fillId="0" borderId="47" xfId="3" applyFont="1" applyFill="1" applyBorder="1" applyAlignment="1">
      <alignment vertical="center" wrapText="1"/>
    </xf>
    <xf numFmtId="0" fontId="17" fillId="0" borderId="48" xfId="3" applyFont="1" applyFill="1" applyBorder="1" applyAlignment="1">
      <alignment vertical="center" wrapText="1"/>
    </xf>
    <xf numFmtId="0" fontId="17" fillId="0" borderId="44" xfId="3" applyFont="1" applyFill="1" applyBorder="1" applyAlignment="1">
      <alignment vertical="center" wrapText="1"/>
    </xf>
    <xf numFmtId="0" fontId="17" fillId="0" borderId="45" xfId="3" applyFont="1" applyFill="1" applyBorder="1" applyAlignment="1">
      <alignment vertical="center" wrapText="1"/>
    </xf>
    <xf numFmtId="0" fontId="17" fillId="31" borderId="40" xfId="0" applyFont="1" applyFill="1" applyBorder="1" applyAlignment="1">
      <alignment horizontal="center" vertical="center" wrapText="1"/>
    </xf>
    <xf numFmtId="0" fontId="18" fillId="31" borderId="44" xfId="2" applyFont="1" applyFill="1" applyBorder="1" applyAlignment="1">
      <alignment horizontal="center" vertical="center" wrapText="1"/>
    </xf>
    <xf numFmtId="0" fontId="17" fillId="31" borderId="46" xfId="0" applyFont="1" applyFill="1" applyBorder="1" applyAlignment="1">
      <alignment horizontal="center" vertical="center" wrapText="1"/>
    </xf>
    <xf numFmtId="0" fontId="18" fillId="31" borderId="47" xfId="0" applyFont="1" applyFill="1" applyBorder="1" applyAlignment="1">
      <alignment horizontal="center" vertical="center" wrapText="1"/>
    </xf>
    <xf numFmtId="0" fontId="17" fillId="31" borderId="47" xfId="0" applyFont="1" applyFill="1" applyBorder="1" applyAlignment="1">
      <alignment horizontal="center" vertical="center" wrapText="1"/>
    </xf>
    <xf numFmtId="0" fontId="17" fillId="31" borderId="48" xfId="0" applyFont="1" applyFill="1" applyBorder="1" applyAlignment="1">
      <alignment horizontal="center" vertical="center" wrapText="1"/>
    </xf>
    <xf numFmtId="0" fontId="17" fillId="31" borderId="52" xfId="2" applyFont="1" applyFill="1" applyBorder="1" applyAlignment="1">
      <alignment horizontal="center" vertical="center" wrapText="1"/>
    </xf>
    <xf numFmtId="0" fontId="17" fillId="31" borderId="40" xfId="2" applyFont="1" applyFill="1" applyBorder="1" applyAlignment="1">
      <alignment horizontal="center" vertical="center" wrapText="1"/>
    </xf>
    <xf numFmtId="0" fontId="17" fillId="31" borderId="41" xfId="2" applyFont="1" applyFill="1" applyBorder="1" applyAlignment="1">
      <alignment horizontal="center" vertical="center" wrapText="1"/>
    </xf>
    <xf numFmtId="0" fontId="17" fillId="31" borderId="42" xfId="2" applyFont="1" applyFill="1" applyBorder="1" applyAlignment="1">
      <alignment horizontal="center" vertical="center" wrapText="1"/>
    </xf>
    <xf numFmtId="0" fontId="17" fillId="31" borderId="46" xfId="2" applyFont="1" applyFill="1" applyBorder="1" applyAlignment="1">
      <alignment horizontal="center" vertical="center" wrapText="1"/>
    </xf>
    <xf numFmtId="0" fontId="17" fillId="31" borderId="47" xfId="2" applyFont="1" applyFill="1" applyBorder="1" applyAlignment="1">
      <alignment horizontal="center" vertical="center" wrapText="1"/>
    </xf>
    <xf numFmtId="0" fontId="17" fillId="31" borderId="48" xfId="2" applyFont="1" applyFill="1" applyBorder="1" applyAlignment="1">
      <alignment horizontal="center" vertical="center" wrapText="1"/>
    </xf>
    <xf numFmtId="0" fontId="21" fillId="21" borderId="29" xfId="0" applyFont="1" applyFill="1" applyBorder="1" applyAlignment="1">
      <alignment horizontal="center" vertical="center" wrapText="1"/>
    </xf>
    <xf numFmtId="0" fontId="17" fillId="0" borderId="55" xfId="0" applyFont="1" applyBorder="1" applyAlignment="1">
      <alignment horizontal="center" vertical="center" wrapText="1"/>
    </xf>
    <xf numFmtId="0" fontId="17" fillId="6" borderId="64" xfId="2" applyFont="1" applyFill="1" applyBorder="1" applyAlignment="1">
      <alignment horizontal="center" vertical="center" wrapText="1"/>
    </xf>
    <xf numFmtId="0" fontId="21" fillId="21" borderId="99" xfId="0" applyFont="1" applyFill="1" applyBorder="1" applyAlignment="1">
      <alignment horizontal="center" vertical="center" wrapText="1"/>
    </xf>
    <xf numFmtId="0" fontId="17" fillId="6" borderId="96" xfId="2" applyFont="1" applyFill="1" applyBorder="1" applyAlignment="1">
      <alignment horizontal="center" vertical="center" wrapText="1"/>
    </xf>
    <xf numFmtId="0" fontId="17" fillId="0" borderId="3" xfId="3" applyFont="1" applyFill="1" applyBorder="1" applyAlignment="1">
      <alignment horizontal="center" vertical="center" wrapText="1"/>
    </xf>
    <xf numFmtId="0" fontId="17" fillId="0" borderId="3" xfId="2" applyFont="1" applyFill="1" applyBorder="1" applyAlignment="1">
      <alignment horizontal="center" vertical="center" wrapText="1"/>
    </xf>
    <xf numFmtId="0" fontId="17" fillId="0" borderId="16" xfId="0" applyFont="1" applyBorder="1" applyAlignment="1">
      <alignment horizontal="center" vertical="center" wrapText="1"/>
    </xf>
    <xf numFmtId="0" fontId="17" fillId="0" borderId="4" xfId="2" applyFont="1" applyFill="1" applyBorder="1" applyAlignment="1">
      <alignment horizontal="center" vertical="center" wrapText="1"/>
    </xf>
    <xf numFmtId="164" fontId="42" fillId="0" borderId="3" xfId="0" applyNumberFormat="1" applyFont="1" applyBorder="1" applyAlignment="1">
      <alignment vertical="center" wrapText="1"/>
    </xf>
    <xf numFmtId="164" fontId="42" fillId="0" borderId="4" xfId="0" applyNumberFormat="1" applyFont="1" applyBorder="1" applyAlignment="1">
      <alignment vertical="center" wrapText="1"/>
    </xf>
    <xf numFmtId="164" fontId="6" fillId="0" borderId="3" xfId="0" applyNumberFormat="1" applyFont="1" applyBorder="1" applyAlignment="1">
      <alignment horizontal="center" vertical="center" wrapText="1"/>
    </xf>
    <xf numFmtId="164" fontId="7" fillId="0" borderId="3" xfId="0" applyNumberFormat="1" applyFont="1" applyBorder="1" applyAlignment="1">
      <alignment horizontal="center" vertical="center" wrapText="1"/>
    </xf>
    <xf numFmtId="164" fontId="6" fillId="0" borderId="4" xfId="0" applyNumberFormat="1" applyFont="1" applyBorder="1" applyAlignment="1">
      <alignment horizontal="center" vertical="center" wrapText="1"/>
    </xf>
    <xf numFmtId="164" fontId="41" fillId="0" borderId="2" xfId="0" applyNumberFormat="1" applyFont="1" applyBorder="1" applyAlignment="1">
      <alignment vertical="center" wrapText="1"/>
    </xf>
    <xf numFmtId="164" fontId="41" fillId="0" borderId="3" xfId="0" applyNumberFormat="1" applyFont="1" applyBorder="1" applyAlignment="1">
      <alignment vertical="center" wrapText="1"/>
    </xf>
    <xf numFmtId="164" fontId="41" fillId="0" borderId="4" xfId="0" applyNumberFormat="1" applyFont="1" applyBorder="1" applyAlignment="1">
      <alignment vertical="center" wrapText="1"/>
    </xf>
    <xf numFmtId="164" fontId="0" fillId="0" borderId="3" xfId="0" applyNumberFormat="1" applyBorder="1" applyAlignment="1">
      <alignment vertical="center" wrapText="1"/>
    </xf>
    <xf numFmtId="0" fontId="17" fillId="0" borderId="55" xfId="1" applyFont="1" applyFill="1" applyBorder="1" applyAlignment="1">
      <alignment horizontal="center" vertical="center" wrapText="1"/>
    </xf>
    <xf numFmtId="0" fontId="17" fillId="31" borderId="93" xfId="0" applyFont="1" applyFill="1" applyBorder="1" applyAlignment="1">
      <alignment horizontal="center" vertical="center" wrapText="1"/>
    </xf>
    <xf numFmtId="0" fontId="17" fillId="0" borderId="101" xfId="0" applyFont="1" applyBorder="1" applyAlignment="1">
      <alignment horizontal="center" vertical="center" wrapText="1"/>
    </xf>
    <xf numFmtId="0" fontId="17" fillId="0" borderId="54" xfId="1" applyFont="1" applyFill="1" applyBorder="1" applyAlignment="1">
      <alignment horizontal="center" vertical="center" wrapText="1"/>
    </xf>
    <xf numFmtId="0" fontId="17" fillId="0" borderId="40" xfId="3" applyFont="1" applyFill="1" applyBorder="1" applyAlignment="1">
      <alignment vertical="center" wrapText="1"/>
    </xf>
    <xf numFmtId="0" fontId="18" fillId="0" borderId="41" xfId="3" applyFont="1" applyFill="1" applyBorder="1" applyAlignment="1">
      <alignment vertical="center" wrapText="1"/>
    </xf>
    <xf numFmtId="0" fontId="17" fillId="0" borderId="42" xfId="3" applyFont="1" applyFill="1" applyBorder="1" applyAlignment="1">
      <alignment vertical="center" wrapText="1"/>
    </xf>
    <xf numFmtId="0" fontId="17" fillId="0" borderId="52" xfId="3" applyFont="1" applyFill="1" applyBorder="1" applyAlignment="1">
      <alignment vertical="center" wrapText="1"/>
    </xf>
    <xf numFmtId="0" fontId="17" fillId="26" borderId="7" xfId="3" applyFont="1" applyFill="1" applyBorder="1" applyAlignment="1">
      <alignment vertical="center" wrapText="1"/>
    </xf>
    <xf numFmtId="0" fontId="17" fillId="0" borderId="96" xfId="3" applyFont="1" applyFill="1" applyBorder="1" applyAlignment="1">
      <alignment vertical="center" wrapText="1"/>
    </xf>
    <xf numFmtId="0" fontId="17" fillId="0" borderId="105" xfId="2" applyFont="1" applyFill="1" applyBorder="1" applyAlignment="1">
      <alignment horizontal="center" vertical="center" wrapText="1"/>
    </xf>
    <xf numFmtId="0" fontId="21" fillId="21" borderId="102" xfId="2" applyFont="1" applyFill="1" applyBorder="1" applyAlignment="1">
      <alignment horizontal="center" vertical="center" wrapText="1"/>
    </xf>
    <xf numFmtId="0" fontId="18" fillId="0" borderId="78" xfId="2" applyFont="1" applyFill="1" applyBorder="1" applyAlignment="1">
      <alignment vertical="center" wrapText="1"/>
    </xf>
    <xf numFmtId="0" fontId="17" fillId="0" borderId="104" xfId="2" applyFont="1" applyFill="1" applyBorder="1" applyAlignment="1">
      <alignment horizontal="center" vertical="center" wrapText="1"/>
    </xf>
    <xf numFmtId="0" fontId="17" fillId="0" borderId="96" xfId="2" applyFont="1" applyFill="1" applyBorder="1" applyAlignment="1">
      <alignment horizontal="center" vertical="center" wrapText="1"/>
    </xf>
    <xf numFmtId="0" fontId="21" fillId="21" borderId="96" xfId="0" applyFont="1" applyFill="1" applyBorder="1" applyAlignment="1">
      <alignment horizontal="center" vertical="center" wrapText="1"/>
    </xf>
    <xf numFmtId="0" fontId="21" fillId="21" borderId="64" xfId="0" applyFont="1" applyFill="1" applyBorder="1" applyAlignment="1">
      <alignment horizontal="center" vertical="center" wrapText="1"/>
    </xf>
    <xf numFmtId="0" fontId="17" fillId="0" borderId="29" xfId="2" applyFont="1" applyFill="1" applyBorder="1" applyAlignment="1">
      <alignment horizontal="center" vertical="center" wrapText="1"/>
    </xf>
    <xf numFmtId="0" fontId="17" fillId="31" borderId="93" xfId="2" applyFont="1" applyFill="1" applyBorder="1" applyAlignment="1">
      <alignment horizontal="center" vertical="center" wrapText="1"/>
    </xf>
    <xf numFmtId="0" fontId="23" fillId="0" borderId="56" xfId="0" applyFont="1" applyBorder="1" applyAlignment="1">
      <alignment vertical="center" wrapText="1"/>
    </xf>
    <xf numFmtId="0" fontId="21" fillId="21" borderId="96" xfId="2" applyFont="1" applyFill="1" applyBorder="1" applyAlignment="1">
      <alignment horizontal="center" vertical="center" wrapText="1"/>
    </xf>
    <xf numFmtId="164" fontId="0" fillId="0" borderId="4" xfId="0" applyNumberFormat="1" applyBorder="1" applyAlignment="1">
      <alignment vertical="center" wrapText="1"/>
    </xf>
    <xf numFmtId="0" fontId="17" fillId="26" borderId="42" xfId="0" applyFont="1" applyFill="1" applyBorder="1" applyAlignment="1">
      <alignment horizontal="center" vertical="center" wrapText="1"/>
    </xf>
    <xf numFmtId="0" fontId="17" fillId="4" borderId="58" xfId="0" applyFont="1" applyFill="1" applyBorder="1" applyAlignment="1">
      <alignment horizontal="center" vertical="center" wrapText="1"/>
    </xf>
    <xf numFmtId="0" fontId="21" fillId="21" borderId="47" xfId="2" applyFont="1" applyFill="1" applyBorder="1" applyAlignment="1">
      <alignment horizontal="center" vertical="center" wrapText="1"/>
    </xf>
    <xf numFmtId="164" fontId="12" fillId="0" borderId="38" xfId="0" applyNumberFormat="1" applyFont="1" applyFill="1" applyBorder="1" applyAlignment="1">
      <alignment horizontal="left" vertical="center" wrapText="1"/>
    </xf>
    <xf numFmtId="0" fontId="21" fillId="21" borderId="64" xfId="2" applyFont="1" applyFill="1" applyBorder="1" applyAlignment="1">
      <alignment horizontal="center" vertical="center" wrapText="1"/>
    </xf>
    <xf numFmtId="0" fontId="17" fillId="26" borderId="4" xfId="1" applyFont="1" applyFill="1" applyBorder="1" applyAlignment="1">
      <alignment vertical="center" wrapText="1"/>
    </xf>
    <xf numFmtId="0" fontId="17" fillId="0" borderId="1" xfId="1" applyFont="1" applyFill="1" applyBorder="1" applyAlignment="1">
      <alignment horizontal="center" vertical="center" wrapText="1"/>
    </xf>
    <xf numFmtId="0" fontId="17" fillId="0" borderId="42" xfId="2" applyFont="1" applyFill="1" applyBorder="1" applyAlignment="1">
      <alignment horizontal="center" vertical="center" wrapText="1"/>
    </xf>
    <xf numFmtId="0" fontId="17" fillId="0" borderId="45" xfId="2" applyFont="1" applyFill="1" applyBorder="1" applyAlignment="1">
      <alignment horizontal="center" vertical="center" wrapText="1"/>
    </xf>
    <xf numFmtId="0" fontId="17" fillId="0" borderId="41" xfId="2" applyFont="1" applyFill="1" applyBorder="1" applyAlignment="1">
      <alignment horizontal="center" vertical="center" wrapText="1"/>
    </xf>
    <xf numFmtId="0" fontId="17" fillId="0" borderId="43" xfId="2" applyFont="1" applyFill="1" applyBorder="1" applyAlignment="1">
      <alignment horizontal="center" vertical="center" wrapText="1"/>
    </xf>
    <xf numFmtId="0" fontId="17" fillId="0" borderId="44" xfId="2" applyFont="1" applyFill="1" applyBorder="1" applyAlignment="1">
      <alignment horizontal="center" vertical="center" wrapText="1"/>
    </xf>
    <xf numFmtId="0" fontId="17" fillId="0" borderId="46" xfId="2" applyFont="1" applyFill="1" applyBorder="1" applyAlignment="1">
      <alignment horizontal="center" vertical="center" wrapText="1"/>
    </xf>
    <xf numFmtId="0" fontId="17" fillId="0" borderId="47" xfId="0" applyFont="1" applyBorder="1" applyAlignment="1">
      <alignment horizontal="center" vertical="center" wrapText="1"/>
    </xf>
    <xf numFmtId="0" fontId="17" fillId="0" borderId="47" xfId="2" applyFont="1" applyFill="1" applyBorder="1" applyAlignment="1">
      <alignment horizontal="center" vertical="center" wrapText="1"/>
    </xf>
    <xf numFmtId="0" fontId="17" fillId="0" borderId="40" xfId="2" applyFont="1" applyFill="1" applyBorder="1" applyAlignment="1">
      <alignment horizontal="center" vertical="center" wrapText="1"/>
    </xf>
    <xf numFmtId="0" fontId="17" fillId="0" borderId="48" xfId="2" applyFont="1" applyFill="1" applyBorder="1" applyAlignment="1">
      <alignment horizontal="center" vertical="center" wrapText="1"/>
    </xf>
    <xf numFmtId="0" fontId="21" fillId="21" borderId="79" xfId="0" applyFont="1" applyFill="1" applyBorder="1" applyAlignment="1">
      <alignment horizontal="center" vertical="center" wrapText="1"/>
    </xf>
    <xf numFmtId="0" fontId="21" fillId="21" borderId="47" xfId="2" applyFont="1" applyFill="1" applyBorder="1" applyAlignment="1">
      <alignment horizontal="center" vertical="center" wrapText="1"/>
    </xf>
    <xf numFmtId="0" fontId="18" fillId="5" borderId="29" xfId="2" applyFont="1" applyFill="1" applyBorder="1" applyAlignment="1">
      <alignment vertical="center" wrapText="1"/>
    </xf>
    <xf numFmtId="0" fontId="17" fillId="0" borderId="99" xfId="0" applyFont="1" applyBorder="1" applyAlignment="1">
      <alignment horizontal="center" vertical="center" wrapText="1"/>
    </xf>
    <xf numFmtId="0" fontId="17" fillId="10" borderId="23" xfId="2" applyFont="1" applyFill="1" applyBorder="1" applyAlignment="1">
      <alignment horizontal="center" vertical="center" wrapText="1"/>
    </xf>
    <xf numFmtId="0" fontId="17" fillId="0" borderId="87" xfId="0" applyFont="1" applyBorder="1" applyAlignment="1">
      <alignment vertical="center" wrapText="1"/>
    </xf>
    <xf numFmtId="0" fontId="17" fillId="0" borderId="88" xfId="0" applyFont="1" applyBorder="1" applyAlignment="1">
      <alignment vertical="center" wrapText="1"/>
    </xf>
    <xf numFmtId="0" fontId="17" fillId="0" borderId="31" xfId="2" applyFont="1" applyFill="1" applyBorder="1" applyAlignment="1">
      <alignment horizontal="center" vertical="center" wrapText="1"/>
    </xf>
    <xf numFmtId="0" fontId="17" fillId="0" borderId="20" xfId="2" applyFont="1" applyFill="1" applyBorder="1" applyAlignment="1">
      <alignment horizontal="center" vertical="center" wrapText="1"/>
    </xf>
    <xf numFmtId="0" fontId="17" fillId="0" borderId="28" xfId="2" applyFont="1" applyFill="1" applyBorder="1" applyAlignment="1">
      <alignment horizontal="center" vertical="center" wrapText="1"/>
    </xf>
    <xf numFmtId="0" fontId="17" fillId="0" borderId="19" xfId="2" applyFont="1" applyFill="1" applyBorder="1" applyAlignment="1">
      <alignment horizontal="center" vertical="center" wrapText="1"/>
    </xf>
    <xf numFmtId="0" fontId="21" fillId="21" borderId="44" xfId="2" applyFont="1" applyFill="1" applyBorder="1" applyAlignment="1">
      <alignment horizontal="center" vertical="center" wrapText="1"/>
    </xf>
    <xf numFmtId="0" fontId="21" fillId="21" borderId="47" xfId="2" applyFont="1" applyFill="1" applyBorder="1" applyAlignment="1">
      <alignment horizontal="center" vertical="center" wrapText="1"/>
    </xf>
    <xf numFmtId="0" fontId="17" fillId="12" borderId="13" xfId="2" applyFont="1" applyFill="1" applyBorder="1" applyAlignment="1">
      <alignment horizontal="center" vertical="center" wrapText="1"/>
    </xf>
    <xf numFmtId="164" fontId="12" fillId="0" borderId="39" xfId="0" applyNumberFormat="1" applyFont="1" applyFill="1" applyBorder="1" applyAlignment="1">
      <alignment horizontal="left" vertical="center" wrapText="1"/>
    </xf>
    <xf numFmtId="164" fontId="12" fillId="30" borderId="38" xfId="0" applyNumberFormat="1" applyFont="1" applyFill="1" applyBorder="1" applyAlignment="1">
      <alignment horizontal="left" vertical="center" wrapText="1"/>
    </xf>
    <xf numFmtId="164" fontId="13" fillId="0" borderId="49" xfId="0" applyNumberFormat="1" applyFont="1" applyFill="1" applyBorder="1" applyAlignment="1">
      <alignment horizontal="left" vertical="center" wrapText="1"/>
    </xf>
    <xf numFmtId="0" fontId="17" fillId="31" borderId="56" xfId="1" applyFont="1" applyFill="1" applyBorder="1" applyAlignment="1">
      <alignment horizontal="center" vertical="center" wrapText="1"/>
    </xf>
    <xf numFmtId="0" fontId="17" fillId="31" borderId="13" xfId="0" applyFont="1" applyFill="1" applyBorder="1" applyAlignment="1">
      <alignment vertical="center" wrapText="1"/>
    </xf>
    <xf numFmtId="0" fontId="17" fillId="31" borderId="107" xfId="0" applyFont="1" applyFill="1" applyBorder="1" applyAlignment="1">
      <alignment vertical="center"/>
    </xf>
    <xf numFmtId="0" fontId="18" fillId="31" borderId="100" xfId="2" applyFont="1" applyFill="1" applyBorder="1" applyAlignment="1">
      <alignment vertical="center" wrapText="1"/>
    </xf>
    <xf numFmtId="0" fontId="17" fillId="31" borderId="100" xfId="2" applyFont="1" applyFill="1" applyBorder="1" applyAlignment="1">
      <alignment horizontal="center" vertical="center" wrapText="1"/>
    </xf>
    <xf numFmtId="0" fontId="17" fillId="31" borderId="108" xfId="1" applyFont="1" applyFill="1" applyBorder="1" applyAlignment="1">
      <alignment horizontal="center" vertical="center" wrapText="1"/>
    </xf>
    <xf numFmtId="0" fontId="17" fillId="31" borderId="6" xfId="3" applyFont="1" applyFill="1" applyBorder="1" applyAlignment="1">
      <alignment vertical="center" wrapText="1"/>
    </xf>
    <xf numFmtId="0" fontId="18" fillId="31" borderId="86" xfId="0" applyFont="1" applyFill="1" applyBorder="1" applyAlignment="1">
      <alignment vertical="center" wrapText="1"/>
    </xf>
    <xf numFmtId="0" fontId="17" fillId="31" borderId="13" xfId="3" applyFont="1" applyFill="1" applyBorder="1" applyAlignment="1">
      <alignment vertical="center" wrapText="1"/>
    </xf>
    <xf numFmtId="0" fontId="17" fillId="31" borderId="107" xfId="0" applyFont="1" applyFill="1" applyBorder="1" applyAlignment="1">
      <alignment vertical="center" wrapText="1"/>
    </xf>
    <xf numFmtId="0" fontId="18" fillId="31" borderId="100" xfId="0" applyFont="1" applyFill="1" applyBorder="1" applyAlignment="1">
      <alignment vertical="center" wrapText="1"/>
    </xf>
    <xf numFmtId="0" fontId="17" fillId="31" borderId="100" xfId="1" applyFont="1" applyFill="1" applyBorder="1" applyAlignment="1">
      <alignment horizontal="center" vertical="center" wrapText="1"/>
    </xf>
    <xf numFmtId="0" fontId="17" fillId="31" borderId="108" xfId="2" applyFont="1" applyFill="1" applyBorder="1" applyAlignment="1">
      <alignment vertical="center" wrapText="1"/>
    </xf>
    <xf numFmtId="0" fontId="17" fillId="31" borderId="3" xfId="3" applyFont="1" applyFill="1" applyBorder="1" applyAlignment="1">
      <alignment vertical="center" wrapText="1"/>
    </xf>
    <xf numFmtId="0" fontId="17" fillId="31" borderId="110" xfId="3" applyFont="1" applyFill="1" applyBorder="1" applyAlignment="1">
      <alignment vertical="center" wrapText="1"/>
    </xf>
    <xf numFmtId="0" fontId="17" fillId="31" borderId="111" xfId="3" applyFont="1" applyFill="1" applyBorder="1" applyAlignment="1">
      <alignment vertical="center" wrapText="1"/>
    </xf>
    <xf numFmtId="0" fontId="17" fillId="31" borderId="92" xfId="2" applyFont="1" applyFill="1" applyBorder="1" applyAlignment="1">
      <alignment horizontal="center" vertical="center" wrapText="1"/>
    </xf>
    <xf numFmtId="0" fontId="17" fillId="31" borderId="54" xfId="1" applyFont="1" applyFill="1" applyBorder="1" applyAlignment="1">
      <alignment horizontal="center" vertical="center" wrapText="1"/>
    </xf>
    <xf numFmtId="0" fontId="17" fillId="31" borderId="55" xfId="2" applyFont="1" applyFill="1" applyBorder="1" applyAlignment="1">
      <alignment horizontal="center" vertical="center" wrapText="1"/>
    </xf>
    <xf numFmtId="0" fontId="17" fillId="31" borderId="45" xfId="1" applyFont="1" applyFill="1" applyBorder="1" applyAlignment="1">
      <alignment horizontal="center" vertical="center" wrapText="1"/>
    </xf>
    <xf numFmtId="0" fontId="17" fillId="0" borderId="54" xfId="0" applyFont="1" applyBorder="1" applyAlignment="1">
      <alignment horizontal="center" vertical="center" wrapText="1"/>
    </xf>
    <xf numFmtId="0" fontId="17" fillId="31" borderId="13" xfId="2" applyFont="1" applyFill="1" applyBorder="1" applyAlignment="1">
      <alignment vertical="center" wrapText="1"/>
    </xf>
    <xf numFmtId="0" fontId="17" fillId="31" borderId="107" xfId="1" applyFont="1" applyFill="1" applyBorder="1" applyAlignment="1">
      <alignment horizontal="center" vertical="center" wrapText="1"/>
    </xf>
    <xf numFmtId="0" fontId="17" fillId="31" borderId="7" xfId="2" applyFont="1" applyFill="1" applyBorder="1" applyAlignment="1">
      <alignment vertical="center" wrapText="1"/>
    </xf>
    <xf numFmtId="0" fontId="17" fillId="31" borderId="43" xfId="1" applyFont="1" applyFill="1" applyBorder="1" applyAlignment="1">
      <alignment horizontal="center" vertical="center" wrapText="1"/>
    </xf>
    <xf numFmtId="0" fontId="17" fillId="31" borderId="44" xfId="1" applyFont="1" applyFill="1" applyBorder="1" applyAlignment="1">
      <alignment horizontal="center" vertical="center" wrapText="1"/>
    </xf>
    <xf numFmtId="0" fontId="17" fillId="31" borderId="55" xfId="1" applyFont="1" applyFill="1" applyBorder="1" applyAlignment="1">
      <alignment horizontal="center" vertical="center" wrapText="1"/>
    </xf>
    <xf numFmtId="0" fontId="17" fillId="31" borderId="92" xfId="0" applyFont="1" applyFill="1" applyBorder="1" applyAlignment="1">
      <alignment horizontal="center" vertical="center" wrapText="1"/>
    </xf>
    <xf numFmtId="0" fontId="17" fillId="31" borderId="3" xfId="1" applyFont="1" applyFill="1" applyBorder="1" applyAlignment="1">
      <alignment vertical="center" wrapText="1"/>
    </xf>
    <xf numFmtId="0" fontId="17" fillId="31" borderId="14" xfId="1" applyFont="1" applyFill="1" applyBorder="1" applyAlignment="1">
      <alignment vertical="center" wrapText="1"/>
    </xf>
    <xf numFmtId="0" fontId="17" fillId="31" borderId="112" xfId="2" applyFont="1" applyFill="1" applyBorder="1" applyAlignment="1">
      <alignment vertical="center" wrapText="1"/>
    </xf>
    <xf numFmtId="0" fontId="17" fillId="31" borderId="13" xfId="1" applyFont="1" applyFill="1" applyBorder="1" applyAlignment="1">
      <alignment vertical="center" wrapText="1"/>
    </xf>
    <xf numFmtId="0" fontId="17" fillId="31" borderId="107" xfId="2" applyFont="1" applyFill="1" applyBorder="1" applyAlignment="1">
      <alignment vertical="center" wrapText="1"/>
    </xf>
    <xf numFmtId="0" fontId="17" fillId="0" borderId="46" xfId="0" applyFont="1" applyFill="1" applyBorder="1" applyAlignment="1">
      <alignment horizontal="center" vertical="center" wrapText="1"/>
    </xf>
    <xf numFmtId="0" fontId="17" fillId="0" borderId="47" xfId="0" applyFont="1" applyFill="1" applyBorder="1" applyAlignment="1">
      <alignment horizontal="center" vertical="center" wrapText="1"/>
    </xf>
    <xf numFmtId="0" fontId="17" fillId="0" borderId="48" xfId="0" applyFont="1" applyFill="1" applyBorder="1" applyAlignment="1">
      <alignment horizontal="center" vertical="center" wrapText="1"/>
    </xf>
    <xf numFmtId="0" fontId="17" fillId="0" borderId="43" xfId="0" applyFont="1" applyFill="1" applyBorder="1" applyAlignment="1">
      <alignment horizontal="center" vertical="center" wrapText="1"/>
    </xf>
    <xf numFmtId="0" fontId="17" fillId="0" borderId="44" xfId="0" applyFont="1" applyFill="1" applyBorder="1" applyAlignment="1">
      <alignment horizontal="center" vertical="center" wrapText="1"/>
    </xf>
    <xf numFmtId="0" fontId="17" fillId="0" borderId="45" xfId="0" applyFont="1" applyFill="1" applyBorder="1" applyAlignment="1">
      <alignment horizontal="center" vertical="center" wrapText="1"/>
    </xf>
    <xf numFmtId="0" fontId="17" fillId="31" borderId="7" xfId="3" applyFont="1" applyFill="1" applyBorder="1" applyAlignment="1">
      <alignment vertical="center" wrapText="1"/>
    </xf>
    <xf numFmtId="0" fontId="17" fillId="31" borderId="92" xfId="2" applyFont="1" applyFill="1" applyBorder="1" applyAlignment="1">
      <alignment vertical="center" wrapText="1"/>
    </xf>
    <xf numFmtId="0" fontId="17" fillId="31" borderId="91" xfId="2" applyFont="1" applyFill="1" applyBorder="1" applyAlignment="1">
      <alignment horizontal="center" vertical="center" wrapText="1"/>
    </xf>
    <xf numFmtId="0" fontId="18" fillId="31" borderId="41" xfId="2" applyFont="1" applyFill="1" applyBorder="1" applyAlignment="1">
      <alignment vertical="center" wrapText="1"/>
    </xf>
    <xf numFmtId="0" fontId="17" fillId="31" borderId="40" xfId="0" applyFont="1" applyFill="1" applyBorder="1" applyAlignment="1">
      <alignment vertical="center"/>
    </xf>
    <xf numFmtId="0" fontId="17" fillId="31" borderId="41" xfId="0" applyFont="1" applyFill="1" applyBorder="1" applyAlignment="1">
      <alignment vertical="center"/>
    </xf>
    <xf numFmtId="0" fontId="17" fillId="31" borderId="42" xfId="0" applyFont="1" applyFill="1" applyBorder="1" applyAlignment="1">
      <alignment vertical="center"/>
    </xf>
    <xf numFmtId="0" fontId="18" fillId="31" borderId="92" xfId="2" applyFont="1" applyFill="1" applyBorder="1" applyAlignment="1">
      <alignment vertical="center" wrapText="1"/>
    </xf>
    <xf numFmtId="0" fontId="17" fillId="31" borderId="7" xfId="0" applyFont="1" applyFill="1" applyBorder="1" applyAlignment="1">
      <alignment vertical="center" wrapText="1"/>
    </xf>
    <xf numFmtId="0" fontId="31" fillId="31" borderId="3" xfId="3" applyFont="1" applyFill="1" applyBorder="1" applyAlignment="1">
      <alignment vertical="center" wrapText="1"/>
    </xf>
    <xf numFmtId="0" fontId="17" fillId="31" borderId="92" xfId="1" applyFont="1" applyFill="1" applyBorder="1" applyAlignment="1">
      <alignment horizontal="center" vertical="center" wrapText="1"/>
    </xf>
    <xf numFmtId="0" fontId="17" fillId="31" borderId="93" xfId="1" applyFont="1" applyFill="1" applyBorder="1" applyAlignment="1">
      <alignment horizontal="center" vertical="center" wrapText="1"/>
    </xf>
    <xf numFmtId="0" fontId="17" fillId="31" borderId="91" xfId="1" applyFont="1" applyFill="1" applyBorder="1" applyAlignment="1">
      <alignment horizontal="center" vertical="center" wrapText="1"/>
    </xf>
    <xf numFmtId="0" fontId="31" fillId="31" borderId="7" xfId="1" applyFont="1" applyFill="1" applyBorder="1" applyAlignment="1">
      <alignment vertical="center" wrapText="1"/>
    </xf>
    <xf numFmtId="0" fontId="17" fillId="31" borderId="98" xfId="2" applyFont="1" applyFill="1" applyBorder="1" applyAlignment="1">
      <alignment vertical="center" wrapText="1"/>
    </xf>
    <xf numFmtId="0" fontId="18" fillId="31" borderId="109" xfId="2" applyFont="1" applyFill="1" applyBorder="1" applyAlignment="1">
      <alignment vertical="center" wrapText="1"/>
    </xf>
    <xf numFmtId="0" fontId="17" fillId="0" borderId="40" xfId="0" applyFont="1" applyFill="1" applyBorder="1" applyAlignment="1">
      <alignment horizontal="center" vertical="center" wrapText="1"/>
    </xf>
    <xf numFmtId="0" fontId="18" fillId="0" borderId="41" xfId="0" applyFont="1" applyFill="1" applyBorder="1" applyAlignment="1">
      <alignment horizontal="center" vertical="center" wrapText="1"/>
    </xf>
    <xf numFmtId="0" fontId="17" fillId="0" borderId="41" xfId="0" applyFont="1" applyFill="1" applyBorder="1" applyAlignment="1">
      <alignment horizontal="center" vertical="center" wrapText="1"/>
    </xf>
    <xf numFmtId="0" fontId="17" fillId="0" borderId="42" xfId="0" applyFont="1" applyFill="1" applyBorder="1" applyAlignment="1">
      <alignment horizontal="center" vertical="center" wrapText="1"/>
    </xf>
    <xf numFmtId="0" fontId="17" fillId="0" borderId="93" xfId="0" applyFont="1" applyFill="1" applyBorder="1" applyAlignment="1">
      <alignment horizontal="center" vertical="center" wrapText="1"/>
    </xf>
    <xf numFmtId="0" fontId="17" fillId="0" borderId="40" xfId="0" applyFont="1" applyFill="1" applyBorder="1" applyAlignment="1">
      <alignment vertical="center"/>
    </xf>
    <xf numFmtId="0" fontId="17" fillId="0" borderId="41" xfId="0" applyFont="1" applyFill="1" applyBorder="1" applyAlignment="1">
      <alignment vertical="center"/>
    </xf>
    <xf numFmtId="0" fontId="17" fillId="0" borderId="42" xfId="0" applyFont="1" applyFill="1" applyBorder="1" applyAlignment="1">
      <alignment vertical="center"/>
    </xf>
    <xf numFmtId="0" fontId="17" fillId="0" borderId="93" xfId="2" applyFont="1" applyFill="1" applyBorder="1" applyAlignment="1">
      <alignment horizontal="center" vertical="center" wrapText="1"/>
    </xf>
    <xf numFmtId="0" fontId="17" fillId="0" borderId="92" xfId="1" applyFont="1" applyFill="1" applyBorder="1" applyAlignment="1">
      <alignment horizontal="center" vertical="center" wrapText="1"/>
    </xf>
    <xf numFmtId="0" fontId="17" fillId="0" borderId="93" xfId="1" applyFont="1" applyFill="1" applyBorder="1" applyAlignment="1">
      <alignment horizontal="center" vertical="center" wrapText="1"/>
    </xf>
    <xf numFmtId="0" fontId="17" fillId="0" borderId="91" xfId="1" applyFont="1" applyFill="1" applyBorder="1" applyAlignment="1">
      <alignment horizontal="center" vertical="center" wrapText="1"/>
    </xf>
    <xf numFmtId="0" fontId="17" fillId="0" borderId="92" xfId="2" applyFont="1" applyFill="1" applyBorder="1" applyAlignment="1">
      <alignment horizontal="center" vertical="center" wrapText="1"/>
    </xf>
    <xf numFmtId="0" fontId="17" fillId="0" borderId="91" xfId="2" applyFont="1" applyFill="1" applyBorder="1" applyAlignment="1">
      <alignment horizontal="center" vertical="center" wrapText="1"/>
    </xf>
    <xf numFmtId="0" fontId="18" fillId="31" borderId="47" xfId="2" applyFont="1" applyFill="1" applyBorder="1" applyAlignment="1">
      <alignment vertical="center" wrapText="1"/>
    </xf>
    <xf numFmtId="0" fontId="17" fillId="0" borderId="20" xfId="2" applyFont="1" applyFill="1" applyBorder="1" applyAlignment="1">
      <alignment vertical="center" wrapText="1"/>
    </xf>
    <xf numFmtId="0" fontId="17" fillId="0" borderId="55" xfId="0" applyFont="1" applyFill="1" applyBorder="1" applyAlignment="1">
      <alignment horizontal="center" vertical="center" wrapText="1"/>
    </xf>
    <xf numFmtId="0" fontId="21" fillId="31" borderId="4" xfId="1" applyFont="1" applyFill="1" applyBorder="1" applyAlignment="1">
      <alignment vertical="center" wrapText="1"/>
    </xf>
    <xf numFmtId="0" fontId="17" fillId="31" borderId="4" xfId="0" applyFont="1" applyFill="1" applyBorder="1" applyAlignment="1">
      <alignment vertical="center" wrapText="1"/>
    </xf>
    <xf numFmtId="0" fontId="17" fillId="0" borderId="65" xfId="0" applyFont="1" applyBorder="1" applyAlignment="1">
      <alignment horizontal="center" vertical="center" wrapText="1"/>
    </xf>
    <xf numFmtId="0" fontId="17" fillId="0" borderId="64" xfId="3" applyFont="1" applyFill="1" applyBorder="1" applyAlignment="1">
      <alignment vertical="center" wrapText="1"/>
    </xf>
    <xf numFmtId="0" fontId="17" fillId="31" borderId="23" xfId="0" applyFont="1" applyFill="1" applyBorder="1" applyAlignment="1">
      <alignment horizontal="center" vertical="center" wrapText="1"/>
    </xf>
    <xf numFmtId="0" fontId="17" fillId="31" borderId="29" xfId="0" applyFont="1" applyFill="1" applyBorder="1" applyAlignment="1">
      <alignment horizontal="center" vertical="center" wrapText="1"/>
    </xf>
    <xf numFmtId="0" fontId="21" fillId="31" borderId="21" xfId="2" applyFont="1" applyFill="1" applyBorder="1" applyAlignment="1">
      <alignment vertical="center" wrapText="1"/>
    </xf>
    <xf numFmtId="0" fontId="17" fillId="0" borderId="98" xfId="0" applyFont="1" applyFill="1" applyBorder="1" applyAlignment="1">
      <alignment horizontal="center" vertical="center" wrapText="1"/>
    </xf>
    <xf numFmtId="0" fontId="21" fillId="0" borderId="95" xfId="2" applyFont="1" applyFill="1" applyBorder="1" applyAlignment="1">
      <alignment vertical="center" wrapText="1"/>
    </xf>
    <xf numFmtId="0" fontId="17" fillId="26" borderId="113" xfId="0" applyFont="1" applyFill="1" applyBorder="1" applyAlignment="1">
      <alignment horizontal="center" vertical="center" wrapText="1"/>
    </xf>
    <xf numFmtId="0" fontId="18" fillId="26" borderId="29" xfId="2" applyFont="1" applyFill="1" applyBorder="1" applyAlignment="1">
      <alignment vertical="center" wrapText="1"/>
    </xf>
    <xf numFmtId="0" fontId="17" fillId="26" borderId="29" xfId="0" applyFont="1" applyFill="1" applyBorder="1" applyAlignment="1">
      <alignment horizontal="center" vertical="center" wrapText="1"/>
    </xf>
    <xf numFmtId="0" fontId="17" fillId="26" borderId="21" xfId="0" applyFont="1" applyFill="1" applyBorder="1" applyAlignment="1">
      <alignment horizontal="center" vertical="center" wrapText="1"/>
    </xf>
    <xf numFmtId="0" fontId="18" fillId="0" borderId="44" xfId="0" applyFont="1" applyFill="1" applyBorder="1" applyAlignment="1">
      <alignment vertical="center" wrapText="1"/>
    </xf>
    <xf numFmtId="0" fontId="18" fillId="31" borderId="29" xfId="0" applyFont="1" applyFill="1" applyBorder="1" applyAlignment="1">
      <alignment vertical="center" wrapText="1"/>
    </xf>
    <xf numFmtId="0" fontId="17" fillId="31" borderId="21" xfId="0" applyFont="1" applyFill="1" applyBorder="1" applyAlignment="1">
      <alignment horizontal="center" vertical="center" wrapText="1"/>
    </xf>
    <xf numFmtId="0" fontId="17" fillId="31" borderId="46" xfId="3" applyFont="1" applyFill="1" applyBorder="1" applyAlignment="1">
      <alignment vertical="center" wrapText="1"/>
    </xf>
    <xf numFmtId="0" fontId="17" fillId="31" borderId="47" xfId="3" applyFont="1" applyFill="1" applyBorder="1" applyAlignment="1">
      <alignment vertical="center" wrapText="1"/>
    </xf>
    <xf numFmtId="0" fontId="17" fillId="31" borderId="48" xfId="3" applyFont="1" applyFill="1" applyBorder="1" applyAlignment="1">
      <alignment vertical="center" wrapText="1"/>
    </xf>
    <xf numFmtId="0" fontId="17" fillId="31" borderId="52" xfId="1" applyFont="1" applyFill="1" applyBorder="1" applyAlignment="1">
      <alignment horizontal="center" vertical="center" wrapText="1"/>
    </xf>
    <xf numFmtId="0" fontId="17" fillId="31" borderId="88" xfId="1" applyFont="1" applyFill="1" applyBorder="1" applyAlignment="1">
      <alignment horizontal="center" vertical="center" wrapText="1"/>
    </xf>
    <xf numFmtId="0" fontId="17" fillId="31" borderId="56" xfId="2" applyFont="1" applyFill="1" applyBorder="1" applyAlignment="1">
      <alignment horizontal="center" vertical="center" wrapText="1"/>
    </xf>
    <xf numFmtId="0" fontId="17" fillId="0" borderId="105" xfId="0" applyFont="1" applyBorder="1" applyAlignment="1">
      <alignment horizontal="center" vertical="center" wrapText="1"/>
    </xf>
    <xf numFmtId="0" fontId="17" fillId="31" borderId="4" xfId="3" applyFont="1" applyFill="1" applyBorder="1" applyAlignment="1">
      <alignment vertical="center" wrapText="1"/>
    </xf>
    <xf numFmtId="0" fontId="17" fillId="31" borderId="15" xfId="3" applyFont="1" applyFill="1" applyBorder="1" applyAlignment="1">
      <alignment vertical="center" wrapText="1"/>
    </xf>
    <xf numFmtId="0" fontId="18" fillId="31" borderId="64" xfId="0" applyFont="1" applyFill="1" applyBorder="1" applyAlignment="1">
      <alignment horizontal="center" vertical="center" wrapText="1"/>
    </xf>
    <xf numFmtId="0" fontId="17" fillId="31" borderId="64" xfId="0" applyFont="1" applyFill="1" applyBorder="1" applyAlignment="1">
      <alignment horizontal="center" vertical="center" wrapText="1"/>
    </xf>
    <xf numFmtId="0" fontId="17" fillId="31" borderId="50" xfId="0" applyFont="1" applyFill="1" applyBorder="1" applyAlignment="1">
      <alignment horizontal="center" vertical="center" wrapText="1"/>
    </xf>
    <xf numFmtId="0" fontId="17" fillId="31" borderId="53" xfId="0" applyFont="1" applyFill="1" applyBorder="1" applyAlignment="1">
      <alignment horizontal="center" vertical="center" wrapText="1"/>
    </xf>
    <xf numFmtId="0" fontId="17" fillId="31" borderId="88" xfId="0" applyFont="1" applyFill="1" applyBorder="1" applyAlignment="1">
      <alignment horizontal="center" vertical="center" wrapText="1"/>
    </xf>
    <xf numFmtId="0" fontId="18" fillId="31" borderId="55" xfId="2" applyFont="1" applyFill="1" applyBorder="1" applyAlignment="1">
      <alignment vertical="center" wrapText="1"/>
    </xf>
    <xf numFmtId="0" fontId="18" fillId="0" borderId="47" xfId="0" applyFont="1" applyFill="1" applyBorder="1" applyAlignment="1">
      <alignment vertical="center" wrapText="1"/>
    </xf>
    <xf numFmtId="0" fontId="18" fillId="0" borderId="47" xfId="0" applyFont="1" applyFill="1" applyBorder="1" applyAlignment="1">
      <alignment horizontal="center" vertical="center" wrapText="1"/>
    </xf>
    <xf numFmtId="0" fontId="17" fillId="0" borderId="88" xfId="1" applyFont="1" applyFill="1" applyBorder="1" applyAlignment="1">
      <alignment horizontal="center" vertical="center" wrapText="1"/>
    </xf>
    <xf numFmtId="0" fontId="17" fillId="31" borderId="112" xfId="1" applyFont="1" applyFill="1" applyBorder="1" applyAlignment="1">
      <alignment horizontal="center" vertical="center" wrapText="1"/>
    </xf>
    <xf numFmtId="0" fontId="18" fillId="31" borderId="41" xfId="0" applyFont="1" applyFill="1" applyBorder="1" applyAlignment="1">
      <alignment vertical="center" wrapText="1"/>
    </xf>
    <xf numFmtId="0" fontId="18" fillId="0" borderId="93" xfId="2" applyFont="1" applyFill="1" applyBorder="1" applyAlignment="1">
      <alignment vertical="center" wrapText="1"/>
    </xf>
    <xf numFmtId="0" fontId="17" fillId="0" borderId="53" xfId="0" applyFont="1" applyFill="1" applyBorder="1" applyAlignment="1">
      <alignment horizontal="center" vertical="center" wrapText="1"/>
    </xf>
    <xf numFmtId="0" fontId="17" fillId="31" borderId="112" xfId="0" applyFont="1" applyFill="1" applyBorder="1" applyAlignment="1">
      <alignment horizontal="center" vertical="center" wrapText="1"/>
    </xf>
    <xf numFmtId="0" fontId="17" fillId="31" borderId="113" xfId="3" applyFont="1" applyFill="1" applyBorder="1" applyAlignment="1">
      <alignment vertical="center" wrapText="1"/>
    </xf>
    <xf numFmtId="0" fontId="17" fillId="31" borderId="29" xfId="3" applyFont="1" applyFill="1" applyBorder="1" applyAlignment="1">
      <alignment vertical="center" wrapText="1"/>
    </xf>
    <xf numFmtId="0" fontId="17" fillId="31" borderId="21" xfId="3" applyFont="1" applyFill="1" applyBorder="1" applyAlignment="1">
      <alignment vertical="center" wrapText="1"/>
    </xf>
    <xf numFmtId="0" fontId="17" fillId="0" borderId="104" xfId="3" applyFont="1" applyFill="1" applyBorder="1" applyAlignment="1">
      <alignment vertical="center" wrapText="1"/>
    </xf>
    <xf numFmtId="0" fontId="17" fillId="0" borderId="105" xfId="3" applyFont="1" applyFill="1" applyBorder="1" applyAlignment="1">
      <alignment vertical="center" wrapText="1"/>
    </xf>
    <xf numFmtId="0" fontId="21" fillId="0" borderId="108" xfId="2" applyFont="1" applyFill="1" applyBorder="1" applyAlignment="1">
      <alignment vertical="center" wrapText="1"/>
    </xf>
    <xf numFmtId="0" fontId="21" fillId="31" borderId="102" xfId="2" applyFont="1" applyFill="1" applyBorder="1" applyAlignment="1">
      <alignment horizontal="center" vertical="center" wrapText="1"/>
    </xf>
    <xf numFmtId="0" fontId="21" fillId="31" borderId="3" xfId="1" applyFont="1" applyFill="1" applyBorder="1" applyAlignment="1">
      <alignment vertical="center" wrapText="1"/>
    </xf>
    <xf numFmtId="0" fontId="21" fillId="31" borderId="19" xfId="2" applyFont="1" applyFill="1" applyBorder="1" applyAlignment="1">
      <alignment vertical="center" wrapText="1"/>
    </xf>
    <xf numFmtId="0" fontId="17" fillId="0" borderId="56" xfId="0" applyFont="1" applyBorder="1" applyAlignment="1">
      <alignment horizontal="center" vertical="center" wrapText="1"/>
    </xf>
    <xf numFmtId="0" fontId="21" fillId="31" borderId="7" xfId="1" applyFont="1" applyFill="1" applyBorder="1" applyAlignment="1">
      <alignment vertical="center" wrapText="1"/>
    </xf>
    <xf numFmtId="0" fontId="18" fillId="31" borderId="98" xfId="2" applyFont="1" applyFill="1" applyBorder="1" applyAlignment="1">
      <alignment vertical="center" wrapText="1"/>
    </xf>
    <xf numFmtId="0" fontId="21" fillId="31" borderId="95" xfId="2" applyFont="1" applyFill="1" applyBorder="1" applyAlignment="1">
      <alignment vertical="center" wrapText="1"/>
    </xf>
    <xf numFmtId="0" fontId="21" fillId="31" borderId="6" xfId="1" applyFont="1" applyFill="1" applyBorder="1" applyAlignment="1">
      <alignment vertical="center" wrapText="1"/>
    </xf>
    <xf numFmtId="0" fontId="18" fillId="31" borderId="97" xfId="2" applyFont="1" applyFill="1" applyBorder="1" applyAlignment="1">
      <alignment vertical="center" wrapText="1"/>
    </xf>
    <xf numFmtId="0" fontId="17" fillId="31" borderId="86" xfId="0" applyFont="1" applyFill="1" applyBorder="1" applyAlignment="1">
      <alignment horizontal="center" vertical="center" wrapText="1"/>
    </xf>
    <xf numFmtId="0" fontId="21" fillId="31" borderId="94" xfId="2" applyFont="1" applyFill="1" applyBorder="1" applyAlignment="1">
      <alignment vertical="center" wrapText="1"/>
    </xf>
    <xf numFmtId="0" fontId="17" fillId="31" borderId="109" xfId="0" applyFont="1" applyFill="1" applyBorder="1" applyAlignment="1">
      <alignment horizontal="center" vertical="center" wrapText="1"/>
    </xf>
    <xf numFmtId="0" fontId="31" fillId="31" borderId="103" xfId="0" applyFont="1" applyFill="1" applyBorder="1" applyAlignment="1">
      <alignment vertical="center" wrapText="1"/>
    </xf>
    <xf numFmtId="0" fontId="17" fillId="0" borderId="86" xfId="1" applyFont="1" applyFill="1" applyBorder="1" applyAlignment="1">
      <alignment horizontal="center" vertical="center" wrapText="1"/>
    </xf>
    <xf numFmtId="0" fontId="17" fillId="0" borderId="28" xfId="0" applyFont="1" applyBorder="1" applyAlignment="1">
      <alignment horizontal="center" vertical="center" wrapText="1"/>
    </xf>
    <xf numFmtId="0" fontId="21" fillId="0" borderId="28" xfId="0" applyFont="1" applyFill="1" applyBorder="1" applyAlignment="1">
      <alignment horizontal="center" vertical="center" wrapText="1"/>
    </xf>
    <xf numFmtId="0" fontId="17" fillId="0" borderId="29" xfId="0" applyFont="1" applyFill="1" applyBorder="1" applyAlignment="1">
      <alignment horizontal="center" vertical="center" wrapText="1"/>
    </xf>
    <xf numFmtId="0" fontId="17" fillId="0" borderId="22" xfId="2" applyFont="1" applyFill="1" applyBorder="1" applyAlignment="1">
      <alignment horizontal="center" vertical="center" wrapText="1"/>
    </xf>
    <xf numFmtId="0" fontId="21" fillId="31" borderId="73" xfId="2" applyFont="1" applyFill="1" applyBorder="1" applyAlignment="1">
      <alignment horizontal="center" vertical="center" wrapText="1"/>
    </xf>
    <xf numFmtId="0" fontId="17" fillId="31" borderId="113" xfId="2" applyFont="1" applyFill="1" applyBorder="1" applyAlignment="1">
      <alignment vertical="center" wrapText="1"/>
    </xf>
    <xf numFmtId="0" fontId="17" fillId="31" borderId="29" xfId="2" applyFont="1" applyFill="1" applyBorder="1" applyAlignment="1">
      <alignment horizontal="center" vertical="center" wrapText="1"/>
    </xf>
    <xf numFmtId="0" fontId="17" fillId="31" borderId="21" xfId="2" applyFont="1" applyFill="1" applyBorder="1" applyAlignment="1">
      <alignment horizontal="center" vertical="center" wrapText="1"/>
    </xf>
    <xf numFmtId="0" fontId="17" fillId="0" borderId="114" xfId="2" applyFont="1" applyFill="1" applyBorder="1" applyAlignment="1">
      <alignment horizontal="center" vertical="center" wrapText="1"/>
    </xf>
    <xf numFmtId="0" fontId="17" fillId="31" borderId="115" xfId="2" applyFont="1" applyFill="1" applyBorder="1" applyAlignment="1">
      <alignment vertical="center" wrapText="1"/>
    </xf>
    <xf numFmtId="0" fontId="17" fillId="31" borderId="86" xfId="2" applyFont="1" applyFill="1" applyBorder="1" applyAlignment="1">
      <alignment horizontal="center" vertical="center" wrapText="1"/>
    </xf>
    <xf numFmtId="0" fontId="17" fillId="31" borderId="94" xfId="2" applyFont="1" applyFill="1" applyBorder="1" applyAlignment="1">
      <alignment horizontal="center" vertical="center" wrapText="1"/>
    </xf>
    <xf numFmtId="0" fontId="21" fillId="21" borderId="109" xfId="0" applyFont="1" applyFill="1" applyBorder="1" applyAlignment="1">
      <alignment horizontal="center" vertical="center" wrapText="1"/>
    </xf>
    <xf numFmtId="0" fontId="17" fillId="31" borderId="116" xfId="3" applyFont="1" applyFill="1" applyBorder="1" applyAlignment="1">
      <alignment vertical="center" wrapText="1"/>
    </xf>
    <xf numFmtId="0" fontId="17" fillId="31" borderId="4" xfId="0" applyFont="1" applyFill="1" applyBorder="1" applyAlignment="1">
      <alignment horizontal="center" vertical="center" wrapText="1"/>
    </xf>
    <xf numFmtId="0" fontId="21" fillId="31" borderId="29" xfId="0" applyFont="1" applyFill="1" applyBorder="1" applyAlignment="1">
      <alignment horizontal="center" vertical="center" wrapText="1"/>
    </xf>
    <xf numFmtId="0" fontId="17" fillId="31" borderId="28" xfId="2" applyFont="1" applyFill="1" applyBorder="1" applyAlignment="1">
      <alignment horizontal="center" vertical="center" wrapText="1"/>
    </xf>
    <xf numFmtId="0" fontId="21" fillId="21" borderId="28" xfId="2" applyFont="1" applyFill="1" applyBorder="1" applyAlignment="1">
      <alignment horizontal="center" vertical="center" wrapText="1"/>
    </xf>
    <xf numFmtId="0" fontId="17" fillId="26" borderId="23" xfId="0" applyFont="1" applyFill="1" applyBorder="1" applyAlignment="1">
      <alignment horizontal="center" vertical="center" wrapText="1"/>
    </xf>
    <xf numFmtId="0" fontId="21" fillId="26" borderId="21" xfId="2" applyFont="1" applyFill="1" applyBorder="1" applyAlignment="1">
      <alignment vertical="center" wrapText="1"/>
    </xf>
    <xf numFmtId="0" fontId="17" fillId="31" borderId="71" xfId="1" applyFont="1" applyFill="1" applyBorder="1" applyAlignment="1">
      <alignment vertical="center" wrapText="1"/>
    </xf>
    <xf numFmtId="0" fontId="17" fillId="31" borderId="7" xfId="1" applyFont="1" applyFill="1" applyBorder="1" applyAlignment="1">
      <alignment vertical="center" wrapText="1"/>
    </xf>
    <xf numFmtId="0" fontId="17" fillId="31" borderId="98" xfId="2" applyFont="1" applyFill="1" applyBorder="1" applyAlignment="1">
      <alignment horizontal="center" vertical="center" wrapText="1"/>
    </xf>
    <xf numFmtId="0" fontId="17" fillId="31" borderId="109" xfId="2" applyFont="1" applyFill="1" applyBorder="1" applyAlignment="1">
      <alignment horizontal="center" vertical="center" wrapText="1"/>
    </xf>
    <xf numFmtId="0" fontId="17" fillId="31" borderId="95" xfId="2" applyFont="1" applyFill="1" applyBorder="1" applyAlignment="1">
      <alignment horizontal="center" vertical="center" wrapText="1"/>
    </xf>
    <xf numFmtId="0" fontId="17" fillId="0" borderId="92" xfId="2" applyFont="1" applyFill="1" applyBorder="1" applyAlignment="1">
      <alignment vertical="center" wrapText="1"/>
    </xf>
    <xf numFmtId="0" fontId="17" fillId="22" borderId="3" xfId="1" applyFont="1" applyFill="1" applyBorder="1" applyAlignment="1">
      <alignment vertical="center" wrapText="1"/>
    </xf>
    <xf numFmtId="0" fontId="17" fillId="22" borderId="4" xfId="1" applyFont="1" applyFill="1" applyBorder="1" applyAlignment="1">
      <alignment vertical="center" wrapText="1"/>
    </xf>
    <xf numFmtId="0" fontId="17" fillId="31" borderId="22" xfId="0" applyFont="1" applyFill="1" applyBorder="1" applyAlignment="1">
      <alignment horizontal="center" vertical="center" wrapText="1"/>
    </xf>
    <xf numFmtId="0" fontId="17" fillId="31" borderId="31" xfId="0" applyFont="1" applyFill="1" applyBorder="1" applyAlignment="1">
      <alignment horizontal="center" vertical="center" wrapText="1"/>
    </xf>
    <xf numFmtId="0" fontId="23" fillId="31" borderId="20" xfId="0" applyFont="1" applyFill="1" applyBorder="1" applyAlignment="1">
      <alignment vertical="center" wrapText="1"/>
    </xf>
    <xf numFmtId="0" fontId="17" fillId="31" borderId="109" xfId="1" applyFont="1" applyFill="1" applyBorder="1" applyAlignment="1">
      <alignment horizontal="center" vertical="center" wrapText="1"/>
    </xf>
    <xf numFmtId="0" fontId="23" fillId="31" borderId="95" xfId="0" applyFont="1" applyFill="1" applyBorder="1" applyAlignment="1">
      <alignment vertical="center" wrapText="1"/>
    </xf>
    <xf numFmtId="0" fontId="17" fillId="31" borderId="3" xfId="2" applyFont="1" applyFill="1" applyBorder="1" applyAlignment="1">
      <alignment vertical="center" wrapText="1"/>
    </xf>
    <xf numFmtId="0" fontId="17" fillId="31" borderId="46" xfId="1" applyFont="1" applyFill="1" applyBorder="1" applyAlignment="1">
      <alignment horizontal="center" vertical="center" wrapText="1"/>
    </xf>
    <xf numFmtId="0" fontId="17" fillId="31" borderId="47" xfId="1" applyFont="1" applyFill="1" applyBorder="1" applyAlignment="1">
      <alignment horizontal="center" vertical="center" wrapText="1"/>
    </xf>
    <xf numFmtId="0" fontId="17" fillId="31" borderId="48" xfId="1" applyFont="1" applyFill="1" applyBorder="1" applyAlignment="1">
      <alignment horizontal="center" vertical="center" wrapText="1"/>
    </xf>
    <xf numFmtId="0" fontId="17" fillId="0" borderId="104" xfId="1" applyFont="1" applyFill="1" applyBorder="1" applyAlignment="1">
      <alignment horizontal="center" vertical="center" wrapText="1"/>
    </xf>
    <xf numFmtId="0" fontId="17" fillId="0" borderId="96" xfId="1" applyFont="1" applyFill="1" applyBorder="1" applyAlignment="1">
      <alignment horizontal="center" vertical="center" wrapText="1"/>
    </xf>
    <xf numFmtId="0" fontId="17" fillId="0" borderId="105" xfId="1" applyFont="1" applyFill="1" applyBorder="1" applyAlignment="1">
      <alignment horizontal="center" vertical="center" wrapText="1"/>
    </xf>
    <xf numFmtId="0" fontId="31" fillId="31" borderId="4" xfId="3" applyFont="1" applyFill="1" applyBorder="1" applyAlignment="1">
      <alignment vertical="center" wrapText="1"/>
    </xf>
    <xf numFmtId="0" fontId="17" fillId="0" borderId="54" xfId="2" applyFont="1" applyFill="1" applyBorder="1" applyAlignment="1">
      <alignment vertical="center" wrapText="1"/>
    </xf>
    <xf numFmtId="0" fontId="31" fillId="31" borderId="116" xfId="1" applyFont="1" applyFill="1" applyBorder="1" applyAlignment="1">
      <alignment vertical="center" wrapText="1"/>
    </xf>
    <xf numFmtId="0" fontId="17" fillId="26" borderId="2" xfId="0" applyFont="1" applyFill="1" applyBorder="1" applyAlignment="1">
      <alignment vertical="center" wrapText="1"/>
    </xf>
    <xf numFmtId="0" fontId="18" fillId="26" borderId="22" xfId="2" applyFont="1" applyFill="1" applyBorder="1" applyAlignment="1">
      <alignment vertical="center" wrapText="1"/>
    </xf>
    <xf numFmtId="0" fontId="18" fillId="26" borderId="23" xfId="2" applyFont="1" applyFill="1" applyBorder="1" applyAlignment="1">
      <alignment vertical="center" wrapText="1"/>
    </xf>
    <xf numFmtId="0" fontId="21" fillId="26" borderId="29" xfId="2" applyFont="1" applyFill="1" applyBorder="1" applyAlignment="1">
      <alignment horizontal="center" vertical="center" wrapText="1"/>
    </xf>
    <xf numFmtId="0" fontId="17" fillId="26" borderId="21" xfId="2" applyFont="1" applyFill="1" applyBorder="1" applyAlignment="1">
      <alignment vertical="center" wrapText="1"/>
    </xf>
    <xf numFmtId="0" fontId="17" fillId="26" borderId="2" xfId="2" applyFont="1" applyFill="1" applyBorder="1" applyAlignment="1">
      <alignment vertical="center" wrapText="1"/>
    </xf>
    <xf numFmtId="0" fontId="21" fillId="26" borderId="20" xfId="0" applyFont="1" applyFill="1" applyBorder="1" applyAlignment="1">
      <alignment vertical="center" wrapText="1"/>
    </xf>
    <xf numFmtId="0" fontId="17" fillId="31" borderId="106" xfId="1" applyFont="1" applyFill="1" applyBorder="1" applyAlignment="1">
      <alignment vertical="center" wrapText="1"/>
    </xf>
    <xf numFmtId="0" fontId="17" fillId="31" borderId="54" xfId="2" applyFont="1" applyFill="1" applyBorder="1" applyAlignment="1">
      <alignment horizontal="center" vertical="center" wrapText="1"/>
    </xf>
    <xf numFmtId="0" fontId="21" fillId="31" borderId="47" xfId="2" applyFont="1" applyFill="1" applyBorder="1" applyAlignment="1">
      <alignment horizontal="center" vertical="center" wrapText="1"/>
    </xf>
    <xf numFmtId="0" fontId="22" fillId="26" borderId="2" xfId="2" applyFont="1" applyFill="1" applyBorder="1" applyAlignment="1">
      <alignment horizontal="center" vertical="center" wrapText="1"/>
    </xf>
    <xf numFmtId="0" fontId="21" fillId="26" borderId="31" xfId="2" applyFont="1" applyFill="1" applyBorder="1" applyAlignment="1">
      <alignment horizontal="center" vertical="center" wrapText="1"/>
    </xf>
    <xf numFmtId="0" fontId="17" fillId="31" borderId="95" xfId="2" applyFont="1" applyFill="1" applyBorder="1" applyAlignment="1">
      <alignment vertical="center" wrapText="1"/>
    </xf>
    <xf numFmtId="0" fontId="17" fillId="0" borderId="0" xfId="0" applyFont="1" applyFill="1" applyAlignment="1">
      <alignment horizontal="center" vertical="center" wrapText="1"/>
    </xf>
    <xf numFmtId="0" fontId="17" fillId="0" borderId="88" xfId="2"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19" fillId="0" borderId="0" xfId="0" applyFont="1" applyBorder="1" applyAlignment="1">
      <alignment horizontal="center" vertical="center" wrapText="1"/>
    </xf>
    <xf numFmtId="164" fontId="20" fillId="0" borderId="0" xfId="0" applyNumberFormat="1" applyFont="1" applyFill="1" applyAlignment="1">
      <alignment horizontal="center" vertical="center" wrapText="1"/>
    </xf>
    <xf numFmtId="164" fontId="19" fillId="0" borderId="0" xfId="0" applyNumberFormat="1" applyFont="1" applyFill="1" applyAlignment="1">
      <alignment horizontal="center" vertical="center" wrapText="1"/>
    </xf>
    <xf numFmtId="0" fontId="17" fillId="0" borderId="3" xfId="2" applyFont="1" applyFill="1" applyBorder="1" applyAlignment="1">
      <alignment horizontal="center" vertical="center" wrapText="1"/>
    </xf>
    <xf numFmtId="0" fontId="17" fillId="0" borderId="3" xfId="3" applyFont="1" applyFill="1" applyBorder="1" applyAlignment="1">
      <alignment horizontal="center" vertical="center" wrapText="1"/>
    </xf>
    <xf numFmtId="0" fontId="45" fillId="0" borderId="0" xfId="0" applyFont="1" applyAlignment="1">
      <alignment horizontal="center"/>
    </xf>
    <xf numFmtId="0" fontId="0" fillId="0" borderId="92" xfId="0" applyBorder="1" applyAlignment="1">
      <alignment horizontal="center"/>
    </xf>
    <xf numFmtId="0" fontId="45" fillId="0" borderId="100" xfId="0" applyFont="1" applyBorder="1" applyAlignment="1">
      <alignment horizontal="center"/>
    </xf>
    <xf numFmtId="0" fontId="45" fillId="0" borderId="108" xfId="0" applyFont="1" applyBorder="1" applyAlignment="1">
      <alignment horizontal="center"/>
    </xf>
    <xf numFmtId="0" fontId="0" fillId="0" borderId="100" xfId="0" applyBorder="1" applyAlignment="1">
      <alignment horizontal="center" vertical="center"/>
    </xf>
    <xf numFmtId="0" fontId="0" fillId="9" borderId="100" xfId="0" applyFill="1" applyBorder="1" applyAlignment="1">
      <alignment horizontal="center" vertical="center"/>
    </xf>
    <xf numFmtId="0" fontId="0" fillId="0" borderId="100" xfId="0" applyBorder="1" applyAlignment="1">
      <alignment horizontal="center"/>
    </xf>
    <xf numFmtId="0" fontId="0" fillId="9" borderId="108" xfId="0" applyFill="1" applyBorder="1" applyAlignment="1">
      <alignment horizontal="center" vertical="center"/>
    </xf>
    <xf numFmtId="0" fontId="0" fillId="35" borderId="100" xfId="0" applyFill="1" applyBorder="1" applyAlignment="1">
      <alignment wrapText="1"/>
    </xf>
    <xf numFmtId="0" fontId="0" fillId="0" borderId="108" xfId="0" applyBorder="1" applyAlignment="1">
      <alignment horizontal="center" vertical="center"/>
    </xf>
    <xf numFmtId="0" fontId="0" fillId="0" borderId="100" xfId="0" applyFill="1" applyBorder="1" applyAlignment="1">
      <alignment horizontal="center" vertical="center"/>
    </xf>
    <xf numFmtId="0" fontId="0" fillId="9" borderId="99" xfId="0" applyFill="1" applyBorder="1" applyAlignment="1">
      <alignment horizontal="center" vertical="center"/>
    </xf>
    <xf numFmtId="0" fontId="0" fillId="0" borderId="99" xfId="0" applyFill="1" applyBorder="1" applyAlignment="1">
      <alignment horizontal="center" vertical="center"/>
    </xf>
    <xf numFmtId="0" fontId="0" fillId="0" borderId="99" xfId="0" applyBorder="1" applyAlignment="1">
      <alignment horizontal="center"/>
    </xf>
    <xf numFmtId="0" fontId="0" fillId="0" borderId="99" xfId="0" applyBorder="1" applyAlignment="1">
      <alignment horizontal="center" vertical="center"/>
    </xf>
    <xf numFmtId="0" fontId="0" fillId="0" borderId="101" xfId="0" applyBorder="1" applyAlignment="1">
      <alignment horizontal="center" vertical="center"/>
    </xf>
    <xf numFmtId="0" fontId="45" fillId="0" borderId="118" xfId="0" applyFont="1" applyBorder="1" applyAlignment="1">
      <alignment horizontal="center"/>
    </xf>
    <xf numFmtId="0" fontId="0" fillId="0" borderId="118" xfId="0" applyBorder="1" applyAlignment="1">
      <alignment horizontal="center" vertical="center"/>
    </xf>
    <xf numFmtId="0" fontId="0" fillId="0" borderId="118" xfId="0" applyFill="1" applyBorder="1" applyAlignment="1">
      <alignment horizontal="center" vertical="center"/>
    </xf>
    <xf numFmtId="0" fontId="0" fillId="9" borderId="118" xfId="0" applyFill="1" applyBorder="1" applyAlignment="1">
      <alignment horizontal="center" vertical="center"/>
    </xf>
    <xf numFmtId="0" fontId="0" fillId="9" borderId="119" xfId="0" applyFill="1" applyBorder="1" applyAlignment="1">
      <alignment horizontal="center" vertical="center"/>
    </xf>
    <xf numFmtId="0" fontId="0" fillId="0" borderId="91" xfId="0" applyBorder="1" applyAlignment="1">
      <alignment horizontal="center"/>
    </xf>
    <xf numFmtId="0" fontId="0" fillId="0" borderId="108" xfId="0" applyBorder="1" applyAlignment="1">
      <alignment vertical="center"/>
    </xf>
    <xf numFmtId="0" fontId="0" fillId="0" borderId="101" xfId="0" applyBorder="1" applyAlignment="1">
      <alignment vertical="center"/>
    </xf>
    <xf numFmtId="0" fontId="45" fillId="0" borderId="0" xfId="0" applyFont="1"/>
    <xf numFmtId="0" fontId="45" fillId="0" borderId="0" xfId="0" applyFont="1" applyAlignment="1">
      <alignment horizontal="center" vertical="center"/>
    </xf>
    <xf numFmtId="0" fontId="21" fillId="21" borderId="44" xfId="2" applyFont="1" applyFill="1" applyBorder="1" applyAlignment="1">
      <alignment horizontal="center" vertical="center" wrapText="1"/>
    </xf>
    <xf numFmtId="0" fontId="21" fillId="21" borderId="47" xfId="2" applyFont="1" applyFill="1" applyBorder="1" applyAlignment="1">
      <alignment horizontal="center" vertical="center" wrapText="1"/>
    </xf>
    <xf numFmtId="164" fontId="42" fillId="0" borderId="2" xfId="0" applyNumberFormat="1" applyFont="1" applyBorder="1" applyAlignment="1">
      <alignment vertical="center" wrapText="1"/>
    </xf>
    <xf numFmtId="0" fontId="17" fillId="33" borderId="3" xfId="0" applyFont="1" applyFill="1" applyBorder="1" applyAlignment="1">
      <alignment vertical="center" wrapText="1"/>
    </xf>
    <xf numFmtId="0" fontId="17" fillId="0" borderId="58" xfId="3" applyFont="1" applyFill="1" applyBorder="1" applyAlignment="1">
      <alignment vertical="center" wrapText="1"/>
    </xf>
    <xf numFmtId="0" fontId="17" fillId="26" borderId="13" xfId="3" applyFont="1" applyFill="1" applyBorder="1" applyAlignment="1">
      <alignment vertical="center" wrapText="1"/>
    </xf>
    <xf numFmtId="0" fontId="17" fillId="26" borderId="1" xfId="2" applyFont="1" applyFill="1" applyBorder="1" applyAlignment="1">
      <alignment vertical="center" wrapText="1"/>
    </xf>
    <xf numFmtId="0" fontId="17" fillId="19" borderId="2" xfId="2" applyFont="1" applyFill="1" applyBorder="1" applyAlignment="1">
      <alignment vertical="center" wrapText="1"/>
    </xf>
    <xf numFmtId="0" fontId="17" fillId="19" borderId="3" xfId="2" applyFont="1" applyFill="1" applyBorder="1" applyAlignment="1">
      <alignment vertical="center" wrapText="1"/>
    </xf>
    <xf numFmtId="0" fontId="21" fillId="21" borderId="47" xfId="2" applyFont="1" applyFill="1" applyBorder="1" applyAlignment="1">
      <alignment horizontal="center" vertical="center" wrapText="1"/>
    </xf>
    <xf numFmtId="0" fontId="21" fillId="21" borderId="47" xfId="2" applyFont="1" applyFill="1" applyBorder="1" applyAlignment="1">
      <alignment horizontal="center" vertical="center" wrapText="1"/>
    </xf>
    <xf numFmtId="0" fontId="17" fillId="0" borderId="0" xfId="2" applyFont="1" applyFill="1" applyBorder="1" applyAlignment="1">
      <alignment horizontal="center" vertical="center" wrapText="1"/>
    </xf>
    <xf numFmtId="0" fontId="17" fillId="0" borderId="0" xfId="1" applyFont="1" applyFill="1" applyBorder="1" applyAlignment="1">
      <alignment horizontal="center" vertical="center" wrapText="1"/>
    </xf>
    <xf numFmtId="0" fontId="17" fillId="0" borderId="0"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23" fillId="0" borderId="0" xfId="0" applyFont="1" applyFill="1" applyBorder="1" applyAlignment="1">
      <alignment vertical="center" wrapText="1"/>
    </xf>
    <xf numFmtId="0" fontId="21" fillId="0" borderId="0" xfId="0" applyFont="1" applyFill="1" applyBorder="1" applyAlignment="1">
      <alignment horizontal="center" vertical="center" wrapText="1"/>
    </xf>
    <xf numFmtId="0" fontId="28" fillId="0" borderId="0" xfId="0" applyFont="1" applyFill="1" applyBorder="1" applyAlignment="1">
      <alignment horizontal="center" vertical="center" wrapText="1"/>
    </xf>
    <xf numFmtId="0" fontId="17" fillId="26" borderId="3" xfId="0" applyFont="1" applyFill="1" applyBorder="1" applyAlignment="1">
      <alignment vertical="center" wrapText="1"/>
    </xf>
    <xf numFmtId="0" fontId="17" fillId="26" borderId="4" xfId="0" applyFont="1" applyFill="1" applyBorder="1" applyAlignment="1">
      <alignment vertical="center" wrapText="1"/>
    </xf>
    <xf numFmtId="0" fontId="17" fillId="26" borderId="7" xfId="0" applyFont="1" applyFill="1" applyBorder="1" applyAlignment="1">
      <alignment vertical="center" wrapText="1"/>
    </xf>
    <xf numFmtId="0" fontId="21" fillId="36" borderId="72" xfId="1" applyFont="1" applyFill="1" applyBorder="1" applyAlignment="1">
      <alignment horizontal="center" vertical="center" wrapText="1"/>
    </xf>
    <xf numFmtId="0" fontId="17" fillId="0" borderId="121" xfId="2" applyFont="1" applyFill="1" applyBorder="1" applyAlignment="1">
      <alignment horizontal="center" vertical="center" wrapText="1"/>
    </xf>
    <xf numFmtId="0" fontId="17" fillId="26" borderId="87" xfId="2" applyFont="1" applyFill="1" applyBorder="1" applyAlignment="1">
      <alignment horizontal="center" vertical="center" wrapText="1"/>
    </xf>
    <xf numFmtId="0" fontId="17" fillId="31" borderId="122" xfId="2" applyFont="1" applyFill="1" applyBorder="1" applyAlignment="1">
      <alignment horizontal="center" vertical="center" wrapText="1"/>
    </xf>
    <xf numFmtId="0" fontId="17" fillId="6" borderId="52" xfId="2" applyFont="1" applyFill="1" applyBorder="1" applyAlignment="1">
      <alignment horizontal="center" vertical="center" wrapText="1"/>
    </xf>
    <xf numFmtId="0" fontId="21" fillId="21" borderId="53" xfId="0" applyFont="1" applyFill="1" applyBorder="1" applyAlignment="1">
      <alignment horizontal="center" vertical="center" wrapText="1"/>
    </xf>
    <xf numFmtId="0" fontId="17" fillId="4" borderId="3" xfId="0" applyFont="1" applyFill="1" applyBorder="1" applyAlignment="1">
      <alignment vertical="center" wrapText="1"/>
    </xf>
    <xf numFmtId="0" fontId="17" fillId="4" borderId="62" xfId="0" applyFont="1" applyFill="1" applyBorder="1" applyAlignment="1">
      <alignment vertical="center" wrapText="1"/>
    </xf>
    <xf numFmtId="0" fontId="19" fillId="0" borderId="0" xfId="0" applyFont="1" applyFill="1" applyAlignment="1">
      <alignment horizontal="center" vertical="center" wrapText="1"/>
    </xf>
    <xf numFmtId="0" fontId="19" fillId="0" borderId="0" xfId="0" applyFont="1" applyFill="1" applyBorder="1" applyAlignment="1">
      <alignment horizontal="center" vertical="center" wrapText="1"/>
    </xf>
    <xf numFmtId="164" fontId="31" fillId="0" borderId="0" xfId="0" applyNumberFormat="1" applyFont="1" applyFill="1" applyBorder="1" applyAlignment="1">
      <alignment horizontal="center" vertical="center" wrapText="1"/>
    </xf>
    <xf numFmtId="0" fontId="3" fillId="0" borderId="0" xfId="0" applyFont="1" applyFill="1" applyAlignment="1">
      <alignment horizontal="center" vertical="center" wrapText="1"/>
    </xf>
    <xf numFmtId="0" fontId="17" fillId="4" borderId="3" xfId="3" applyFont="1" applyFill="1" applyBorder="1" applyAlignment="1">
      <alignment vertical="center" wrapText="1"/>
    </xf>
    <xf numFmtId="0" fontId="17" fillId="19" borderId="3" xfId="3" applyFont="1" applyFill="1" applyBorder="1" applyAlignment="1">
      <alignment horizontal="center" vertical="center" wrapText="1"/>
    </xf>
    <xf numFmtId="0" fontId="17" fillId="0" borderId="26" xfId="0" applyFont="1" applyBorder="1" applyAlignment="1">
      <alignment horizontal="center" vertical="center" wrapText="1"/>
    </xf>
    <xf numFmtId="0" fontId="17" fillId="33" borderId="11" xfId="2" applyFont="1" applyFill="1" applyBorder="1" applyAlignment="1">
      <alignment horizontal="center" vertical="center" wrapText="1"/>
    </xf>
    <xf numFmtId="0" fontId="17" fillId="33" borderId="8" xfId="2" applyFont="1" applyFill="1" applyBorder="1" applyAlignment="1">
      <alignment horizontal="center" vertical="center" wrapText="1"/>
    </xf>
    <xf numFmtId="0" fontId="17" fillId="33" borderId="9" xfId="2" applyFont="1" applyFill="1" applyBorder="1" applyAlignment="1">
      <alignment horizontal="center" vertical="center" wrapText="1"/>
    </xf>
    <xf numFmtId="0" fontId="17" fillId="19" borderId="11" xfId="2" applyFont="1" applyFill="1" applyBorder="1" applyAlignment="1">
      <alignment vertical="center" wrapText="1"/>
    </xf>
    <xf numFmtId="0" fontId="17" fillId="19" borderId="8" xfId="2" applyFont="1" applyFill="1" applyBorder="1" applyAlignment="1">
      <alignment vertical="center" wrapText="1"/>
    </xf>
    <xf numFmtId="0" fontId="21" fillId="31" borderId="9" xfId="1" applyFont="1" applyFill="1" applyBorder="1" applyAlignment="1">
      <alignment vertical="center" wrapText="1"/>
    </xf>
    <xf numFmtId="0" fontId="17" fillId="31" borderId="9" xfId="0" applyFont="1" applyFill="1" applyBorder="1" applyAlignment="1">
      <alignment horizontal="center" vertical="center" wrapText="1"/>
    </xf>
    <xf numFmtId="43" fontId="17" fillId="26" borderId="7" xfId="5" applyFont="1" applyFill="1" applyBorder="1" applyAlignment="1">
      <alignment vertical="center" wrapText="1"/>
    </xf>
    <xf numFmtId="0" fontId="46" fillId="35" borderId="1" xfId="0" applyFont="1" applyFill="1" applyBorder="1" applyAlignment="1">
      <alignment horizontal="center" vertical="center" wrapText="1"/>
    </xf>
    <xf numFmtId="0" fontId="17" fillId="24"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7" fillId="0" borderId="38" xfId="1" applyFont="1" applyFill="1" applyBorder="1" applyAlignment="1">
      <alignment horizontal="center" vertical="center" wrapText="1"/>
    </xf>
    <xf numFmtId="0" fontId="17" fillId="0" borderId="38" xfId="2" applyFont="1" applyFill="1" applyBorder="1" applyAlignment="1">
      <alignment horizontal="center" vertical="center" wrapText="1"/>
    </xf>
    <xf numFmtId="0" fontId="17" fillId="6" borderId="38" xfId="2" applyFont="1" applyFill="1" applyBorder="1" applyAlignment="1">
      <alignment horizontal="center" vertical="center" wrapText="1"/>
    </xf>
    <xf numFmtId="0" fontId="17" fillId="0" borderId="39" xfId="0" applyFont="1" applyBorder="1" applyAlignment="1">
      <alignment horizontal="center" vertical="center" wrapText="1"/>
    </xf>
    <xf numFmtId="0" fontId="21" fillId="21" borderId="39" xfId="0" applyFont="1" applyFill="1" applyBorder="1" applyAlignment="1">
      <alignment horizontal="center" vertical="center" wrapText="1"/>
    </xf>
    <xf numFmtId="0" fontId="17" fillId="0" borderId="49" xfId="0" applyFont="1" applyBorder="1" applyAlignment="1">
      <alignment horizontal="center" vertical="center" wrapText="1"/>
    </xf>
    <xf numFmtId="0" fontId="18" fillId="0" borderId="23" xfId="2" applyFont="1" applyFill="1" applyBorder="1" applyAlignment="1">
      <alignment vertical="center" wrapText="1"/>
    </xf>
    <xf numFmtId="0" fontId="17" fillId="0" borderId="19" xfId="2" applyFont="1" applyFill="1" applyBorder="1" applyAlignment="1">
      <alignment vertical="center" wrapText="1"/>
    </xf>
    <xf numFmtId="0" fontId="17" fillId="0" borderId="21" xfId="2" applyFont="1" applyFill="1" applyBorder="1" applyAlignment="1">
      <alignment vertical="center" wrapText="1"/>
    </xf>
    <xf numFmtId="0" fontId="17" fillId="0" borderId="95" xfId="2" applyFont="1" applyFill="1" applyBorder="1" applyAlignment="1">
      <alignment vertical="center" wrapText="1"/>
    </xf>
    <xf numFmtId="0" fontId="17" fillId="38" borderId="44" xfId="0" applyFont="1" applyFill="1" applyBorder="1" applyAlignment="1">
      <alignment horizontal="center" vertical="center" wrapText="1"/>
    </xf>
    <xf numFmtId="0" fontId="17" fillId="25" borderId="44" xfId="2" applyFont="1" applyFill="1" applyBorder="1" applyAlignment="1">
      <alignment horizontal="center" vertical="center" wrapText="1"/>
    </xf>
    <xf numFmtId="0" fontId="21" fillId="21" borderId="47" xfId="2" applyFont="1" applyFill="1" applyBorder="1" applyAlignment="1">
      <alignment horizontal="center" vertical="center" wrapText="1"/>
    </xf>
    <xf numFmtId="0" fontId="17" fillId="24" borderId="44" xfId="0" applyFont="1" applyFill="1" applyBorder="1" applyAlignment="1">
      <alignment horizontal="center" vertical="center" wrapText="1"/>
    </xf>
    <xf numFmtId="0" fontId="17" fillId="38" borderId="41" xfId="0" applyFont="1" applyFill="1" applyBorder="1" applyAlignment="1">
      <alignment horizontal="center" vertical="center" wrapText="1"/>
    </xf>
    <xf numFmtId="0" fontId="17" fillId="38" borderId="55" xfId="0" applyFont="1" applyFill="1" applyBorder="1" applyAlignment="1">
      <alignment horizontal="center" vertical="center" wrapText="1"/>
    </xf>
    <xf numFmtId="0" fontId="21" fillId="40" borderId="47" xfId="2" applyFont="1" applyFill="1" applyBorder="1" applyAlignment="1">
      <alignment horizontal="center" vertical="center" wrapText="1"/>
    </xf>
    <xf numFmtId="0" fontId="21" fillId="41" borderId="3" xfId="0" applyFont="1" applyFill="1" applyBorder="1" applyAlignment="1">
      <alignment horizontal="center" vertical="center" wrapText="1"/>
    </xf>
    <xf numFmtId="0" fontId="21" fillId="40" borderId="55" xfId="2" applyFont="1" applyFill="1" applyBorder="1" applyAlignment="1">
      <alignment horizontal="center" vertical="center" wrapText="1"/>
    </xf>
    <xf numFmtId="0" fontId="17" fillId="24" borderId="44" xfId="2" applyFont="1" applyFill="1" applyBorder="1" applyAlignment="1">
      <alignment horizontal="center" vertical="center" wrapText="1"/>
    </xf>
    <xf numFmtId="0" fontId="21" fillId="24" borderId="44" xfId="0" applyFont="1" applyFill="1" applyBorder="1" applyAlignment="1">
      <alignment horizontal="center" vertical="center" wrapText="1"/>
    </xf>
    <xf numFmtId="0" fontId="17" fillId="0" borderId="3" xfId="3" applyFont="1" applyFill="1" applyBorder="1" applyAlignment="1">
      <alignment horizontal="center" vertical="center" wrapText="1"/>
    </xf>
    <xf numFmtId="0" fontId="17" fillId="0" borderId="3" xfId="2" applyFont="1" applyFill="1" applyBorder="1" applyAlignment="1">
      <alignment horizontal="center" vertical="center" wrapText="1"/>
    </xf>
    <xf numFmtId="0" fontId="17" fillId="0" borderId="4" xfId="2" applyFont="1" applyFill="1" applyBorder="1" applyAlignment="1">
      <alignment horizontal="center" vertical="center" wrapText="1"/>
    </xf>
    <xf numFmtId="0" fontId="17" fillId="4" borderId="58" xfId="3" applyFont="1" applyFill="1" applyBorder="1" applyAlignment="1">
      <alignment vertical="center" wrapText="1"/>
    </xf>
    <xf numFmtId="0" fontId="17" fillId="0" borderId="7" xfId="0" applyFont="1" applyBorder="1" applyAlignment="1">
      <alignment horizontal="center" vertical="center" wrapText="1"/>
    </xf>
    <xf numFmtId="0" fontId="17" fillId="6" borderId="109" xfId="2" applyFont="1" applyFill="1" applyBorder="1" applyAlignment="1">
      <alignment horizontal="center" vertical="center" wrapText="1"/>
    </xf>
    <xf numFmtId="0" fontId="17" fillId="0" borderId="51" xfId="2" applyFont="1" applyFill="1" applyBorder="1" applyAlignment="1">
      <alignment vertical="center" wrapText="1"/>
    </xf>
    <xf numFmtId="0" fontId="21" fillId="21" borderId="44" xfId="2" applyFont="1" applyFill="1" applyBorder="1" applyAlignment="1">
      <alignment horizontal="center" vertical="center" wrapText="1"/>
    </xf>
    <xf numFmtId="0" fontId="21" fillId="21" borderId="47" xfId="2" applyFont="1" applyFill="1" applyBorder="1" applyAlignment="1">
      <alignment horizontal="center" vertical="center" wrapText="1"/>
    </xf>
    <xf numFmtId="0" fontId="17" fillId="0" borderId="24" xfId="1" applyFont="1" applyFill="1" applyBorder="1" applyAlignment="1">
      <alignment vertical="center" wrapText="1"/>
    </xf>
    <xf numFmtId="0" fontId="17" fillId="0" borderId="0" xfId="1" applyFont="1" applyFill="1" applyBorder="1" applyAlignment="1">
      <alignment vertical="center" wrapText="1"/>
    </xf>
    <xf numFmtId="0" fontId="21" fillId="21" borderId="47" xfId="2" applyFont="1" applyFill="1" applyBorder="1" applyAlignment="1">
      <alignment horizontal="center" vertical="center" wrapText="1"/>
    </xf>
    <xf numFmtId="0" fontId="17" fillId="0" borderId="11" xfId="1" applyFont="1" applyFill="1" applyBorder="1" applyAlignment="1">
      <alignment horizontal="center" vertical="center" wrapText="1"/>
    </xf>
    <xf numFmtId="0" fontId="17" fillId="31" borderId="20" xfId="2" applyFont="1" applyFill="1" applyBorder="1" applyAlignment="1">
      <alignment horizontal="center" vertical="center" wrapText="1"/>
    </xf>
    <xf numFmtId="0" fontId="17" fillId="26" borderId="2" xfId="1" applyFont="1" applyFill="1" applyBorder="1" applyAlignment="1">
      <alignment vertical="center" wrapText="1"/>
    </xf>
    <xf numFmtId="0" fontId="31" fillId="4" borderId="6" xfId="0" applyFont="1" applyFill="1" applyBorder="1" applyAlignment="1">
      <alignment horizontal="center" vertical="center" wrapText="1"/>
    </xf>
    <xf numFmtId="0" fontId="31" fillId="4" borderId="3" xfId="0" applyFont="1" applyFill="1" applyBorder="1" applyAlignment="1">
      <alignment horizontal="center" vertical="center" wrapText="1"/>
    </xf>
    <xf numFmtId="0" fontId="31" fillId="4" borderId="62" xfId="0" applyFont="1" applyFill="1" applyBorder="1" applyAlignment="1">
      <alignment horizontal="center" vertical="center" wrapText="1"/>
    </xf>
    <xf numFmtId="0" fontId="18" fillId="5" borderId="78" xfId="2" applyFont="1" applyFill="1" applyBorder="1" applyAlignment="1">
      <alignment horizontal="center" vertical="center" wrapText="1"/>
    </xf>
    <xf numFmtId="0" fontId="18" fillId="5" borderId="98" xfId="2" applyFont="1" applyFill="1" applyBorder="1" applyAlignment="1">
      <alignment horizontal="center" vertical="center" wrapText="1"/>
    </xf>
    <xf numFmtId="0" fontId="18" fillId="5" borderId="40" xfId="2" applyFont="1" applyFill="1" applyBorder="1" applyAlignment="1">
      <alignment horizontal="center" vertical="center" wrapText="1"/>
    </xf>
    <xf numFmtId="0" fontId="18" fillId="5" borderId="43" xfId="2" applyFont="1" applyFill="1" applyBorder="1" applyAlignment="1">
      <alignment horizontal="center" vertical="center" wrapText="1"/>
    </xf>
    <xf numFmtId="0" fontId="18" fillId="5" borderId="46" xfId="2" applyFont="1" applyFill="1" applyBorder="1" applyAlignment="1">
      <alignment horizontal="center" vertical="center" wrapText="1"/>
    </xf>
    <xf numFmtId="0" fontId="17" fillId="19" borderId="61" xfId="2" applyFont="1" applyFill="1" applyBorder="1" applyAlignment="1">
      <alignment horizontal="center" vertical="center" wrapText="1"/>
    </xf>
    <xf numFmtId="0" fontId="17" fillId="19" borderId="3" xfId="2" applyFont="1" applyFill="1" applyBorder="1" applyAlignment="1">
      <alignment horizontal="center" vertical="center" wrapText="1"/>
    </xf>
    <xf numFmtId="0" fontId="17" fillId="19" borderId="4" xfId="2" applyFont="1" applyFill="1" applyBorder="1" applyAlignment="1">
      <alignment horizontal="center" vertical="center" wrapText="1"/>
    </xf>
    <xf numFmtId="0" fontId="17" fillId="13" borderId="42" xfId="0" applyFont="1" applyFill="1" applyBorder="1" applyAlignment="1">
      <alignment horizontal="center" vertical="center" wrapText="1"/>
    </xf>
    <xf numFmtId="0" fontId="18" fillId="13" borderId="45" xfId="0" applyFont="1" applyFill="1" applyBorder="1" applyAlignment="1">
      <alignment horizontal="center" vertical="center" wrapText="1"/>
    </xf>
    <xf numFmtId="0" fontId="18" fillId="13" borderId="48" xfId="0" applyFont="1" applyFill="1" applyBorder="1" applyAlignment="1">
      <alignment horizontal="center" vertical="center" wrapText="1"/>
    </xf>
    <xf numFmtId="164" fontId="19" fillId="37" borderId="31" xfId="0" applyNumberFormat="1" applyFont="1" applyFill="1" applyBorder="1" applyAlignment="1">
      <alignment horizontal="center" vertical="center" wrapText="1"/>
    </xf>
    <xf numFmtId="164" fontId="19" fillId="37" borderId="28" xfId="0" applyNumberFormat="1" applyFont="1" applyFill="1" applyBorder="1" applyAlignment="1">
      <alignment horizontal="center" vertical="center" wrapText="1"/>
    </xf>
    <xf numFmtId="164" fontId="19" fillId="37" borderId="55" xfId="0" applyNumberFormat="1" applyFont="1" applyFill="1" applyBorder="1" applyAlignment="1">
      <alignment horizontal="center" vertical="center" wrapText="1"/>
    </xf>
    <xf numFmtId="0" fontId="18" fillId="5" borderId="22" xfId="2" applyFont="1" applyFill="1" applyBorder="1" applyAlignment="1">
      <alignment horizontal="center" vertical="center" wrapText="1"/>
    </xf>
    <xf numFmtId="0" fontId="18" fillId="5" borderId="23" xfId="2" applyFont="1" applyFill="1" applyBorder="1" applyAlignment="1">
      <alignment horizontal="center" vertical="center" wrapText="1"/>
    </xf>
    <xf numFmtId="0" fontId="31" fillId="4" borderId="59" xfId="3" applyFont="1" applyFill="1" applyBorder="1" applyAlignment="1">
      <alignment horizontal="center" vertical="center" wrapText="1"/>
    </xf>
    <xf numFmtId="0" fontId="17" fillId="4" borderId="59" xfId="3" applyFont="1" applyFill="1" applyBorder="1" applyAlignment="1">
      <alignment horizontal="center" vertical="center" wrapText="1"/>
    </xf>
    <xf numFmtId="0" fontId="17" fillId="0" borderId="61" xfId="3" applyFont="1" applyFill="1" applyBorder="1" applyAlignment="1">
      <alignment horizontal="center" vertical="center" wrapText="1"/>
    </xf>
    <xf numFmtId="0" fontId="17" fillId="0" borderId="3" xfId="3" applyFont="1" applyFill="1" applyBorder="1" applyAlignment="1">
      <alignment horizontal="center" vertical="center" wrapText="1"/>
    </xf>
    <xf numFmtId="0" fontId="17" fillId="0" borderId="7" xfId="3" applyFont="1" applyFill="1" applyBorder="1" applyAlignment="1">
      <alignment horizontal="center" vertical="center" wrapText="1"/>
    </xf>
    <xf numFmtId="0" fontId="17" fillId="0" borderId="6" xfId="3" applyFont="1" applyFill="1" applyBorder="1" applyAlignment="1">
      <alignment horizontal="center" vertical="center" wrapText="1"/>
    </xf>
    <xf numFmtId="0" fontId="17" fillId="0" borderId="62" xfId="3" applyFont="1" applyFill="1" applyBorder="1" applyAlignment="1">
      <alignment horizontal="center" vertical="center" wrapText="1"/>
    </xf>
    <xf numFmtId="0" fontId="17" fillId="19" borderId="1" xfId="2" applyFont="1" applyFill="1" applyBorder="1" applyAlignment="1">
      <alignment horizontal="center" vertical="center" wrapText="1"/>
    </xf>
    <xf numFmtId="0" fontId="21" fillId="21" borderId="61" xfId="1" applyFont="1" applyFill="1" applyBorder="1" applyAlignment="1">
      <alignment horizontal="center" vertical="center" wrapText="1"/>
    </xf>
    <xf numFmtId="0" fontId="21" fillId="21" borderId="3" xfId="1" applyFont="1" applyFill="1" applyBorder="1" applyAlignment="1">
      <alignment horizontal="center" vertical="center" wrapText="1"/>
    </xf>
    <xf numFmtId="0" fontId="21" fillId="21" borderId="7" xfId="1" applyFont="1" applyFill="1" applyBorder="1" applyAlignment="1">
      <alignment horizontal="center" vertical="center" wrapText="1"/>
    </xf>
    <xf numFmtId="0" fontId="21" fillId="21" borderId="20" xfId="2" applyFont="1" applyFill="1" applyBorder="1" applyAlignment="1">
      <alignment horizontal="center" vertical="center" wrapText="1"/>
    </xf>
    <xf numFmtId="0" fontId="21" fillId="21" borderId="19" xfId="2" applyFont="1" applyFill="1" applyBorder="1" applyAlignment="1">
      <alignment horizontal="center" vertical="center" wrapText="1"/>
    </xf>
    <xf numFmtId="0" fontId="21" fillId="21" borderId="95" xfId="2" applyFont="1" applyFill="1" applyBorder="1" applyAlignment="1">
      <alignment horizontal="center" vertical="center" wrapText="1"/>
    </xf>
    <xf numFmtId="0" fontId="17" fillId="4" borderId="2" xfId="3" applyFont="1" applyFill="1" applyBorder="1" applyAlignment="1">
      <alignment horizontal="center" vertical="center" wrapText="1"/>
    </xf>
    <xf numFmtId="0" fontId="17" fillId="4" borderId="3" xfId="3" applyFont="1" applyFill="1" applyBorder="1" applyAlignment="1">
      <alignment horizontal="center" vertical="center" wrapText="1"/>
    </xf>
    <xf numFmtId="0" fontId="17" fillId="4" borderId="62" xfId="3" applyFont="1" applyFill="1" applyBorder="1" applyAlignment="1">
      <alignment horizontal="center" vertical="center" wrapText="1"/>
    </xf>
    <xf numFmtId="0" fontId="31" fillId="4" borderId="2" xfId="0" applyFont="1" applyFill="1" applyBorder="1" applyAlignment="1">
      <alignment horizontal="center" vertical="center" wrapText="1"/>
    </xf>
    <xf numFmtId="0" fontId="31" fillId="4" borderId="7" xfId="0" applyFont="1" applyFill="1" applyBorder="1" applyAlignment="1">
      <alignment horizontal="center" vertical="center" wrapText="1"/>
    </xf>
    <xf numFmtId="0" fontId="16" fillId="0" borderId="11"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10" xfId="0" applyFont="1" applyBorder="1" applyAlignment="1">
      <alignment horizontal="center" vertical="center" wrapText="1"/>
    </xf>
    <xf numFmtId="0" fontId="17" fillId="33" borderId="1" xfId="2" applyFont="1" applyFill="1" applyBorder="1" applyAlignment="1">
      <alignment horizontal="center" vertical="center" wrapText="1"/>
    </xf>
    <xf numFmtId="0" fontId="17" fillId="11" borderId="1" xfId="2" applyFont="1" applyFill="1" applyBorder="1" applyAlignment="1">
      <alignment horizontal="center" vertical="center" wrapText="1"/>
    </xf>
    <xf numFmtId="0" fontId="17" fillId="12" borderId="17" xfId="2" applyFont="1" applyFill="1" applyBorder="1" applyAlignment="1">
      <alignment horizontal="center" vertical="center" wrapText="1"/>
    </xf>
    <xf numFmtId="0" fontId="17" fillId="12" borderId="3" xfId="2" applyFont="1" applyFill="1" applyBorder="1" applyAlignment="1">
      <alignment horizontal="center" vertical="center" wrapText="1"/>
    </xf>
    <xf numFmtId="0" fontId="17" fillId="12" borderId="4" xfId="2" applyFont="1" applyFill="1" applyBorder="1" applyAlignment="1">
      <alignment horizontal="center" vertical="center" wrapText="1"/>
    </xf>
    <xf numFmtId="0" fontId="17" fillId="4" borderId="2" xfId="2" applyFont="1" applyFill="1" applyBorder="1" applyAlignment="1">
      <alignment horizontal="center" vertical="center" wrapText="1"/>
    </xf>
    <xf numFmtId="0" fontId="17" fillId="4" borderId="3" xfId="2" applyFont="1" applyFill="1" applyBorder="1" applyAlignment="1">
      <alignment horizontal="center" vertical="center" wrapText="1"/>
    </xf>
    <xf numFmtId="0" fontId="17" fillId="4" borderId="62" xfId="2" applyFont="1" applyFill="1" applyBorder="1" applyAlignment="1">
      <alignment horizontal="center" vertical="center" wrapText="1"/>
    </xf>
    <xf numFmtId="0" fontId="18" fillId="5" borderId="41" xfId="0" applyFont="1" applyFill="1" applyBorder="1" applyAlignment="1">
      <alignment horizontal="center" vertical="center" wrapText="1"/>
    </xf>
    <xf numFmtId="0" fontId="18" fillId="5" borderId="44" xfId="0" applyFont="1" applyFill="1" applyBorder="1" applyAlignment="1">
      <alignment horizontal="center" vertical="center" wrapText="1"/>
    </xf>
    <xf numFmtId="0" fontId="18" fillId="5" borderId="47" xfId="0" applyFont="1" applyFill="1" applyBorder="1" applyAlignment="1">
      <alignment horizontal="center" vertical="center" wrapText="1"/>
    </xf>
    <xf numFmtId="0" fontId="17" fillId="0" borderId="4" xfId="3" applyFont="1" applyFill="1" applyBorder="1" applyAlignment="1">
      <alignment horizontal="center" vertical="center" wrapText="1"/>
    </xf>
    <xf numFmtId="0" fontId="18" fillId="5" borderId="41" xfId="2" applyFont="1" applyFill="1" applyBorder="1" applyAlignment="1">
      <alignment horizontal="center" vertical="center" wrapText="1"/>
    </xf>
    <xf numFmtId="0" fontId="18" fillId="5" borderId="44" xfId="2" applyFont="1" applyFill="1" applyBorder="1" applyAlignment="1">
      <alignment horizontal="center" vertical="center" wrapText="1"/>
    </xf>
    <xf numFmtId="0" fontId="18" fillId="5" borderId="47" xfId="2" applyFont="1" applyFill="1" applyBorder="1" applyAlignment="1">
      <alignment horizontal="center" vertical="center" wrapText="1"/>
    </xf>
    <xf numFmtId="0" fontId="17" fillId="19" borderId="2" xfId="2" applyFont="1" applyFill="1" applyBorder="1" applyAlignment="1">
      <alignment horizontal="center" vertical="center" wrapText="1"/>
    </xf>
    <xf numFmtId="0" fontId="17" fillId="0" borderId="2" xfId="2" applyFont="1" applyFill="1" applyBorder="1" applyAlignment="1">
      <alignment horizontal="center" vertical="center" wrapText="1"/>
    </xf>
    <xf numFmtId="0" fontId="17" fillId="0" borderId="3" xfId="2" applyFont="1" applyFill="1" applyBorder="1" applyAlignment="1">
      <alignment horizontal="center" vertical="center" wrapText="1"/>
    </xf>
    <xf numFmtId="0" fontId="17" fillId="0" borderId="4" xfId="2" applyFont="1" applyFill="1" applyBorder="1" applyAlignment="1">
      <alignment horizontal="center" vertical="center" wrapText="1"/>
    </xf>
    <xf numFmtId="0" fontId="18" fillId="5" borderId="31" xfId="2" applyFont="1" applyFill="1" applyBorder="1" applyAlignment="1">
      <alignment horizontal="center" vertical="center" wrapText="1"/>
    </xf>
    <xf numFmtId="0" fontId="18" fillId="5" borderId="28" xfId="2" applyFont="1" applyFill="1" applyBorder="1" applyAlignment="1">
      <alignment horizontal="center" vertical="center" wrapText="1"/>
    </xf>
    <xf numFmtId="0" fontId="18" fillId="5" borderId="29" xfId="2" applyFont="1" applyFill="1" applyBorder="1" applyAlignment="1">
      <alignment horizontal="center" vertical="center" wrapText="1"/>
    </xf>
    <xf numFmtId="0" fontId="18" fillId="5" borderId="28" xfId="0" applyFont="1" applyFill="1" applyBorder="1" applyAlignment="1">
      <alignment horizontal="center" vertical="center" wrapText="1"/>
    </xf>
    <xf numFmtId="0" fontId="18" fillId="5" borderId="29" xfId="0" applyFont="1" applyFill="1" applyBorder="1" applyAlignment="1">
      <alignment horizontal="center" vertical="center" wrapText="1"/>
    </xf>
    <xf numFmtId="0" fontId="17" fillId="0" borderId="62" xfId="2" applyFont="1" applyFill="1" applyBorder="1" applyAlignment="1">
      <alignment horizontal="center" vertical="center" wrapText="1"/>
    </xf>
    <xf numFmtId="164" fontId="41" fillId="0" borderId="2" xfId="0" applyNumberFormat="1" applyFont="1" applyBorder="1" applyAlignment="1">
      <alignment horizontal="center" vertical="center" wrapText="1"/>
    </xf>
    <xf numFmtId="164" fontId="41" fillId="0" borderId="3" xfId="0" applyNumberFormat="1" applyFont="1" applyBorder="1" applyAlignment="1">
      <alignment horizontal="center" vertical="center" wrapText="1"/>
    </xf>
    <xf numFmtId="164" fontId="41" fillId="0" borderId="4" xfId="0" applyNumberFormat="1" applyFont="1" applyBorder="1" applyAlignment="1">
      <alignment horizontal="center" vertical="center" wrapText="1"/>
    </xf>
    <xf numFmtId="164" fontId="42" fillId="0" borderId="2" xfId="0" applyNumberFormat="1" applyFont="1" applyBorder="1" applyAlignment="1">
      <alignment horizontal="center" vertical="center" wrapText="1"/>
    </xf>
    <xf numFmtId="164" fontId="42" fillId="0" borderId="3" xfId="0" applyNumberFormat="1" applyFont="1" applyBorder="1" applyAlignment="1">
      <alignment horizontal="center" vertical="center" wrapText="1"/>
    </xf>
    <xf numFmtId="164" fontId="42" fillId="0" borderId="4" xfId="0" applyNumberFormat="1" applyFont="1" applyBorder="1" applyAlignment="1">
      <alignment horizontal="center" vertical="center" wrapText="1"/>
    </xf>
    <xf numFmtId="164" fontId="0" fillId="0" borderId="2" xfId="0" applyNumberFormat="1" applyBorder="1" applyAlignment="1">
      <alignment horizontal="center" vertical="center" wrapText="1"/>
    </xf>
    <xf numFmtId="164" fontId="0" fillId="0" borderId="3" xfId="0" applyNumberFormat="1" applyBorder="1" applyAlignment="1">
      <alignment horizontal="center" vertical="center" wrapText="1"/>
    </xf>
    <xf numFmtId="164" fontId="0" fillId="0" borderId="4" xfId="0" applyNumberFormat="1" applyBorder="1" applyAlignment="1">
      <alignment horizontal="center" vertical="center" wrapText="1"/>
    </xf>
    <xf numFmtId="164" fontId="41" fillId="0" borderId="11" xfId="0" applyNumberFormat="1" applyFont="1" applyBorder="1" applyAlignment="1">
      <alignment horizontal="center" vertical="center" wrapText="1"/>
    </xf>
    <xf numFmtId="164" fontId="41" fillId="0" borderId="8" xfId="0" applyNumberFormat="1" applyFont="1" applyBorder="1" applyAlignment="1">
      <alignment horizontal="center" vertical="center" wrapText="1"/>
    </xf>
    <xf numFmtId="164" fontId="41" fillId="0" borderId="9" xfId="0" applyNumberFormat="1" applyFont="1" applyBorder="1" applyAlignment="1">
      <alignment horizontal="center" vertical="center" wrapText="1"/>
    </xf>
    <xf numFmtId="0" fontId="17" fillId="22" borderId="2" xfId="2" applyFont="1" applyFill="1" applyBorder="1" applyAlignment="1">
      <alignment horizontal="center" vertical="center" wrapText="1"/>
    </xf>
    <xf numFmtId="0" fontId="17" fillId="22" borderId="3" xfId="2" applyFont="1" applyFill="1" applyBorder="1" applyAlignment="1">
      <alignment horizontal="center" vertical="center" wrapText="1"/>
    </xf>
    <xf numFmtId="0" fontId="17" fillId="22" borderId="4" xfId="2" applyFont="1" applyFill="1" applyBorder="1" applyAlignment="1">
      <alignment horizontal="center" vertical="center" wrapText="1"/>
    </xf>
    <xf numFmtId="0" fontId="17" fillId="13" borderId="42" xfId="2" applyFont="1" applyFill="1" applyBorder="1" applyAlignment="1">
      <alignment horizontal="center" vertical="center" wrapText="1"/>
    </xf>
    <xf numFmtId="0" fontId="17" fillId="13" borderId="45" xfId="2" applyFont="1" applyFill="1" applyBorder="1" applyAlignment="1">
      <alignment horizontal="center" vertical="center" wrapText="1"/>
    </xf>
    <xf numFmtId="0" fontId="17" fillId="13" borderId="48" xfId="2" applyFont="1" applyFill="1" applyBorder="1" applyAlignment="1">
      <alignment horizontal="center" vertical="center" wrapText="1"/>
    </xf>
    <xf numFmtId="0" fontId="17" fillId="39" borderId="20" xfId="0" applyFont="1" applyFill="1" applyBorder="1" applyAlignment="1">
      <alignment horizontal="center" vertical="center" wrapText="1"/>
    </xf>
    <xf numFmtId="0" fontId="17" fillId="39" borderId="19" xfId="0" applyFont="1" applyFill="1" applyBorder="1" applyAlignment="1">
      <alignment horizontal="center" vertical="center" wrapText="1"/>
    </xf>
    <xf numFmtId="0" fontId="17" fillId="39" borderId="21" xfId="0" applyFont="1" applyFill="1" applyBorder="1" applyAlignment="1">
      <alignment horizontal="center" vertical="center" wrapText="1"/>
    </xf>
    <xf numFmtId="0" fontId="21" fillId="21" borderId="41" xfId="2" applyFont="1" applyFill="1" applyBorder="1" applyAlignment="1">
      <alignment horizontal="center" vertical="center" wrapText="1"/>
    </xf>
    <xf numFmtId="0" fontId="21" fillId="21" borderId="44" xfId="2" applyFont="1" applyFill="1" applyBorder="1" applyAlignment="1">
      <alignment horizontal="center" vertical="center" wrapText="1"/>
    </xf>
    <xf numFmtId="0" fontId="21" fillId="21" borderId="47" xfId="2" applyFont="1" applyFill="1" applyBorder="1" applyAlignment="1">
      <alignment horizontal="center" vertical="center" wrapText="1"/>
    </xf>
    <xf numFmtId="0" fontId="18" fillId="5" borderId="31" xfId="1" applyFont="1" applyFill="1" applyBorder="1" applyAlignment="1">
      <alignment horizontal="center" vertical="center" wrapText="1"/>
    </xf>
    <xf numFmtId="0" fontId="18" fillId="5" borderId="28" xfId="1" applyFont="1" applyFill="1" applyBorder="1" applyAlignment="1">
      <alignment horizontal="center" vertical="center" wrapText="1"/>
    </xf>
    <xf numFmtId="0" fontId="18" fillId="5" borderId="109" xfId="1" applyFont="1" applyFill="1" applyBorder="1" applyAlignment="1">
      <alignment horizontal="center" vertical="center" wrapText="1"/>
    </xf>
    <xf numFmtId="0" fontId="17" fillId="4" borderId="61" xfId="3" applyFont="1" applyFill="1" applyBorder="1" applyAlignment="1">
      <alignment horizontal="center" vertical="center" wrapText="1"/>
    </xf>
    <xf numFmtId="0" fontId="17" fillId="4" borderId="4" xfId="3" applyFont="1" applyFill="1" applyBorder="1" applyAlignment="1">
      <alignment horizontal="center" vertical="center" wrapText="1"/>
    </xf>
    <xf numFmtId="0" fontId="23" fillId="5" borderId="22" xfId="1" applyFont="1" applyFill="1" applyBorder="1" applyAlignment="1">
      <alignment horizontal="center" vertical="center" wrapText="1"/>
    </xf>
    <xf numFmtId="0" fontId="23" fillId="5" borderId="78" xfId="1" applyFont="1" applyFill="1" applyBorder="1" applyAlignment="1">
      <alignment horizontal="center" vertical="center" wrapText="1"/>
    </xf>
    <xf numFmtId="0" fontId="23" fillId="5" borderId="23" xfId="1" applyFont="1" applyFill="1" applyBorder="1" applyAlignment="1">
      <alignment horizontal="center" vertical="center" wrapText="1"/>
    </xf>
    <xf numFmtId="0" fontId="17" fillId="4" borderId="77" xfId="0" applyFont="1" applyFill="1" applyBorder="1" applyAlignment="1">
      <alignment horizontal="center" vertical="center" wrapText="1"/>
    </xf>
    <xf numFmtId="0" fontId="17" fillId="4" borderId="59" xfId="0" applyFont="1" applyFill="1" applyBorder="1" applyAlignment="1">
      <alignment horizontal="center" vertical="center" wrapText="1"/>
    </xf>
    <xf numFmtId="0" fontId="17" fillId="14" borderId="61" xfId="0" applyFont="1" applyFill="1" applyBorder="1" applyAlignment="1">
      <alignment horizontal="center" vertical="center" wrapText="1"/>
    </xf>
    <xf numFmtId="0" fontId="17" fillId="14" borderId="3" xfId="0" applyFont="1" applyFill="1" applyBorder="1" applyAlignment="1">
      <alignment horizontal="center" vertical="center" wrapText="1"/>
    </xf>
    <xf numFmtId="0" fontId="17" fillId="14" borderId="4" xfId="0" applyFont="1" applyFill="1" applyBorder="1" applyAlignment="1">
      <alignment horizontal="center" vertical="center" wrapText="1"/>
    </xf>
    <xf numFmtId="0" fontId="17" fillId="18" borderId="40" xfId="2" applyFont="1" applyFill="1" applyBorder="1" applyAlignment="1">
      <alignment horizontal="center" vertical="center" wrapText="1"/>
    </xf>
    <xf numFmtId="0" fontId="17" fillId="18" borderId="43" xfId="2" applyFont="1" applyFill="1" applyBorder="1" applyAlignment="1">
      <alignment horizontal="center" vertical="center" wrapText="1"/>
    </xf>
    <xf numFmtId="0" fontId="17" fillId="18" borderId="46" xfId="2" applyFont="1" applyFill="1" applyBorder="1" applyAlignment="1">
      <alignment horizontal="center" vertical="center" wrapText="1"/>
    </xf>
    <xf numFmtId="0" fontId="18" fillId="5" borderId="67" xfId="2" applyFont="1" applyFill="1" applyBorder="1" applyAlignment="1">
      <alignment horizontal="center" vertical="center" wrapText="1"/>
    </xf>
    <xf numFmtId="0" fontId="18" fillId="5" borderId="68" xfId="2" applyFont="1" applyFill="1" applyBorder="1" applyAlignment="1">
      <alignment horizontal="center" vertical="center" wrapText="1"/>
    </xf>
    <xf numFmtId="0" fontId="18" fillId="5" borderId="69" xfId="2" applyFont="1" applyFill="1" applyBorder="1" applyAlignment="1">
      <alignment horizontal="center" vertical="center" wrapText="1"/>
    </xf>
    <xf numFmtId="0" fontId="17" fillId="18" borderId="40" xfId="0" applyFont="1" applyFill="1" applyBorder="1" applyAlignment="1">
      <alignment horizontal="center" vertical="center" wrapText="1"/>
    </xf>
    <xf numFmtId="0" fontId="17" fillId="18" borderId="43" xfId="0" applyFont="1" applyFill="1" applyBorder="1" applyAlignment="1">
      <alignment horizontal="center" vertical="center" wrapText="1"/>
    </xf>
    <xf numFmtId="0" fontId="17" fillId="18" borderId="46" xfId="0" applyFont="1" applyFill="1" applyBorder="1" applyAlignment="1">
      <alignment horizontal="center" vertical="center" wrapText="1"/>
    </xf>
    <xf numFmtId="0" fontId="31" fillId="5" borderId="58" xfId="0" applyFont="1" applyFill="1" applyBorder="1" applyAlignment="1">
      <alignment horizontal="center" vertical="center" wrapText="1"/>
    </xf>
    <xf numFmtId="0" fontId="17" fillId="5" borderId="59" xfId="0" applyFont="1" applyFill="1" applyBorder="1" applyAlignment="1">
      <alignment horizontal="center" vertical="center" wrapText="1"/>
    </xf>
    <xf numFmtId="0" fontId="17" fillId="12" borderId="15" xfId="2" applyFont="1" applyFill="1" applyBorder="1" applyAlignment="1">
      <alignment horizontal="center" vertical="center" wrapText="1"/>
    </xf>
    <xf numFmtId="0" fontId="17" fillId="12" borderId="1" xfId="2" applyFont="1" applyFill="1" applyBorder="1" applyAlignment="1">
      <alignment horizontal="center" vertical="center" wrapText="1"/>
    </xf>
    <xf numFmtId="0" fontId="17" fillId="22" borderId="8" xfId="1" applyFont="1" applyFill="1" applyBorder="1" applyAlignment="1">
      <alignment horizontal="center" vertical="center" wrapText="1"/>
    </xf>
    <xf numFmtId="0" fontId="17" fillId="22" borderId="9" xfId="1" applyFont="1" applyFill="1" applyBorder="1" applyAlignment="1">
      <alignment horizontal="center" vertical="center" wrapText="1"/>
    </xf>
    <xf numFmtId="0" fontId="17" fillId="22" borderId="2" xfId="1" applyFont="1" applyFill="1" applyBorder="1" applyAlignment="1">
      <alignment horizontal="center" vertical="center" wrapText="1"/>
    </xf>
    <xf numFmtId="0" fontId="17" fillId="22" borderId="3" xfId="1" applyFont="1" applyFill="1" applyBorder="1" applyAlignment="1">
      <alignment horizontal="center" vertical="center" wrapText="1"/>
    </xf>
    <xf numFmtId="0" fontId="17" fillId="22" borderId="4" xfId="1" applyFont="1" applyFill="1" applyBorder="1" applyAlignment="1">
      <alignment horizontal="center" vertical="center" wrapText="1"/>
    </xf>
    <xf numFmtId="0" fontId="17" fillId="4" borderId="61" xfId="0" applyFont="1" applyFill="1" applyBorder="1" applyAlignment="1">
      <alignment horizontal="center" vertical="center" wrapText="1"/>
    </xf>
    <xf numFmtId="0" fontId="18" fillId="5" borderId="40" xfId="0" applyFont="1" applyFill="1" applyBorder="1" applyAlignment="1">
      <alignment horizontal="center" vertical="center" wrapText="1"/>
    </xf>
    <xf numFmtId="0" fontId="18" fillId="5" borderId="43" xfId="0" applyFont="1" applyFill="1" applyBorder="1" applyAlignment="1">
      <alignment horizontal="center" vertical="center" wrapText="1"/>
    </xf>
    <xf numFmtId="0" fontId="18" fillId="5" borderId="46" xfId="0" applyFont="1" applyFill="1" applyBorder="1" applyAlignment="1">
      <alignment horizontal="center" vertical="center" wrapText="1"/>
    </xf>
    <xf numFmtId="0" fontId="31" fillId="0" borderId="1" xfId="2" applyFont="1" applyFill="1" applyBorder="1" applyAlignment="1">
      <alignment horizontal="center" vertical="center" wrapText="1"/>
    </xf>
    <xf numFmtId="0" fontId="17" fillId="0" borderId="1" xfId="2" applyFont="1" applyFill="1" applyBorder="1" applyAlignment="1">
      <alignment horizontal="center" vertical="center" wrapText="1"/>
    </xf>
    <xf numFmtId="0" fontId="17" fillId="22" borderId="8" xfId="2" applyFont="1" applyFill="1" applyBorder="1" applyAlignment="1">
      <alignment horizontal="center" vertical="center" wrapText="1"/>
    </xf>
    <xf numFmtId="0" fontId="17" fillId="22" borderId="9" xfId="2" applyFont="1" applyFill="1" applyBorder="1" applyAlignment="1">
      <alignment horizontal="center" vertical="center" wrapText="1"/>
    </xf>
    <xf numFmtId="0" fontId="21" fillId="23" borderId="42" xfId="0" applyFont="1" applyFill="1" applyBorder="1" applyAlignment="1">
      <alignment horizontal="center" vertical="center" wrapText="1"/>
    </xf>
    <xf numFmtId="0" fontId="28" fillId="23" borderId="45" xfId="0" applyFont="1" applyFill="1" applyBorder="1" applyAlignment="1">
      <alignment horizontal="center" vertical="center" wrapText="1"/>
    </xf>
    <xf numFmtId="0" fontId="28" fillId="23" borderId="48" xfId="0" applyFont="1" applyFill="1" applyBorder="1" applyAlignment="1">
      <alignment horizontal="center" vertical="center" wrapText="1"/>
    </xf>
    <xf numFmtId="164" fontId="4" fillId="0" borderId="2"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0" fontId="31" fillId="4" borderId="2" xfId="1" applyFont="1" applyFill="1" applyBorder="1" applyAlignment="1">
      <alignment horizontal="center" vertical="center" wrapText="1"/>
    </xf>
    <xf numFmtId="0" fontId="31" fillId="4" borderId="3" xfId="1" applyFont="1" applyFill="1" applyBorder="1" applyAlignment="1">
      <alignment horizontal="center" vertical="center" wrapText="1"/>
    </xf>
    <xf numFmtId="0" fontId="31" fillId="4" borderId="7" xfId="1" applyFont="1" applyFill="1" applyBorder="1" applyAlignment="1">
      <alignment horizontal="center" vertical="center" wrapText="1"/>
    </xf>
    <xf numFmtId="0" fontId="17" fillId="22" borderId="73" xfId="1" applyFont="1" applyFill="1" applyBorder="1" applyAlignment="1">
      <alignment horizontal="center" vertical="center" wrapText="1"/>
    </xf>
    <xf numFmtId="0" fontId="17" fillId="22" borderId="2" xfId="0" applyFont="1" applyFill="1" applyBorder="1" applyAlignment="1">
      <alignment horizontal="center" vertical="center" wrapText="1"/>
    </xf>
    <xf numFmtId="0" fontId="17" fillId="22" borderId="3" xfId="0" applyFont="1" applyFill="1" applyBorder="1" applyAlignment="1">
      <alignment horizontal="center" vertical="center" wrapText="1"/>
    </xf>
    <xf numFmtId="0" fontId="17" fillId="22" borderId="4" xfId="0" applyFont="1" applyFill="1" applyBorder="1" applyAlignment="1">
      <alignment horizontal="center" vertical="center" wrapText="1"/>
    </xf>
    <xf numFmtId="0" fontId="16" fillId="0" borderId="80" xfId="0" applyFont="1" applyBorder="1" applyAlignment="1">
      <alignment horizontal="center" vertical="center" wrapText="1"/>
    </xf>
    <xf numFmtId="0" fontId="16" fillId="0" borderId="83" xfId="0" applyFont="1" applyBorder="1" applyAlignment="1">
      <alignment horizontal="center" vertical="center" wrapText="1"/>
    </xf>
    <xf numFmtId="0" fontId="17" fillId="13" borderId="20" xfId="0" applyFont="1" applyFill="1" applyBorder="1" applyAlignment="1">
      <alignment horizontal="center" vertical="center" wrapText="1"/>
    </xf>
    <xf numFmtId="0" fontId="17" fillId="13" borderId="19" xfId="0" applyFont="1" applyFill="1" applyBorder="1" applyAlignment="1">
      <alignment horizontal="center" vertical="center" wrapText="1"/>
    </xf>
    <xf numFmtId="0" fontId="17" fillId="13" borderId="21" xfId="0" applyFont="1" applyFill="1" applyBorder="1" applyAlignment="1">
      <alignment horizontal="center" vertical="center" wrapText="1"/>
    </xf>
    <xf numFmtId="0" fontId="17" fillId="4" borderId="2" xfId="1" applyFont="1" applyFill="1" applyBorder="1" applyAlignment="1">
      <alignment horizontal="center" vertical="center" wrapText="1"/>
    </xf>
    <xf numFmtId="0" fontId="17" fillId="4" borderId="3" xfId="1" applyFont="1" applyFill="1" applyBorder="1" applyAlignment="1">
      <alignment horizontal="center" vertical="center" wrapText="1"/>
    </xf>
    <xf numFmtId="0" fontId="18" fillId="5" borderId="109" xfId="2" applyFont="1" applyFill="1" applyBorder="1" applyAlignment="1">
      <alignment horizontal="center" vertical="center" wrapText="1"/>
    </xf>
    <xf numFmtId="0" fontId="17" fillId="15" borderId="3" xfId="0" applyFont="1" applyFill="1" applyBorder="1" applyAlignment="1">
      <alignment horizontal="center" vertical="center" wrapText="1"/>
    </xf>
    <xf numFmtId="0" fontId="17" fillId="4" borderId="37" xfId="1" applyFont="1" applyFill="1" applyBorder="1" applyAlignment="1">
      <alignment horizontal="center" vertical="center" wrapText="1"/>
    </xf>
    <xf numFmtId="0" fontId="18" fillId="5" borderId="55" xfId="2" applyFont="1" applyFill="1" applyBorder="1" applyAlignment="1">
      <alignment horizontal="center" vertical="center" wrapText="1"/>
    </xf>
    <xf numFmtId="0" fontId="17" fillId="0" borderId="3" xfId="1" applyFont="1" applyFill="1" applyBorder="1" applyAlignment="1">
      <alignment horizontal="center" vertical="center" wrapText="1"/>
    </xf>
    <xf numFmtId="0" fontId="17" fillId="4" borderId="61" xfId="1" applyFont="1" applyFill="1" applyBorder="1" applyAlignment="1">
      <alignment horizontal="center" vertical="center" wrapText="1"/>
    </xf>
    <xf numFmtId="0" fontId="17" fillId="4" borderId="62" xfId="1" applyFont="1" applyFill="1" applyBorder="1" applyAlignment="1">
      <alignment horizontal="center" vertical="center" wrapText="1"/>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xf numFmtId="164" fontId="19" fillId="31" borderId="2" xfId="0" applyNumberFormat="1" applyFont="1" applyFill="1" applyBorder="1" applyAlignment="1">
      <alignment horizontal="center" vertical="center" wrapText="1"/>
    </xf>
    <xf numFmtId="164" fontId="19" fillId="31" borderId="3" xfId="0" applyNumberFormat="1" applyFont="1" applyFill="1" applyBorder="1" applyAlignment="1">
      <alignment horizontal="center" vertical="center" wrapText="1"/>
    </xf>
    <xf numFmtId="164" fontId="19" fillId="31" borderId="4" xfId="0" applyNumberFormat="1" applyFont="1" applyFill="1" applyBorder="1" applyAlignment="1">
      <alignment horizontal="center" vertical="center" wrapText="1"/>
    </xf>
    <xf numFmtId="0" fontId="17" fillId="4" borderId="7" xfId="1" applyFont="1" applyFill="1" applyBorder="1" applyAlignment="1">
      <alignment horizontal="center" vertical="center" wrapText="1"/>
    </xf>
    <xf numFmtId="164" fontId="20" fillId="31" borderId="2" xfId="0" applyNumberFormat="1" applyFont="1" applyFill="1" applyBorder="1" applyAlignment="1">
      <alignment horizontal="center" vertical="center" wrapText="1"/>
    </xf>
    <xf numFmtId="164" fontId="20" fillId="31" borderId="3" xfId="0" applyNumberFormat="1" applyFont="1" applyFill="1" applyBorder="1" applyAlignment="1">
      <alignment horizontal="center" vertical="center" wrapText="1"/>
    </xf>
    <xf numFmtId="164" fontId="20" fillId="31" borderId="4" xfId="0" applyNumberFormat="1" applyFont="1" applyFill="1" applyBorder="1" applyAlignment="1">
      <alignment horizontal="center" vertical="center" wrapText="1"/>
    </xf>
    <xf numFmtId="0" fontId="19" fillId="31" borderId="2" xfId="0" applyFont="1" applyFill="1" applyBorder="1" applyAlignment="1">
      <alignment horizontal="center" vertical="center" wrapText="1"/>
    </xf>
    <xf numFmtId="0" fontId="19" fillId="31" borderId="3" xfId="0" applyFont="1" applyFill="1" applyBorder="1" applyAlignment="1">
      <alignment horizontal="center" vertical="center" wrapText="1"/>
    </xf>
    <xf numFmtId="0" fontId="19" fillId="31" borderId="4" xfId="0" applyFont="1" applyFill="1" applyBorder="1" applyAlignment="1">
      <alignment horizontal="center" vertical="center" wrapText="1"/>
    </xf>
    <xf numFmtId="0" fontId="21" fillId="23" borderId="20" xfId="2" applyFont="1" applyFill="1" applyBorder="1" applyAlignment="1">
      <alignment horizontal="center" vertical="center" wrapText="1"/>
    </xf>
    <xf numFmtId="0" fontId="21" fillId="23" borderId="19" xfId="2" applyFont="1" applyFill="1" applyBorder="1" applyAlignment="1">
      <alignment horizontal="center" vertical="center" wrapText="1"/>
    </xf>
    <xf numFmtId="0" fontId="21" fillId="23" borderId="21" xfId="2"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17" fillId="22" borderId="2" xfId="0" applyFont="1" applyFill="1" applyBorder="1" applyAlignment="1">
      <alignment horizontal="center" vertical="center"/>
    </xf>
    <xf numFmtId="0" fontId="17" fillId="22" borderId="3" xfId="0" applyFont="1" applyFill="1" applyBorder="1" applyAlignment="1">
      <alignment horizontal="center" vertical="center"/>
    </xf>
    <xf numFmtId="0" fontId="17" fillId="22" borderId="4" xfId="0" applyFont="1" applyFill="1" applyBorder="1" applyAlignment="1">
      <alignment horizontal="center" vertical="center"/>
    </xf>
    <xf numFmtId="0" fontId="17" fillId="13" borderId="95" xfId="0" applyFont="1" applyFill="1" applyBorder="1" applyAlignment="1">
      <alignment horizontal="center" vertical="center" wrapText="1"/>
    </xf>
    <xf numFmtId="0" fontId="18" fillId="5" borderId="31" xfId="0" applyFont="1" applyFill="1" applyBorder="1" applyAlignment="1">
      <alignment horizontal="center" vertical="center" wrapText="1"/>
    </xf>
    <xf numFmtId="0" fontId="18" fillId="5" borderId="109" xfId="0" applyFont="1" applyFill="1" applyBorder="1" applyAlignment="1">
      <alignment horizontal="center" vertical="center" wrapText="1"/>
    </xf>
    <xf numFmtId="0" fontId="17" fillId="4" borderId="7" xfId="3" applyFont="1" applyFill="1" applyBorder="1" applyAlignment="1">
      <alignment horizontal="center" vertical="center" wrapText="1"/>
    </xf>
    <xf numFmtId="0" fontId="31" fillId="4" borderId="6" xfId="1" applyFont="1" applyFill="1" applyBorder="1" applyAlignment="1">
      <alignment horizontal="center" vertical="center" wrapText="1"/>
    </xf>
    <xf numFmtId="0" fontId="31" fillId="4" borderId="4" xfId="1" applyFont="1" applyFill="1" applyBorder="1" applyAlignment="1">
      <alignment horizontal="center" vertical="center" wrapText="1"/>
    </xf>
    <xf numFmtId="0" fontId="17" fillId="18" borderId="54" xfId="2" applyFont="1" applyFill="1" applyBorder="1" applyAlignment="1">
      <alignment horizontal="center" vertical="center" wrapText="1"/>
    </xf>
    <xf numFmtId="0" fontId="17" fillId="4" borderId="8" xfId="3" applyFont="1" applyFill="1" applyBorder="1" applyAlignment="1">
      <alignment horizontal="center" vertical="center" wrapText="1"/>
    </xf>
    <xf numFmtId="0" fontId="17" fillId="4" borderId="5" xfId="3" applyFont="1" applyFill="1" applyBorder="1" applyAlignment="1">
      <alignment horizontal="center" vertical="center" wrapText="1"/>
    </xf>
    <xf numFmtId="0" fontId="17" fillId="4" borderId="89" xfId="3" applyFont="1" applyFill="1" applyBorder="1" applyAlignment="1">
      <alignment horizontal="center" vertical="center" wrapText="1"/>
    </xf>
    <xf numFmtId="0" fontId="17" fillId="4" borderId="90" xfId="3" applyFont="1" applyFill="1" applyBorder="1" applyAlignment="1">
      <alignment horizontal="center" vertical="center" wrapText="1"/>
    </xf>
    <xf numFmtId="0" fontId="17" fillId="0" borderId="2" xfId="3" applyFont="1" applyFill="1" applyBorder="1" applyAlignment="1">
      <alignment horizontal="center" vertical="center" wrapText="1"/>
    </xf>
    <xf numFmtId="0" fontId="17" fillId="4" borderId="59" xfId="4" applyFont="1" applyFill="1" applyBorder="1" applyAlignment="1">
      <alignment horizontal="center" vertical="center" wrapText="1"/>
    </xf>
    <xf numFmtId="0" fontId="17" fillId="4" borderId="60" xfId="4" applyFont="1" applyFill="1" applyBorder="1" applyAlignment="1">
      <alignment horizontal="center" vertical="center" wrapText="1"/>
    </xf>
    <xf numFmtId="0" fontId="21" fillId="21" borderId="4" xfId="1" applyFont="1" applyFill="1" applyBorder="1" applyAlignment="1">
      <alignment horizontal="center" vertical="center" wrapText="1"/>
    </xf>
    <xf numFmtId="0" fontId="17" fillId="4" borderId="6" xfId="3" applyFont="1" applyFill="1" applyBorder="1" applyAlignment="1">
      <alignment horizontal="center" vertical="center" wrapText="1"/>
    </xf>
    <xf numFmtId="0" fontId="21" fillId="21" borderId="2" xfId="1" applyFont="1" applyFill="1" applyBorder="1" applyAlignment="1">
      <alignment horizontal="center" vertical="center" wrapText="1"/>
    </xf>
    <xf numFmtId="0" fontId="31" fillId="12" borderId="1" xfId="1" applyFont="1" applyFill="1" applyBorder="1" applyAlignment="1">
      <alignment horizontal="center" vertical="center" wrapText="1"/>
    </xf>
    <xf numFmtId="0" fontId="17" fillId="12" borderId="1" xfId="1" applyFont="1" applyFill="1" applyBorder="1" applyAlignment="1">
      <alignment horizontal="center" vertical="center" wrapText="1"/>
    </xf>
    <xf numFmtId="0" fontId="31" fillId="4" borderId="4" xfId="0" applyFont="1" applyFill="1" applyBorder="1" applyAlignment="1">
      <alignment horizontal="center" vertical="center" wrapText="1"/>
    </xf>
    <xf numFmtId="0" fontId="17" fillId="4" borderId="74" xfId="0" applyFont="1" applyFill="1" applyBorder="1" applyAlignment="1">
      <alignment horizontal="center" vertical="center" wrapText="1"/>
    </xf>
    <xf numFmtId="0" fontId="17" fillId="4" borderId="62" xfId="0" applyFont="1" applyFill="1" applyBorder="1" applyAlignment="1">
      <alignment horizontal="center" vertical="center" wrapText="1"/>
    </xf>
    <xf numFmtId="0" fontId="31" fillId="4" borderId="73" xfId="1" applyFont="1" applyFill="1" applyBorder="1" applyAlignment="1">
      <alignment horizontal="center" vertical="center" wrapText="1"/>
    </xf>
    <xf numFmtId="0" fontId="21" fillId="23" borderId="20" xfId="0" applyFont="1" applyFill="1" applyBorder="1" applyAlignment="1">
      <alignment horizontal="center" vertical="center" wrapText="1"/>
    </xf>
    <xf numFmtId="0" fontId="21" fillId="23" borderId="19" xfId="0" applyFont="1" applyFill="1" applyBorder="1" applyAlignment="1">
      <alignment horizontal="center" vertical="center" wrapText="1"/>
    </xf>
    <xf numFmtId="0" fontId="21" fillId="23" borderId="21" xfId="0" applyFont="1" applyFill="1" applyBorder="1" applyAlignment="1">
      <alignment horizontal="center" vertical="center" wrapText="1"/>
    </xf>
    <xf numFmtId="0" fontId="31" fillId="22" borderId="2" xfId="1" applyFont="1" applyFill="1" applyBorder="1" applyAlignment="1">
      <alignment horizontal="center" vertical="center" wrapText="1"/>
    </xf>
    <xf numFmtId="0" fontId="31" fillId="22" borderId="3" xfId="1" applyFont="1" applyFill="1" applyBorder="1" applyAlignment="1">
      <alignment horizontal="center" vertical="center" wrapText="1"/>
    </xf>
    <xf numFmtId="0" fontId="31" fillId="22" borderId="4" xfId="1" applyFont="1" applyFill="1" applyBorder="1" applyAlignment="1">
      <alignment horizontal="center" vertical="center" wrapText="1"/>
    </xf>
    <xf numFmtId="0" fontId="17" fillId="4" borderId="4" xfId="1" applyFont="1" applyFill="1" applyBorder="1" applyAlignment="1">
      <alignment horizontal="center" vertical="center" wrapText="1"/>
    </xf>
    <xf numFmtId="0" fontId="17" fillId="10" borderId="3" xfId="1" applyFont="1" applyFill="1" applyBorder="1" applyAlignment="1">
      <alignment horizontal="center" vertical="center" wrapText="1"/>
    </xf>
    <xf numFmtId="0" fontId="17" fillId="4" borderId="71" xfId="1" applyFont="1" applyFill="1" applyBorder="1" applyAlignment="1">
      <alignment horizontal="center" vertical="center" wrapText="1"/>
    </xf>
    <xf numFmtId="0" fontId="17" fillId="18" borderId="78" xfId="2" applyFont="1" applyFill="1" applyBorder="1" applyAlignment="1">
      <alignment horizontal="center" vertical="center" wrapText="1"/>
    </xf>
    <xf numFmtId="0" fontId="17" fillId="18" borderId="23" xfId="2" applyFont="1" applyFill="1" applyBorder="1" applyAlignment="1">
      <alignment horizontal="center" vertical="center" wrapText="1"/>
    </xf>
    <xf numFmtId="0" fontId="17" fillId="4" borderId="6" xfId="1" applyFont="1" applyFill="1" applyBorder="1" applyAlignment="1">
      <alignment horizontal="center" vertical="center" wrapText="1"/>
    </xf>
    <xf numFmtId="0" fontId="17" fillId="18" borderId="22" xfId="2" applyFont="1" applyFill="1" applyBorder="1" applyAlignment="1">
      <alignment horizontal="center" vertical="center" wrapText="1"/>
    </xf>
    <xf numFmtId="0" fontId="17" fillId="4" borderId="73" xfId="1" applyFont="1" applyFill="1" applyBorder="1" applyAlignment="1">
      <alignment horizontal="center" vertical="center" wrapText="1"/>
    </xf>
    <xf numFmtId="0" fontId="21" fillId="21" borderId="35" xfId="2" applyFont="1" applyFill="1" applyBorder="1" applyAlignment="1">
      <alignment horizontal="center" vertical="center" wrapText="1"/>
    </xf>
    <xf numFmtId="0" fontId="21" fillId="21" borderId="32" xfId="2" applyFont="1" applyFill="1" applyBorder="1" applyAlignment="1">
      <alignment horizontal="center" vertical="center" wrapText="1"/>
    </xf>
    <xf numFmtId="0" fontId="21" fillId="21" borderId="33" xfId="2" applyFont="1" applyFill="1" applyBorder="1" applyAlignment="1">
      <alignment horizontal="center" vertical="center" wrapText="1"/>
    </xf>
    <xf numFmtId="0" fontId="31" fillId="12" borderId="3" xfId="1" applyFont="1" applyFill="1" applyBorder="1" applyAlignment="1">
      <alignment horizontal="center" vertical="center" wrapText="1"/>
    </xf>
    <xf numFmtId="0" fontId="31" fillId="12" borderId="4" xfId="1" applyFont="1" applyFill="1" applyBorder="1" applyAlignment="1">
      <alignment horizontal="center" vertical="center" wrapText="1"/>
    </xf>
    <xf numFmtId="0" fontId="17" fillId="22" borderId="7" xfId="1" applyFont="1" applyFill="1" applyBorder="1" applyAlignment="1">
      <alignment horizontal="center" vertical="center" wrapText="1"/>
    </xf>
    <xf numFmtId="0" fontId="36" fillId="4" borderId="2" xfId="1" applyFont="1" applyFill="1" applyBorder="1" applyAlignment="1">
      <alignment horizontal="center" vertical="center" wrapText="1"/>
    </xf>
    <xf numFmtId="0" fontId="17" fillId="0" borderId="59" xfId="0" applyFont="1" applyBorder="1" applyAlignment="1">
      <alignment horizontal="center" vertical="center" wrapText="1"/>
    </xf>
    <xf numFmtId="0" fontId="17" fillId="4" borderId="4" xfId="2" applyFont="1" applyFill="1" applyBorder="1" applyAlignment="1">
      <alignment horizontal="center" vertical="center" wrapText="1"/>
    </xf>
    <xf numFmtId="0" fontId="17" fillId="22" borderId="6" xfId="1" applyFont="1" applyFill="1" applyBorder="1" applyAlignment="1">
      <alignment horizontal="center" vertical="center" wrapText="1"/>
    </xf>
    <xf numFmtId="0" fontId="17" fillId="31" borderId="2" xfId="2" applyFont="1" applyFill="1" applyBorder="1" applyAlignment="1">
      <alignment horizontal="center" vertical="center" wrapText="1"/>
    </xf>
    <xf numFmtId="0" fontId="17" fillId="31" borderId="3" xfId="2" applyFont="1" applyFill="1" applyBorder="1" applyAlignment="1">
      <alignment horizontal="center" vertical="center" wrapText="1"/>
    </xf>
    <xf numFmtId="0" fontId="17" fillId="31" borderId="7" xfId="2" applyFont="1" applyFill="1" applyBorder="1" applyAlignment="1">
      <alignment horizontal="center" vertical="center" wrapText="1"/>
    </xf>
    <xf numFmtId="164" fontId="42" fillId="0" borderId="11" xfId="0" applyNumberFormat="1" applyFont="1" applyBorder="1" applyAlignment="1">
      <alignment horizontal="center" vertical="center" wrapText="1"/>
    </xf>
    <xf numFmtId="164" fontId="42" fillId="0" borderId="8" xfId="0" applyNumberFormat="1" applyFont="1" applyBorder="1" applyAlignment="1">
      <alignment horizontal="center" vertical="center" wrapText="1"/>
    </xf>
    <xf numFmtId="164" fontId="42" fillId="0" borderId="9" xfId="0" applyNumberFormat="1" applyFont="1" applyBorder="1" applyAlignment="1">
      <alignment horizontal="center" vertical="center" wrapText="1"/>
    </xf>
    <xf numFmtId="0" fontId="17" fillId="22" borderId="62" xfId="1" applyFont="1" applyFill="1" applyBorder="1" applyAlignment="1">
      <alignment horizontal="center" vertical="center" wrapText="1"/>
    </xf>
    <xf numFmtId="0" fontId="17" fillId="22" borderId="1" xfId="1" applyFont="1" applyFill="1" applyBorder="1" applyAlignment="1">
      <alignment horizontal="center" vertical="center" wrapText="1"/>
    </xf>
    <xf numFmtId="0" fontId="17" fillId="4" borderId="6" xfId="0" applyFont="1" applyFill="1" applyBorder="1" applyAlignment="1">
      <alignment horizontal="center" vertical="center" wrapText="1"/>
    </xf>
    <xf numFmtId="0" fontId="17" fillId="0" borderId="60" xfId="0" applyFont="1" applyBorder="1" applyAlignment="1">
      <alignment horizontal="center" vertical="center" wrapText="1"/>
    </xf>
    <xf numFmtId="0" fontId="31" fillId="4" borderId="2" xfId="3" applyFont="1" applyFill="1" applyBorder="1" applyAlignment="1">
      <alignment horizontal="center" vertical="center" wrapText="1"/>
    </xf>
    <xf numFmtId="0" fontId="31" fillId="4" borderId="3" xfId="3" applyFont="1" applyFill="1" applyBorder="1" applyAlignment="1">
      <alignment horizontal="center" vertical="center" wrapText="1"/>
    </xf>
    <xf numFmtId="0" fontId="31" fillId="4" borderId="4" xfId="3" applyFont="1" applyFill="1" applyBorder="1" applyAlignment="1">
      <alignment horizontal="center" vertical="center" wrapText="1"/>
    </xf>
    <xf numFmtId="0" fontId="31" fillId="4" borderId="34" xfId="0" applyFont="1" applyFill="1" applyBorder="1" applyAlignment="1">
      <alignment horizontal="center" vertical="center" wrapText="1"/>
    </xf>
    <xf numFmtId="0" fontId="17" fillId="4" borderId="36" xfId="0" applyFont="1" applyFill="1" applyBorder="1" applyAlignment="1">
      <alignment horizontal="center" vertical="center" wrapText="1"/>
    </xf>
    <xf numFmtId="0" fontId="17" fillId="7" borderId="6" xfId="0" applyFont="1" applyFill="1" applyBorder="1" applyAlignment="1">
      <alignment horizontal="center" vertical="center" wrapText="1"/>
    </xf>
    <xf numFmtId="0" fontId="17" fillId="7" borderId="3" xfId="0" applyFont="1" applyFill="1" applyBorder="1" applyAlignment="1">
      <alignment horizontal="center" vertical="center" wrapText="1"/>
    </xf>
    <xf numFmtId="0" fontId="17" fillId="7" borderId="62" xfId="0" applyFont="1" applyFill="1" applyBorder="1" applyAlignment="1">
      <alignment horizontal="center" vertical="center" wrapText="1"/>
    </xf>
    <xf numFmtId="0" fontId="17" fillId="0" borderId="22" xfId="0" applyFont="1" applyBorder="1" applyAlignment="1">
      <alignment horizontal="center" vertical="center" wrapText="1"/>
    </xf>
    <xf numFmtId="0" fontId="17" fillId="0" borderId="78" xfId="0" applyFont="1" applyBorder="1" applyAlignment="1">
      <alignment horizontal="center" vertical="center" wrapText="1"/>
    </xf>
    <xf numFmtId="0" fontId="17" fillId="0" borderId="98" xfId="0" applyFont="1" applyBorder="1" applyAlignment="1">
      <alignment horizontal="center" vertical="center" wrapText="1"/>
    </xf>
    <xf numFmtId="0" fontId="17" fillId="0" borderId="97" xfId="1" applyFont="1" applyFill="1" applyBorder="1" applyAlignment="1">
      <alignment horizontal="center" vertical="center" wrapText="1"/>
    </xf>
    <xf numFmtId="0" fontId="17" fillId="0" borderId="78" xfId="1" applyFont="1" applyFill="1" applyBorder="1" applyAlignment="1">
      <alignment horizontal="center" vertical="center" wrapText="1"/>
    </xf>
    <xf numFmtId="0" fontId="17" fillId="0" borderId="23" xfId="1" applyFont="1" applyFill="1" applyBorder="1" applyAlignment="1">
      <alignment horizontal="center" vertical="center" wrapText="1"/>
    </xf>
    <xf numFmtId="0" fontId="17" fillId="18" borderId="40" xfId="0" applyFont="1" applyFill="1" applyBorder="1" applyAlignment="1">
      <alignment horizontal="center" vertical="center"/>
    </xf>
    <xf numFmtId="0" fontId="17" fillId="18" borderId="43" xfId="0" applyFont="1" applyFill="1" applyBorder="1" applyAlignment="1">
      <alignment horizontal="center" vertical="center"/>
    </xf>
    <xf numFmtId="0" fontId="17" fillId="18" borderId="46" xfId="0" applyFont="1" applyFill="1" applyBorder="1" applyAlignment="1">
      <alignment horizontal="center" vertical="center"/>
    </xf>
    <xf numFmtId="0" fontId="17" fillId="18" borderId="22" xfId="1" applyFont="1" applyFill="1" applyBorder="1" applyAlignment="1">
      <alignment horizontal="center" vertical="center" wrapText="1"/>
    </xf>
    <xf numFmtId="0" fontId="17" fillId="18" borderId="78" xfId="1" applyFont="1" applyFill="1" applyBorder="1" applyAlignment="1">
      <alignment horizontal="center" vertical="center" wrapText="1"/>
    </xf>
    <xf numFmtId="0" fontId="17" fillId="18" borderId="23" xfId="1" applyFont="1" applyFill="1" applyBorder="1" applyAlignment="1">
      <alignment horizontal="center" vertical="center" wrapText="1"/>
    </xf>
    <xf numFmtId="0" fontId="18" fillId="5" borderId="29" xfId="1" applyFont="1" applyFill="1" applyBorder="1" applyAlignment="1">
      <alignment horizontal="center" vertical="center" wrapText="1"/>
    </xf>
    <xf numFmtId="0" fontId="17" fillId="4" borderId="58" xfId="4" applyFont="1" applyFill="1" applyBorder="1" applyAlignment="1">
      <alignment horizontal="center" vertical="center" wrapText="1"/>
    </xf>
    <xf numFmtId="164" fontId="31" fillId="0" borderId="2" xfId="0" applyNumberFormat="1" applyFont="1" applyBorder="1" applyAlignment="1">
      <alignment horizontal="center" vertical="center" wrapText="1"/>
    </xf>
    <xf numFmtId="164" fontId="31" fillId="0" borderId="3" xfId="0" applyNumberFormat="1" applyFont="1" applyBorder="1" applyAlignment="1">
      <alignment horizontal="center" vertical="center" wrapText="1"/>
    </xf>
    <xf numFmtId="164" fontId="31" fillId="0" borderId="4" xfId="0" applyNumberFormat="1" applyFont="1" applyBorder="1" applyAlignment="1">
      <alignment horizontal="center" vertical="center" wrapText="1"/>
    </xf>
    <xf numFmtId="0" fontId="23" fillId="5" borderId="57" xfId="1" applyFont="1" applyFill="1" applyBorder="1" applyAlignment="1">
      <alignment horizontal="center" vertical="center" wrapText="1"/>
    </xf>
    <xf numFmtId="0" fontId="23" fillId="5" borderId="70" xfId="1" applyFont="1" applyFill="1" applyBorder="1" applyAlignment="1">
      <alignment horizontal="center" vertical="center" wrapText="1"/>
    </xf>
    <xf numFmtId="0" fontId="23" fillId="5" borderId="66" xfId="1" applyFont="1" applyFill="1" applyBorder="1" applyAlignment="1">
      <alignment horizontal="center" vertical="center" wrapText="1"/>
    </xf>
    <xf numFmtId="0" fontId="17" fillId="4" borderId="74" xfId="3" applyFont="1" applyFill="1" applyBorder="1" applyAlignment="1">
      <alignment horizontal="center" vertical="center" wrapText="1"/>
    </xf>
    <xf numFmtId="0" fontId="17" fillId="4" borderId="73" xfId="3" applyFont="1" applyFill="1" applyBorder="1" applyAlignment="1">
      <alignment horizontal="center" vertical="center" wrapText="1"/>
    </xf>
    <xf numFmtId="0" fontId="31" fillId="4" borderId="61" xfId="3" applyFont="1" applyFill="1" applyBorder="1" applyAlignment="1">
      <alignment horizontal="center" vertical="center" wrapText="1"/>
    </xf>
    <xf numFmtId="0" fontId="21" fillId="21" borderId="21" xfId="2" applyFont="1" applyFill="1" applyBorder="1" applyAlignment="1">
      <alignment horizontal="center" vertical="center" wrapText="1"/>
    </xf>
    <xf numFmtId="0" fontId="31" fillId="5" borderId="2" xfId="1" applyFont="1" applyFill="1" applyBorder="1" applyAlignment="1">
      <alignment horizontal="center" vertical="center" wrapText="1"/>
    </xf>
    <xf numFmtId="0" fontId="31" fillId="5" borderId="3" xfId="1" applyFont="1" applyFill="1" applyBorder="1" applyAlignment="1">
      <alignment horizontal="center" vertical="center" wrapText="1"/>
    </xf>
    <xf numFmtId="0" fontId="31" fillId="5" borderId="4" xfId="1" applyFont="1" applyFill="1" applyBorder="1" applyAlignment="1">
      <alignment horizontal="center" vertical="center" wrapText="1"/>
    </xf>
    <xf numFmtId="0" fontId="36" fillId="4" borderId="58" xfId="3" applyFont="1" applyFill="1" applyBorder="1" applyAlignment="1">
      <alignment horizontal="center" vertical="center" wrapText="1"/>
    </xf>
    <xf numFmtId="0" fontId="17" fillId="4" borderId="73" xfId="0" applyFont="1" applyFill="1" applyBorder="1" applyAlignment="1">
      <alignment horizontal="center" vertical="center" wrapText="1"/>
    </xf>
    <xf numFmtId="0" fontId="31" fillId="4" borderId="6" xfId="3" applyFont="1" applyFill="1" applyBorder="1" applyAlignment="1">
      <alignment horizontal="center" vertical="center" wrapText="1"/>
    </xf>
    <xf numFmtId="0" fontId="31" fillId="4" borderId="7" xfId="3" applyFont="1" applyFill="1" applyBorder="1" applyAlignment="1">
      <alignment horizontal="center" vertical="center" wrapText="1"/>
    </xf>
    <xf numFmtId="0" fontId="17" fillId="4" borderId="7" xfId="0" applyFont="1" applyFill="1" applyBorder="1" applyAlignment="1">
      <alignment horizontal="center" vertical="center" wrapText="1"/>
    </xf>
    <xf numFmtId="0" fontId="31" fillId="22" borderId="1" xfId="1" applyFont="1" applyFill="1" applyBorder="1" applyAlignment="1">
      <alignment horizontal="center" vertical="center" wrapText="1"/>
    </xf>
    <xf numFmtId="0" fontId="17" fillId="17" borderId="2" xfId="1" applyFont="1" applyFill="1" applyBorder="1" applyAlignment="1">
      <alignment horizontal="center" vertical="center" wrapText="1"/>
    </xf>
    <xf numFmtId="0" fontId="17" fillId="17" borderId="3" xfId="1" applyFont="1" applyFill="1" applyBorder="1" applyAlignment="1">
      <alignment horizontal="center" vertical="center" wrapText="1"/>
    </xf>
    <xf numFmtId="0" fontId="17" fillId="17" borderId="4" xfId="1" applyFont="1" applyFill="1" applyBorder="1" applyAlignment="1">
      <alignment horizontal="center" vertical="center" wrapText="1"/>
    </xf>
    <xf numFmtId="0" fontId="21" fillId="21" borderId="67" xfId="2" applyFont="1" applyFill="1" applyBorder="1" applyAlignment="1">
      <alignment horizontal="center" vertical="center" wrapText="1"/>
    </xf>
    <xf numFmtId="0" fontId="21" fillId="21" borderId="68" xfId="2" applyFont="1" applyFill="1" applyBorder="1" applyAlignment="1">
      <alignment horizontal="center" vertical="center" wrapText="1"/>
    </xf>
    <xf numFmtId="0" fontId="21" fillId="21" borderId="69" xfId="2" applyFont="1" applyFill="1" applyBorder="1" applyAlignment="1">
      <alignment horizontal="center" vertical="center" wrapText="1"/>
    </xf>
    <xf numFmtId="0" fontId="16" fillId="4" borderId="80" xfId="0" applyFont="1" applyFill="1" applyBorder="1" applyAlignment="1">
      <alignment horizontal="center" vertical="center" wrapText="1"/>
    </xf>
    <xf numFmtId="0" fontId="16" fillId="4" borderId="81" xfId="0" applyFont="1" applyFill="1" applyBorder="1" applyAlignment="1">
      <alignment horizontal="center" vertical="center" wrapText="1"/>
    </xf>
    <xf numFmtId="0" fontId="16" fillId="4" borderId="82" xfId="0" applyFont="1" applyFill="1" applyBorder="1" applyAlignment="1">
      <alignment horizontal="center" vertical="center" wrapText="1"/>
    </xf>
    <xf numFmtId="0" fontId="16" fillId="4" borderId="83" xfId="0" applyFont="1" applyFill="1" applyBorder="1" applyAlignment="1">
      <alignment horizontal="center" vertical="center" wrapText="1"/>
    </xf>
    <xf numFmtId="0" fontId="16" fillId="4" borderId="84" xfId="0" applyFont="1" applyFill="1" applyBorder="1" applyAlignment="1">
      <alignment horizontal="center" vertical="center" wrapText="1"/>
    </xf>
    <xf numFmtId="0" fontId="16" fillId="4" borderId="85" xfId="0" applyFont="1" applyFill="1" applyBorder="1" applyAlignment="1">
      <alignment horizontal="center" vertical="center" wrapText="1"/>
    </xf>
    <xf numFmtId="0" fontId="17" fillId="4" borderId="17" xfId="1" applyFont="1" applyFill="1" applyBorder="1" applyAlignment="1">
      <alignment horizontal="center" vertical="center" wrapText="1"/>
    </xf>
    <xf numFmtId="0" fontId="31" fillId="12" borderId="2" xfId="1" applyFont="1" applyFill="1" applyBorder="1" applyAlignment="1">
      <alignment horizontal="center" vertical="center" wrapText="1"/>
    </xf>
    <xf numFmtId="0" fontId="17" fillId="13" borderId="45" xfId="0" applyFont="1" applyFill="1" applyBorder="1" applyAlignment="1">
      <alignment horizontal="center" vertical="center" wrapText="1"/>
    </xf>
    <xf numFmtId="0" fontId="17" fillId="26" borderId="1" xfId="0" applyFont="1" applyFill="1" applyBorder="1" applyAlignment="1">
      <alignment horizontal="center" vertical="center" wrapText="1"/>
    </xf>
    <xf numFmtId="0" fontId="21" fillId="23" borderId="56"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10" borderId="58" xfId="1" applyFont="1" applyFill="1" applyBorder="1" applyAlignment="1">
      <alignment horizontal="center" vertical="center" wrapText="1"/>
    </xf>
    <xf numFmtId="0" fontId="17" fillId="10" borderId="59" xfId="1" applyFont="1" applyFill="1" applyBorder="1" applyAlignment="1">
      <alignment horizontal="center" vertical="center" wrapText="1"/>
    </xf>
    <xf numFmtId="0" fontId="22" fillId="13" borderId="42" xfId="0" applyFont="1" applyFill="1" applyBorder="1" applyAlignment="1">
      <alignment horizontal="center" vertical="center" wrapText="1"/>
    </xf>
    <xf numFmtId="0" fontId="23" fillId="13" borderId="45" xfId="0" applyFont="1" applyFill="1" applyBorder="1" applyAlignment="1">
      <alignment horizontal="center" vertical="center" wrapText="1"/>
    </xf>
    <xf numFmtId="0" fontId="23" fillId="13" borderId="48" xfId="0" applyFont="1" applyFill="1" applyBorder="1" applyAlignment="1">
      <alignment horizontal="center" vertical="center" wrapText="1"/>
    </xf>
    <xf numFmtId="0" fontId="17" fillId="32" borderId="2" xfId="1" applyFont="1" applyFill="1" applyBorder="1" applyAlignment="1">
      <alignment horizontal="center" vertical="center" wrapText="1"/>
    </xf>
    <xf numFmtId="0" fontId="17" fillId="32" borderId="3" xfId="1" applyFont="1" applyFill="1" applyBorder="1" applyAlignment="1">
      <alignment horizontal="center" vertical="center" wrapText="1"/>
    </xf>
    <xf numFmtId="0" fontId="17" fillId="32" borderId="7" xfId="1" applyFont="1" applyFill="1" applyBorder="1" applyAlignment="1">
      <alignment horizontal="center" vertical="center" wrapText="1"/>
    </xf>
    <xf numFmtId="0" fontId="17" fillId="17" borderId="3" xfId="2" applyFont="1" applyFill="1" applyBorder="1" applyAlignment="1">
      <alignment horizontal="center" vertical="center" wrapText="1"/>
    </xf>
    <xf numFmtId="0" fontId="17" fillId="17" borderId="4" xfId="2" applyFont="1" applyFill="1" applyBorder="1" applyAlignment="1">
      <alignment horizontal="center" vertical="center" wrapText="1"/>
    </xf>
    <xf numFmtId="0" fontId="21" fillId="21" borderId="6" xfId="1" applyFont="1" applyFill="1" applyBorder="1" applyAlignment="1">
      <alignment horizontal="center" vertical="center" wrapText="1"/>
    </xf>
    <xf numFmtId="0" fontId="21" fillId="21" borderId="73" xfId="1" applyFont="1" applyFill="1" applyBorder="1" applyAlignment="1">
      <alignment horizontal="center" vertical="center" wrapText="1"/>
    </xf>
    <xf numFmtId="0" fontId="17" fillId="22" borderId="3" xfId="3" applyFont="1" applyFill="1" applyBorder="1" applyAlignment="1">
      <alignment horizontal="center" vertical="center" wrapText="1"/>
    </xf>
    <xf numFmtId="0" fontId="17" fillId="22" borderId="4" xfId="3" applyFont="1" applyFill="1" applyBorder="1" applyAlignment="1">
      <alignment horizontal="center" vertical="center" wrapText="1"/>
    </xf>
    <xf numFmtId="43" fontId="17" fillId="4" borderId="3" xfId="5" applyFont="1" applyFill="1" applyBorder="1" applyAlignment="1">
      <alignment horizontal="center" vertical="center" wrapText="1"/>
    </xf>
    <xf numFmtId="43" fontId="17" fillId="4" borderId="62" xfId="5" applyFont="1" applyFill="1" applyBorder="1" applyAlignment="1">
      <alignment horizontal="center" vertical="center" wrapText="1"/>
    </xf>
    <xf numFmtId="0" fontId="17" fillId="18" borderId="51" xfId="2" applyFont="1" applyFill="1" applyBorder="1" applyAlignment="1">
      <alignment horizontal="center" vertical="center" wrapText="1"/>
    </xf>
    <xf numFmtId="0" fontId="17" fillId="18" borderId="52" xfId="2" applyFont="1" applyFill="1" applyBorder="1" applyAlignment="1">
      <alignment horizontal="center" vertical="center" wrapText="1"/>
    </xf>
    <xf numFmtId="0" fontId="17" fillId="18" borderId="53" xfId="2" applyFont="1" applyFill="1" applyBorder="1" applyAlignment="1">
      <alignment horizontal="center" vertical="center" wrapText="1"/>
    </xf>
    <xf numFmtId="0" fontId="34" fillId="0" borderId="59" xfId="0" applyFont="1" applyBorder="1" applyAlignment="1">
      <alignment horizontal="center" vertical="center" wrapText="1"/>
    </xf>
    <xf numFmtId="0" fontId="33" fillId="0" borderId="59" xfId="0" applyFont="1" applyBorder="1" applyAlignment="1">
      <alignment horizontal="center" vertical="center" wrapText="1"/>
    </xf>
    <xf numFmtId="0" fontId="33" fillId="0" borderId="60" xfId="0" applyFont="1" applyBorder="1" applyAlignment="1">
      <alignment horizontal="center" vertical="center" wrapText="1"/>
    </xf>
    <xf numFmtId="0" fontId="21" fillId="23" borderId="42" xfId="2" applyFont="1" applyFill="1" applyBorder="1" applyAlignment="1">
      <alignment horizontal="center" vertical="center" wrapText="1"/>
    </xf>
    <xf numFmtId="0" fontId="21" fillId="23" borderId="45" xfId="2" applyFont="1" applyFill="1" applyBorder="1" applyAlignment="1">
      <alignment horizontal="center" vertical="center" wrapText="1"/>
    </xf>
    <xf numFmtId="0" fontId="21" fillId="23" borderId="48" xfId="2" applyFont="1" applyFill="1" applyBorder="1" applyAlignment="1">
      <alignment horizontal="center" vertical="center" wrapText="1"/>
    </xf>
    <xf numFmtId="0" fontId="11" fillId="0" borderId="1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164" fontId="20" fillId="34" borderId="2" xfId="0" applyNumberFormat="1" applyFont="1" applyFill="1" applyBorder="1" applyAlignment="1">
      <alignment horizontal="center" vertical="center" wrapText="1"/>
    </xf>
    <xf numFmtId="164" fontId="20" fillId="34" borderId="3" xfId="0" applyNumberFormat="1" applyFont="1" applyFill="1" applyBorder="1" applyAlignment="1">
      <alignment horizontal="center" vertical="center" wrapText="1"/>
    </xf>
    <xf numFmtId="164" fontId="20" fillId="34" borderId="4" xfId="0" applyNumberFormat="1" applyFont="1" applyFill="1" applyBorder="1" applyAlignment="1">
      <alignment horizontal="center" vertical="center" wrapText="1"/>
    </xf>
    <xf numFmtId="0" fontId="17" fillId="4" borderId="60" xfId="3" applyFont="1" applyFill="1" applyBorder="1" applyAlignment="1">
      <alignment horizontal="center" vertical="center" wrapText="1"/>
    </xf>
    <xf numFmtId="0" fontId="17" fillId="18" borderId="22" xfId="0" applyFont="1" applyFill="1" applyBorder="1" applyAlignment="1">
      <alignment horizontal="center" vertical="center" wrapText="1"/>
    </xf>
    <xf numFmtId="0" fontId="17" fillId="18" borderId="78" xfId="0" applyFont="1" applyFill="1" applyBorder="1" applyAlignment="1">
      <alignment horizontal="center" vertical="center" wrapText="1"/>
    </xf>
    <xf numFmtId="0" fontId="17" fillId="18" borderId="23"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18" fillId="15" borderId="44" xfId="0" applyFont="1" applyFill="1" applyBorder="1" applyAlignment="1">
      <alignment horizontal="center" vertical="center" wrapText="1"/>
    </xf>
    <xf numFmtId="0" fontId="18" fillId="15" borderId="47" xfId="0" applyFont="1" applyFill="1" applyBorder="1" applyAlignment="1">
      <alignment horizontal="center" vertical="center" wrapText="1"/>
    </xf>
    <xf numFmtId="0" fontId="11" fillId="0" borderId="16" xfId="0" applyFont="1" applyBorder="1" applyAlignment="1">
      <alignment horizontal="center" vertical="center" wrapText="1"/>
    </xf>
    <xf numFmtId="0" fontId="18" fillId="5" borderId="41" xfId="0" applyFont="1" applyFill="1" applyBorder="1" applyAlignment="1">
      <alignment horizontal="center" vertical="center"/>
    </xf>
    <xf numFmtId="0" fontId="18" fillId="5" borderId="44" xfId="0" applyFont="1" applyFill="1" applyBorder="1" applyAlignment="1">
      <alignment horizontal="center" vertical="center"/>
    </xf>
    <xf numFmtId="0" fontId="18" fillId="5" borderId="47" xfId="0" applyFont="1" applyFill="1" applyBorder="1" applyAlignment="1">
      <alignment horizontal="center" vertical="center"/>
    </xf>
    <xf numFmtId="0" fontId="11" fillId="0" borderId="16" xfId="0" applyFont="1" applyBorder="1" applyAlignment="1">
      <alignment horizontal="center" vertical="center"/>
    </xf>
    <xf numFmtId="0" fontId="16" fillId="7" borderId="80" xfId="0" applyFont="1" applyFill="1" applyBorder="1" applyAlignment="1">
      <alignment horizontal="center" vertical="center" wrapText="1"/>
    </xf>
    <xf numFmtId="0" fontId="16" fillId="7" borderId="81" xfId="0" applyFont="1" applyFill="1" applyBorder="1" applyAlignment="1">
      <alignment horizontal="center" vertical="center" wrapText="1"/>
    </xf>
    <xf numFmtId="0" fontId="16" fillId="7" borderId="82" xfId="0" applyFont="1" applyFill="1" applyBorder="1" applyAlignment="1">
      <alignment horizontal="center" vertical="center" wrapText="1"/>
    </xf>
    <xf numFmtId="0" fontId="16" fillId="7" borderId="83" xfId="0" applyFont="1" applyFill="1" applyBorder="1" applyAlignment="1">
      <alignment horizontal="center" vertical="center" wrapText="1"/>
    </xf>
    <xf numFmtId="0" fontId="16" fillId="7" borderId="84" xfId="0" applyFont="1" applyFill="1" applyBorder="1" applyAlignment="1">
      <alignment horizontal="center" vertical="center" wrapText="1"/>
    </xf>
    <xf numFmtId="0" fontId="16" fillId="7" borderId="85" xfId="0" applyFont="1" applyFill="1" applyBorder="1" applyAlignment="1">
      <alignment horizontal="center" vertical="center" wrapText="1"/>
    </xf>
    <xf numFmtId="0" fontId="17" fillId="4" borderId="58" xfId="0" applyFont="1" applyFill="1" applyBorder="1" applyAlignment="1">
      <alignment horizontal="center" vertical="center" wrapText="1"/>
    </xf>
    <xf numFmtId="0" fontId="17" fillId="10" borderId="60" xfId="1" applyFont="1" applyFill="1" applyBorder="1" applyAlignment="1">
      <alignment horizontal="center" vertical="center" wrapText="1"/>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7" fillId="4" borderId="60" xfId="0" applyFont="1" applyFill="1" applyBorder="1" applyAlignment="1">
      <alignment horizontal="center" vertical="center" wrapText="1"/>
    </xf>
    <xf numFmtId="0" fontId="17" fillId="4" borderId="1" xfId="3" applyFont="1" applyFill="1" applyBorder="1" applyAlignment="1">
      <alignment horizontal="center" vertical="center" wrapText="1"/>
    </xf>
    <xf numFmtId="0" fontId="17" fillId="4" borderId="58" xfId="3" applyFont="1" applyFill="1" applyBorder="1" applyAlignment="1">
      <alignment horizontal="center" vertical="center" wrapText="1"/>
    </xf>
    <xf numFmtId="43" fontId="17" fillId="4" borderId="61" xfId="5" applyFont="1" applyFill="1" applyBorder="1" applyAlignment="1">
      <alignment horizontal="center" vertical="center" wrapText="1"/>
    </xf>
    <xf numFmtId="43" fontId="17" fillId="4" borderId="7" xfId="5" applyFont="1" applyFill="1" applyBorder="1" applyAlignment="1">
      <alignment horizontal="center" vertical="center" wrapText="1"/>
    </xf>
    <xf numFmtId="0" fontId="17" fillId="0" borderId="97" xfId="0" applyFont="1" applyBorder="1" applyAlignment="1">
      <alignment horizontal="center" vertical="center"/>
    </xf>
    <xf numFmtId="0" fontId="17" fillId="0" borderId="78" xfId="0" applyFont="1" applyBorder="1" applyAlignment="1">
      <alignment horizontal="center" vertical="center"/>
    </xf>
    <xf numFmtId="0" fontId="17" fillId="0" borderId="23" xfId="0" applyFont="1" applyBorder="1" applyAlignment="1">
      <alignment horizontal="center" vertical="center"/>
    </xf>
    <xf numFmtId="0" fontId="31" fillId="0" borderId="2" xfId="1" applyFont="1" applyFill="1" applyBorder="1" applyAlignment="1">
      <alignment horizontal="center" vertical="center" wrapText="1"/>
    </xf>
    <xf numFmtId="0" fontId="31" fillId="0" borderId="3" xfId="1" applyFont="1" applyFill="1" applyBorder="1" applyAlignment="1">
      <alignment horizontal="center" vertical="center" wrapText="1"/>
    </xf>
    <xf numFmtId="0" fontId="31" fillId="0" borderId="4" xfId="1" applyFont="1" applyFill="1" applyBorder="1" applyAlignment="1">
      <alignment horizontal="center" vertical="center" wrapText="1"/>
    </xf>
    <xf numFmtId="0" fontId="17" fillId="4" borderId="11" xfId="3" applyFont="1" applyFill="1" applyBorder="1" applyAlignment="1">
      <alignment horizontal="center" vertical="center" wrapText="1"/>
    </xf>
    <xf numFmtId="0" fontId="17" fillId="4" borderId="12" xfId="3" applyFont="1" applyFill="1" applyBorder="1" applyAlignment="1">
      <alignment horizontal="center" vertical="center" wrapText="1"/>
    </xf>
    <xf numFmtId="0" fontId="14" fillId="0" borderId="11"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16" fillId="0" borderId="81" xfId="0" applyFont="1" applyBorder="1" applyAlignment="1">
      <alignment horizontal="center" vertical="center" wrapText="1"/>
    </xf>
    <xf numFmtId="0" fontId="16" fillId="0" borderId="82" xfId="0" applyFont="1" applyBorder="1" applyAlignment="1">
      <alignment horizontal="center" vertical="center" wrapText="1"/>
    </xf>
    <xf numFmtId="0" fontId="16" fillId="0" borderId="84" xfId="0" applyFont="1" applyBorder="1" applyAlignment="1">
      <alignment horizontal="center" vertical="center" wrapText="1"/>
    </xf>
    <xf numFmtId="0" fontId="16" fillId="0" borderId="85" xfId="0" applyFont="1" applyBorder="1" applyAlignment="1">
      <alignment horizontal="center" vertical="center" wrapText="1"/>
    </xf>
    <xf numFmtId="0" fontId="36" fillId="4" borderId="2" xfId="3" applyFont="1" applyFill="1" applyBorder="1" applyAlignment="1">
      <alignment horizontal="center" vertical="center" wrapText="1"/>
    </xf>
    <xf numFmtId="0" fontId="36" fillId="4" borderId="3" xfId="3" applyFont="1" applyFill="1" applyBorder="1" applyAlignment="1">
      <alignment horizontal="center" vertical="center" wrapText="1"/>
    </xf>
    <xf numFmtId="0" fontId="36" fillId="4" borderId="4" xfId="3" applyFont="1" applyFill="1" applyBorder="1" applyAlignment="1">
      <alignment horizontal="center" vertical="center" wrapText="1"/>
    </xf>
    <xf numFmtId="0" fontId="17" fillId="11" borderId="2" xfId="2" applyFont="1" applyFill="1" applyBorder="1" applyAlignment="1">
      <alignment horizontal="center" vertical="center" wrapText="1"/>
    </xf>
    <xf numFmtId="0" fontId="17" fillId="11" borderId="3" xfId="2" applyFont="1" applyFill="1" applyBorder="1" applyAlignment="1">
      <alignment horizontal="center" vertical="center" wrapText="1"/>
    </xf>
    <xf numFmtId="0" fontId="17" fillId="11" borderId="4" xfId="2" applyFont="1" applyFill="1" applyBorder="1" applyAlignment="1">
      <alignment horizontal="center" vertical="center" wrapText="1"/>
    </xf>
    <xf numFmtId="0" fontId="17" fillId="18" borderId="22" xfId="0" applyFont="1" applyFill="1" applyBorder="1" applyAlignment="1">
      <alignment horizontal="center" vertical="center"/>
    </xf>
    <xf numFmtId="0" fontId="17" fillId="18" borderId="78" xfId="0" applyFont="1" applyFill="1" applyBorder="1" applyAlignment="1">
      <alignment horizontal="center" vertical="center"/>
    </xf>
    <xf numFmtId="0" fontId="17" fillId="18" borderId="23" xfId="0" applyFont="1" applyFill="1" applyBorder="1" applyAlignment="1">
      <alignment horizontal="center" vertical="center"/>
    </xf>
    <xf numFmtId="0" fontId="17" fillId="0" borderId="6" xfId="1" applyFont="1" applyFill="1" applyBorder="1" applyAlignment="1">
      <alignment horizontal="center" vertical="center" wrapText="1"/>
    </xf>
    <xf numFmtId="0" fontId="17" fillId="0" borderId="62" xfId="1" applyFont="1" applyFill="1" applyBorder="1" applyAlignment="1">
      <alignment horizontal="center" vertical="center" wrapText="1"/>
    </xf>
    <xf numFmtId="0" fontId="17" fillId="24" borderId="15" xfId="2" applyFont="1" applyFill="1" applyBorder="1" applyAlignment="1">
      <alignment horizontal="center" vertical="center" wrapText="1"/>
    </xf>
    <xf numFmtId="0" fontId="17" fillId="24" borderId="1" xfId="2" applyFont="1" applyFill="1" applyBorder="1" applyAlignment="1">
      <alignment horizontal="center" vertical="center" wrapText="1"/>
    </xf>
    <xf numFmtId="0" fontId="16" fillId="4" borderId="11" xfId="0" applyFont="1" applyFill="1" applyBorder="1" applyAlignment="1">
      <alignment horizontal="center" vertical="center" wrapText="1"/>
    </xf>
    <xf numFmtId="0" fontId="16" fillId="4" borderId="24" xfId="0" applyFont="1" applyFill="1" applyBorder="1" applyAlignment="1">
      <alignment horizontal="center" vertical="center" wrapText="1"/>
    </xf>
    <xf numFmtId="0" fontId="16" fillId="4" borderId="12" xfId="0" applyFont="1" applyFill="1" applyBorder="1" applyAlignment="1">
      <alignment horizontal="center" vertical="center" wrapText="1"/>
    </xf>
    <xf numFmtId="0" fontId="16" fillId="4" borderId="9" xfId="0" applyFont="1" applyFill="1" applyBorder="1" applyAlignment="1">
      <alignment horizontal="center" vertical="center" wrapText="1"/>
    </xf>
    <xf numFmtId="0" fontId="16" fillId="4" borderId="26"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17" fillId="0" borderId="59" xfId="0" applyFont="1" applyFill="1" applyBorder="1" applyAlignment="1">
      <alignment horizontal="center" vertical="center" wrapText="1"/>
    </xf>
    <xf numFmtId="0" fontId="31" fillId="0" borderId="61" xfId="1" applyFont="1" applyFill="1" applyBorder="1" applyAlignment="1">
      <alignment horizontal="center" vertical="center" wrapText="1"/>
    </xf>
    <xf numFmtId="0" fontId="17" fillId="4" borderId="72" xfId="3" applyFont="1" applyFill="1" applyBorder="1" applyAlignment="1">
      <alignment horizontal="center" vertical="center" wrapText="1"/>
    </xf>
    <xf numFmtId="0" fontId="17" fillId="18" borderId="104" xfId="2" applyFont="1" applyFill="1" applyBorder="1" applyAlignment="1">
      <alignment horizontal="center" vertical="center" wrapText="1"/>
    </xf>
    <xf numFmtId="0" fontId="31" fillId="0" borderId="3" xfId="0" applyFont="1" applyFill="1" applyBorder="1" applyAlignment="1">
      <alignment horizontal="center" vertical="center" wrapText="1"/>
    </xf>
    <xf numFmtId="0" fontId="31" fillId="0" borderId="62" xfId="0" applyFont="1" applyFill="1" applyBorder="1" applyAlignment="1">
      <alignment horizontal="center" vertical="center" wrapText="1"/>
    </xf>
    <xf numFmtId="164" fontId="42" fillId="0" borderId="1" xfId="0" applyNumberFormat="1" applyFont="1" applyBorder="1" applyAlignment="1">
      <alignment horizontal="center" vertical="center" wrapText="1"/>
    </xf>
    <xf numFmtId="164" fontId="41" fillId="0" borderId="1" xfId="0" applyNumberFormat="1" applyFont="1" applyBorder="1" applyAlignment="1">
      <alignment horizontal="center" vertical="center" wrapText="1"/>
    </xf>
    <xf numFmtId="0" fontId="30" fillId="23" borderId="42" xfId="0" applyFont="1" applyFill="1" applyBorder="1" applyAlignment="1">
      <alignment horizontal="center" vertical="center" wrapText="1"/>
    </xf>
    <xf numFmtId="0" fontId="27" fillId="23" borderId="45"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17" fillId="4" borderId="61" xfId="2" applyFont="1" applyFill="1" applyBorder="1" applyAlignment="1">
      <alignment horizontal="center" vertical="center" wrapText="1"/>
    </xf>
    <xf numFmtId="0" fontId="17" fillId="22" borderId="73" xfId="2" applyFont="1" applyFill="1" applyBorder="1" applyAlignment="1">
      <alignment horizontal="center" vertical="center" wrapText="1"/>
    </xf>
    <xf numFmtId="0" fontId="21" fillId="21" borderId="120" xfId="2" applyFont="1" applyFill="1" applyBorder="1" applyAlignment="1">
      <alignment horizontal="center" vertical="center" wrapText="1"/>
    </xf>
    <xf numFmtId="0" fontId="17" fillId="4" borderId="75" xfId="3" applyFont="1" applyFill="1" applyBorder="1" applyAlignment="1">
      <alignment horizontal="center" vertical="center" wrapText="1"/>
    </xf>
    <xf numFmtId="0" fontId="36" fillId="4" borderId="59" xfId="3" applyFont="1" applyFill="1" applyBorder="1" applyAlignment="1">
      <alignment horizontal="center" vertical="center" wrapText="1"/>
    </xf>
    <xf numFmtId="0" fontId="17" fillId="13" borderId="2" xfId="0" applyFont="1" applyFill="1" applyBorder="1" applyAlignment="1">
      <alignment horizontal="center" vertical="center" wrapText="1"/>
    </xf>
    <xf numFmtId="0" fontId="17" fillId="13" borderId="3" xfId="0" applyFont="1" applyFill="1" applyBorder="1" applyAlignment="1">
      <alignment horizontal="center" vertical="center" wrapText="1"/>
    </xf>
    <xf numFmtId="0" fontId="17" fillId="13" borderId="7" xfId="0" applyFont="1" applyFill="1" applyBorder="1" applyAlignment="1">
      <alignment horizontal="center" vertical="center" wrapText="1"/>
    </xf>
    <xf numFmtId="0" fontId="17" fillId="32" borderId="6" xfId="1" applyFont="1" applyFill="1" applyBorder="1" applyAlignment="1">
      <alignment horizontal="center" vertical="center" wrapText="1"/>
    </xf>
    <xf numFmtId="0" fontId="17" fillId="32" borderId="62" xfId="1" applyFont="1" applyFill="1" applyBorder="1" applyAlignment="1">
      <alignment horizontal="center" vertical="center" wrapText="1"/>
    </xf>
    <xf numFmtId="0" fontId="31" fillId="4" borderId="62" xfId="3" applyFont="1" applyFill="1" applyBorder="1" applyAlignment="1">
      <alignment horizontal="center" vertical="center" wrapText="1"/>
    </xf>
    <xf numFmtId="43" fontId="17" fillId="4" borderId="2" xfId="5" applyFont="1" applyFill="1" applyBorder="1" applyAlignment="1">
      <alignment horizontal="center" vertical="center" wrapText="1"/>
    </xf>
    <xf numFmtId="43" fontId="17" fillId="4" borderId="6" xfId="5" applyFont="1" applyFill="1" applyBorder="1" applyAlignment="1">
      <alignment horizontal="center" vertical="center" wrapText="1"/>
    </xf>
    <xf numFmtId="0" fontId="17" fillId="19" borderId="123" xfId="2" applyFont="1" applyFill="1" applyBorder="1" applyAlignment="1">
      <alignment horizontal="center" vertical="center" wrapText="1"/>
    </xf>
    <xf numFmtId="0" fontId="17" fillId="19" borderId="8" xfId="2" applyFont="1" applyFill="1" applyBorder="1" applyAlignment="1">
      <alignment horizontal="center" vertical="center" wrapText="1"/>
    </xf>
    <xf numFmtId="0" fontId="17" fillId="19" borderId="9" xfId="2" applyFont="1" applyFill="1" applyBorder="1" applyAlignment="1">
      <alignment horizontal="center" vertical="center" wrapText="1"/>
    </xf>
    <xf numFmtId="0" fontId="17" fillId="13" borderId="11" xfId="0" applyFont="1" applyFill="1" applyBorder="1" applyAlignment="1">
      <alignment horizontal="center" vertical="center" wrapText="1"/>
    </xf>
    <xf numFmtId="0" fontId="17" fillId="13" borderId="8" xfId="0" applyFont="1" applyFill="1" applyBorder="1" applyAlignment="1">
      <alignment horizontal="center" vertical="center" wrapText="1"/>
    </xf>
    <xf numFmtId="0" fontId="17" fillId="13" borderId="124" xfId="0" applyFont="1" applyFill="1" applyBorder="1" applyAlignment="1">
      <alignment horizontal="center" vertical="center" wrapText="1"/>
    </xf>
    <xf numFmtId="0" fontId="21" fillId="21" borderId="17" xfId="2" applyFont="1" applyFill="1" applyBorder="1" applyAlignment="1">
      <alignment horizontal="center" vertical="center" wrapText="1"/>
    </xf>
    <xf numFmtId="0" fontId="21" fillId="21" borderId="73" xfId="2"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21" fillId="23" borderId="2" xfId="0" applyFont="1" applyFill="1" applyBorder="1" applyAlignment="1">
      <alignment horizontal="center" vertical="center" wrapText="1"/>
    </xf>
    <xf numFmtId="0" fontId="21" fillId="23" borderId="3" xfId="0" applyFont="1" applyFill="1" applyBorder="1" applyAlignment="1">
      <alignment horizontal="center" vertical="center" wrapText="1"/>
    </xf>
    <xf numFmtId="0" fontId="21" fillId="23" borderId="4" xfId="0" applyFont="1" applyFill="1" applyBorder="1" applyAlignment="1">
      <alignment horizontal="center" vertical="center" wrapText="1"/>
    </xf>
    <xf numFmtId="0" fontId="21" fillId="21" borderId="8" xfId="1" applyFont="1" applyFill="1" applyBorder="1" applyAlignment="1">
      <alignment horizontal="center" vertical="center" wrapText="1"/>
    </xf>
    <xf numFmtId="0" fontId="21" fillId="21" borderId="9" xfId="1" applyFont="1" applyFill="1" applyBorder="1" applyAlignment="1">
      <alignment horizontal="center" vertical="center" wrapText="1"/>
    </xf>
    <xf numFmtId="0" fontId="31" fillId="5" borderId="11" xfId="1" applyFont="1" applyFill="1" applyBorder="1" applyAlignment="1">
      <alignment horizontal="center" vertical="center" wrapText="1"/>
    </xf>
    <xf numFmtId="0" fontId="31" fillId="5" borderId="8" xfId="1" applyFont="1" applyFill="1" applyBorder="1" applyAlignment="1">
      <alignment horizontal="center" vertical="center" wrapText="1"/>
    </xf>
    <xf numFmtId="0" fontId="31" fillId="5" borderId="9" xfId="1" applyFont="1" applyFill="1" applyBorder="1" applyAlignment="1">
      <alignment horizontal="center" vertical="center" wrapText="1"/>
    </xf>
    <xf numFmtId="0" fontId="21" fillId="21" borderId="124" xfId="1" applyFont="1" applyFill="1" applyBorder="1" applyAlignment="1">
      <alignment horizontal="center" vertical="center" wrapText="1"/>
    </xf>
    <xf numFmtId="0" fontId="17" fillId="0" borderId="11" xfId="1" applyFont="1" applyFill="1" applyBorder="1" applyAlignment="1">
      <alignment horizontal="center" vertical="center" wrapText="1"/>
    </xf>
    <xf numFmtId="0" fontId="17" fillId="0" borderId="8" xfId="1" applyFont="1" applyFill="1" applyBorder="1" applyAlignment="1">
      <alignment horizontal="center" vertical="center" wrapText="1"/>
    </xf>
    <xf numFmtId="0" fontId="17" fillId="0" borderId="89" xfId="1"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4" fillId="0" borderId="0" xfId="0" applyFont="1" applyAlignment="1">
      <alignment horizontal="center"/>
    </xf>
    <xf numFmtId="0" fontId="0" fillId="0" borderId="107" xfId="0" applyBorder="1" applyAlignment="1">
      <alignment horizontal="center" vertical="center" wrapText="1"/>
    </xf>
    <xf numFmtId="0" fontId="0" fillId="0" borderId="117" xfId="0" applyBorder="1" applyAlignment="1">
      <alignment horizontal="center" vertical="center" wrapText="1"/>
    </xf>
    <xf numFmtId="0" fontId="4" fillId="0" borderId="93" xfId="0" applyFont="1" applyBorder="1" applyAlignment="1">
      <alignment horizontal="center"/>
    </xf>
    <xf numFmtId="0" fontId="4" fillId="0" borderId="112" xfId="0" applyFont="1" applyBorder="1" applyAlignment="1">
      <alignment horizontal="center"/>
    </xf>
    <xf numFmtId="0" fontId="45" fillId="0" borderId="107" xfId="0" applyFont="1" applyBorder="1" applyAlignment="1">
      <alignment horizontal="center"/>
    </xf>
    <xf numFmtId="0" fontId="45" fillId="0" borderId="108" xfId="0" applyFont="1" applyBorder="1" applyAlignment="1">
      <alignment horizontal="center"/>
    </xf>
    <xf numFmtId="0" fontId="4" fillId="0" borderId="91" xfId="0" applyFont="1" applyBorder="1" applyAlignment="1">
      <alignment horizontal="center"/>
    </xf>
    <xf numFmtId="0" fontId="18" fillId="5" borderId="125" xfId="2" applyFont="1" applyFill="1" applyBorder="1" applyAlignment="1">
      <alignment horizontal="center" vertical="center" wrapText="1"/>
    </xf>
    <xf numFmtId="0" fontId="17" fillId="6" borderId="104" xfId="2" applyFont="1" applyFill="1" applyBorder="1" applyAlignment="1">
      <alignment horizontal="center" vertical="center" wrapText="1"/>
    </xf>
    <xf numFmtId="0" fontId="17" fillId="0" borderId="62" xfId="0" applyFont="1" applyBorder="1" applyAlignment="1">
      <alignment horizontal="center" vertical="center" wrapText="1"/>
    </xf>
    <xf numFmtId="0" fontId="17" fillId="15" borderId="62" xfId="0" applyFont="1" applyFill="1" applyBorder="1" applyAlignment="1">
      <alignment horizontal="center" vertical="center" wrapText="1"/>
    </xf>
    <xf numFmtId="0" fontId="21" fillId="23" borderId="39" xfId="0" applyFont="1" applyFill="1" applyBorder="1" applyAlignment="1">
      <alignment horizontal="center" vertical="center" wrapText="1"/>
    </xf>
    <xf numFmtId="0" fontId="17" fillId="15" borderId="2" xfId="0" applyFont="1" applyFill="1" applyBorder="1" applyAlignment="1">
      <alignment horizontal="center" vertical="center" wrapText="1"/>
    </xf>
    <xf numFmtId="0" fontId="17" fillId="15" borderId="37" xfId="0" applyFont="1" applyFill="1" applyBorder="1" applyAlignment="1">
      <alignment horizontal="center" vertical="center" wrapText="1"/>
    </xf>
    <xf numFmtId="0" fontId="17" fillId="4" borderId="6" xfId="2" applyFont="1" applyFill="1" applyBorder="1" applyAlignment="1">
      <alignment horizontal="center" vertical="center" wrapText="1"/>
    </xf>
    <xf numFmtId="0" fontId="17" fillId="0" borderId="2" xfId="1" applyFont="1" applyFill="1" applyBorder="1" applyAlignment="1">
      <alignment horizontal="center" vertical="center" wrapText="1"/>
    </xf>
    <xf numFmtId="0" fontId="21" fillId="41" borderId="60" xfId="0" applyFont="1" applyFill="1" applyBorder="1" applyAlignment="1">
      <alignment horizontal="center" vertical="center" wrapText="1"/>
    </xf>
    <xf numFmtId="0" fontId="17" fillId="0" borderId="69" xfId="2" applyFont="1" applyFill="1" applyBorder="1" applyAlignment="1">
      <alignment horizontal="center" vertical="center" wrapText="1"/>
    </xf>
    <xf numFmtId="0" fontId="17" fillId="0" borderId="126" xfId="2" applyFont="1" applyFill="1" applyBorder="1" applyAlignment="1">
      <alignment horizontal="center" vertical="center" wrapText="1"/>
    </xf>
    <xf numFmtId="0" fontId="21" fillId="41" borderId="29" xfId="0" applyFont="1" applyFill="1" applyBorder="1" applyAlignment="1">
      <alignment horizontal="center" vertical="center" wrapText="1"/>
    </xf>
    <xf numFmtId="0" fontId="17" fillId="16" borderId="60" xfId="1" applyFont="1" applyFill="1" applyBorder="1" applyAlignment="1">
      <alignment horizontal="center" vertical="center" wrapText="1"/>
    </xf>
    <xf numFmtId="0" fontId="21" fillId="41" borderId="47" xfId="0" applyFont="1" applyFill="1" applyBorder="1" applyAlignment="1">
      <alignment horizontal="center" vertical="center" wrapText="1"/>
    </xf>
    <xf numFmtId="0" fontId="17" fillId="4" borderId="103" xfId="0" applyFont="1" applyFill="1" applyBorder="1" applyAlignment="1">
      <alignment horizontal="center" vertical="center" wrapText="1"/>
    </xf>
    <xf numFmtId="0" fontId="17" fillId="10" borderId="6" xfId="1" applyFont="1" applyFill="1" applyBorder="1" applyAlignment="1">
      <alignment horizontal="center" vertical="center" wrapText="1"/>
    </xf>
    <xf numFmtId="0" fontId="17" fillId="10" borderId="7" xfId="1" applyFont="1" applyFill="1" applyBorder="1" applyAlignment="1">
      <alignment horizontal="center" vertical="center" wrapText="1"/>
    </xf>
    <xf numFmtId="0" fontId="17" fillId="4" borderId="127" xfId="0" applyFont="1" applyFill="1" applyBorder="1" applyAlignment="1">
      <alignment horizontal="center" vertical="center" wrapText="1"/>
    </xf>
    <xf numFmtId="0" fontId="31" fillId="4" borderId="62" xfId="1" applyFont="1" applyFill="1" applyBorder="1" applyAlignment="1">
      <alignment horizontal="center" vertical="center" wrapText="1"/>
    </xf>
    <xf numFmtId="0" fontId="31" fillId="0" borderId="62" xfId="1" applyFont="1" applyFill="1" applyBorder="1" applyAlignment="1">
      <alignment horizontal="center" vertical="center" wrapText="1"/>
    </xf>
    <xf numFmtId="0" fontId="31" fillId="5" borderId="62" xfId="0" applyFont="1" applyFill="1" applyBorder="1" applyAlignment="1">
      <alignment horizontal="center" vertical="center" wrapText="1"/>
    </xf>
    <xf numFmtId="0" fontId="17" fillId="22" borderId="61" xfId="2" applyFont="1" applyFill="1" applyBorder="1" applyAlignment="1">
      <alignment horizontal="center" vertical="center" wrapText="1"/>
    </xf>
    <xf numFmtId="0" fontId="31" fillId="31" borderId="3" xfId="1" applyFont="1" applyFill="1" applyBorder="1" applyAlignment="1">
      <alignment vertical="center" wrapText="1"/>
    </xf>
    <xf numFmtId="0" fontId="31" fillId="0" borderId="2" xfId="0" applyFont="1" applyFill="1" applyBorder="1" applyAlignment="1">
      <alignment horizontal="center" vertical="center" wrapText="1"/>
    </xf>
    <xf numFmtId="0" fontId="31" fillId="0" borderId="4" xfId="0" applyFont="1" applyFill="1" applyBorder="1" applyAlignment="1">
      <alignment horizontal="center" vertical="center" wrapText="1"/>
    </xf>
    <xf numFmtId="0" fontId="17" fillId="4" borderId="103" xfId="3" applyFont="1" applyFill="1" applyBorder="1" applyAlignment="1">
      <alignment horizontal="center" vertical="center" wrapText="1"/>
    </xf>
    <xf numFmtId="0" fontId="17" fillId="0" borderId="2" xfId="1" applyFont="1" applyFill="1" applyBorder="1" applyAlignment="1">
      <alignment horizontal="center" vertical="center" wrapText="1"/>
    </xf>
    <xf numFmtId="0" fontId="21" fillId="31" borderId="128" xfId="1" applyFont="1" applyFill="1" applyBorder="1" applyAlignment="1">
      <alignment vertical="center" wrapText="1"/>
    </xf>
    <xf numFmtId="43" fontId="17" fillId="4" borderId="11" xfId="5" applyFont="1" applyFill="1" applyBorder="1" applyAlignment="1">
      <alignment horizontal="center" vertical="center" wrapText="1"/>
    </xf>
    <xf numFmtId="43" fontId="17" fillId="4" borderId="8" xfId="5" applyFont="1" applyFill="1" applyBorder="1" applyAlignment="1">
      <alignment horizontal="center" vertical="center" wrapText="1"/>
    </xf>
    <xf numFmtId="43" fontId="17" fillId="4" borderId="89" xfId="5" applyFont="1" applyFill="1" applyBorder="1" applyAlignment="1">
      <alignment horizontal="center" vertical="center" wrapText="1"/>
    </xf>
    <xf numFmtId="43" fontId="17" fillId="4" borderId="9" xfId="5" applyFont="1" applyFill="1" applyBorder="1" applyAlignment="1">
      <alignment horizontal="center" vertical="center" wrapText="1"/>
    </xf>
    <xf numFmtId="0" fontId="31" fillId="4" borderId="89" xfId="3" applyFont="1" applyFill="1" applyBorder="1" applyAlignment="1">
      <alignment horizontal="center" vertical="center" wrapText="1"/>
    </xf>
    <xf numFmtId="0" fontId="17" fillId="4" borderId="129" xfId="3" applyFont="1" applyFill="1" applyBorder="1" applyAlignment="1">
      <alignment horizontal="center" vertical="center" wrapText="1"/>
    </xf>
    <xf numFmtId="0" fontId="17" fillId="4" borderId="123" xfId="3" applyFont="1" applyFill="1" applyBorder="1" applyAlignment="1">
      <alignment horizontal="center" vertical="center" wrapText="1"/>
    </xf>
    <xf numFmtId="43" fontId="17" fillId="26" borderId="130" xfId="5" applyFont="1" applyFill="1" applyBorder="1" applyAlignment="1">
      <alignment vertical="center" wrapText="1"/>
    </xf>
    <xf numFmtId="0" fontId="17" fillId="32" borderId="11" xfId="1" applyFont="1" applyFill="1" applyBorder="1" applyAlignment="1">
      <alignment horizontal="center" vertical="center" wrapText="1"/>
    </xf>
    <xf numFmtId="0" fontId="17" fillId="32" borderId="8" xfId="1" applyFont="1" applyFill="1" applyBorder="1" applyAlignment="1">
      <alignment horizontal="center" vertical="center" wrapText="1"/>
    </xf>
    <xf numFmtId="0" fontId="17" fillId="32" borderId="124" xfId="1" applyFont="1" applyFill="1" applyBorder="1" applyAlignment="1">
      <alignment horizontal="center" vertical="center" wrapText="1"/>
    </xf>
    <xf numFmtId="0" fontId="17" fillId="4" borderId="16" xfId="3" applyFont="1" applyFill="1" applyBorder="1" applyAlignment="1">
      <alignment horizontal="center" vertical="center" wrapText="1"/>
    </xf>
    <xf numFmtId="0" fontId="17" fillId="4" borderId="131" xfId="3" applyFont="1" applyFill="1" applyBorder="1" applyAlignment="1">
      <alignment horizontal="center" vertical="center" wrapText="1"/>
    </xf>
    <xf numFmtId="0" fontId="17" fillId="31" borderId="130" xfId="1" applyFont="1" applyFill="1" applyBorder="1" applyAlignment="1">
      <alignment vertical="center" wrapText="1"/>
    </xf>
    <xf numFmtId="0" fontId="17" fillId="32" borderId="128" xfId="1" applyFont="1" applyFill="1" applyBorder="1" applyAlignment="1">
      <alignment horizontal="center" vertical="center" wrapText="1"/>
    </xf>
    <xf numFmtId="0" fontId="17" fillId="32" borderId="89" xfId="1" applyFont="1" applyFill="1" applyBorder="1" applyAlignment="1">
      <alignment horizontal="center" vertical="center" wrapText="1"/>
    </xf>
    <xf numFmtId="0" fontId="21" fillId="23" borderId="46" xfId="0" applyFont="1" applyFill="1" applyBorder="1" applyAlignment="1">
      <alignment horizontal="center" vertical="center" wrapText="1"/>
    </xf>
    <xf numFmtId="0" fontId="21" fillId="21" borderId="78" xfId="2" applyFont="1" applyFill="1" applyBorder="1" applyAlignment="1">
      <alignment horizontal="center" vertical="center" wrapText="1"/>
    </xf>
    <xf numFmtId="0" fontId="17" fillId="6" borderId="43" xfId="2" applyFont="1" applyFill="1" applyBorder="1" applyAlignment="1">
      <alignment horizontal="center" vertical="center" wrapText="1"/>
    </xf>
    <xf numFmtId="0" fontId="21" fillId="21" borderId="46" xfId="2" applyFont="1" applyFill="1" applyBorder="1" applyAlignment="1">
      <alignment horizontal="center" vertical="center" wrapText="1"/>
    </xf>
    <xf numFmtId="0" fontId="17" fillId="6" borderId="43" xfId="0" applyFont="1" applyFill="1" applyBorder="1" applyAlignment="1">
      <alignment horizontal="center" vertical="center" wrapText="1"/>
    </xf>
    <xf numFmtId="0" fontId="18" fillId="0" borderId="28" xfId="2" applyFont="1" applyFill="1" applyBorder="1" applyAlignment="1">
      <alignment vertical="center" wrapText="1"/>
    </xf>
    <xf numFmtId="0" fontId="17" fillId="0" borderId="78" xfId="3" applyFont="1" applyFill="1" applyBorder="1" applyAlignment="1">
      <alignment vertical="center" wrapText="1"/>
    </xf>
    <xf numFmtId="0" fontId="21" fillId="21" borderId="104" xfId="0" applyFont="1" applyFill="1" applyBorder="1" applyAlignment="1">
      <alignment horizontal="center" vertical="center" wrapText="1"/>
    </xf>
    <xf numFmtId="0" fontId="18" fillId="0" borderId="109" xfId="2" applyFont="1" applyFill="1" applyBorder="1" applyAlignment="1">
      <alignment vertical="center" wrapText="1"/>
    </xf>
    <xf numFmtId="0" fontId="21" fillId="20" borderId="43" xfId="0" applyFont="1" applyFill="1" applyBorder="1" applyAlignment="1">
      <alignment horizontal="center" vertical="center" wrapText="1"/>
    </xf>
    <xf numFmtId="0" fontId="21" fillId="31" borderId="132" xfId="2" applyFont="1" applyFill="1" applyBorder="1" applyAlignment="1">
      <alignment horizontal="center" vertical="center" wrapText="1"/>
    </xf>
    <xf numFmtId="0" fontId="21" fillId="31" borderId="99" xfId="2" applyFont="1" applyFill="1" applyBorder="1" applyAlignment="1">
      <alignment horizontal="center" vertical="center" wrapText="1"/>
    </xf>
    <xf numFmtId="0" fontId="17" fillId="31" borderId="78" xfId="2" applyFont="1" applyFill="1" applyBorder="1" applyAlignment="1">
      <alignment horizontal="center" vertical="center" wrapText="1"/>
    </xf>
    <xf numFmtId="0" fontId="18" fillId="31" borderId="86" xfId="2" applyFont="1" applyFill="1" applyBorder="1" applyAlignment="1">
      <alignment vertical="center" wrapText="1"/>
    </xf>
    <xf numFmtId="0" fontId="21" fillId="31" borderId="23" xfId="0" applyFont="1" applyFill="1" applyBorder="1" applyAlignment="1">
      <alignment horizontal="center" vertical="center" wrapText="1"/>
    </xf>
    <xf numFmtId="0" fontId="18" fillId="31" borderId="29" xfId="2" applyFont="1" applyFill="1" applyBorder="1" applyAlignment="1">
      <alignment vertical="center" wrapText="1"/>
    </xf>
    <xf numFmtId="0" fontId="17" fillId="0" borderId="23" xfId="0" applyFont="1" applyFill="1" applyBorder="1" applyAlignment="1">
      <alignment horizontal="center" vertical="center" wrapText="1"/>
    </xf>
    <xf numFmtId="0" fontId="21" fillId="21" borderId="46" xfId="0" applyFont="1" applyFill="1" applyBorder="1" applyAlignment="1">
      <alignment horizontal="center" vertical="center" wrapText="1"/>
    </xf>
    <xf numFmtId="0" fontId="18" fillId="26" borderId="40" xfId="2" applyFont="1" applyFill="1" applyBorder="1" applyAlignment="1">
      <alignment horizontal="center" vertical="center" wrapText="1"/>
    </xf>
    <xf numFmtId="0" fontId="18" fillId="26" borderId="43" xfId="0" applyFont="1" applyFill="1" applyBorder="1" applyAlignment="1">
      <alignment vertical="center" wrapText="1"/>
    </xf>
    <xf numFmtId="0" fontId="18" fillId="26" borderId="43" xfId="0" applyFont="1" applyFill="1" applyBorder="1" applyAlignment="1">
      <alignment horizontal="center" vertical="center" wrapText="1"/>
    </xf>
    <xf numFmtId="0" fontId="18" fillId="26" borderId="46" xfId="0" applyFont="1" applyFill="1" applyBorder="1" applyAlignment="1">
      <alignment vertical="center" wrapText="1"/>
    </xf>
    <xf numFmtId="164" fontId="19" fillId="37" borderId="22" xfId="0" applyNumberFormat="1" applyFont="1" applyFill="1" applyBorder="1" applyAlignment="1">
      <alignment horizontal="center" vertical="center" wrapText="1"/>
    </xf>
    <xf numFmtId="164" fontId="19" fillId="37" borderId="78" xfId="0" applyNumberFormat="1" applyFont="1" applyFill="1" applyBorder="1" applyAlignment="1">
      <alignment horizontal="center" vertical="center" wrapText="1"/>
    </xf>
    <xf numFmtId="164" fontId="19" fillId="37" borderId="54" xfId="0" applyNumberFormat="1" applyFont="1" applyFill="1" applyBorder="1" applyAlignment="1">
      <alignment horizontal="center" vertical="center" wrapText="1"/>
    </xf>
    <xf numFmtId="0" fontId="21" fillId="21" borderId="39" xfId="2" applyFont="1" applyFill="1" applyBorder="1" applyAlignment="1">
      <alignment horizontal="center" vertical="center" wrapText="1"/>
    </xf>
    <xf numFmtId="0" fontId="21" fillId="31" borderId="55" xfId="2" applyFont="1" applyFill="1" applyBorder="1" applyAlignment="1">
      <alignment horizontal="center" vertical="center" wrapText="1"/>
    </xf>
    <xf numFmtId="0" fontId="17" fillId="0" borderId="7" xfId="1" applyFont="1" applyFill="1" applyBorder="1" applyAlignment="1">
      <alignment vertical="center" wrapText="1"/>
    </xf>
    <xf numFmtId="164" fontId="0" fillId="0" borderId="2" xfId="0" applyNumberFormat="1" applyBorder="1" applyAlignment="1">
      <alignment vertical="center" wrapText="1"/>
    </xf>
    <xf numFmtId="0" fontId="17" fillId="4" borderId="14" xfId="3" applyFont="1" applyFill="1" applyBorder="1" applyAlignment="1">
      <alignment horizontal="center" vertical="center" wrapText="1"/>
    </xf>
    <xf numFmtId="0" fontId="17" fillId="26" borderId="51" xfId="2" applyFont="1" applyFill="1" applyBorder="1" applyAlignment="1">
      <alignment horizontal="center" vertical="center" wrapText="1"/>
    </xf>
    <xf numFmtId="0" fontId="21" fillId="20" borderId="52" xfId="0" applyFont="1" applyFill="1" applyBorder="1" applyAlignment="1">
      <alignment horizontal="center" vertical="center" wrapText="1"/>
    </xf>
    <xf numFmtId="0" fontId="18" fillId="26" borderId="51" xfId="2" applyFont="1" applyFill="1" applyBorder="1" applyAlignment="1">
      <alignment horizontal="center" vertical="center" wrapText="1"/>
    </xf>
    <xf numFmtId="0" fontId="18" fillId="26" borderId="52" xfId="0" applyFont="1" applyFill="1" applyBorder="1" applyAlignment="1">
      <alignment vertical="center" wrapText="1"/>
    </xf>
    <xf numFmtId="0" fontId="18" fillId="26" borderId="52" xfId="0" applyFont="1" applyFill="1" applyBorder="1" applyAlignment="1">
      <alignment horizontal="center" vertical="center" wrapText="1"/>
    </xf>
    <xf numFmtId="0" fontId="18" fillId="26" borderId="53" xfId="0" applyFont="1" applyFill="1" applyBorder="1" applyAlignment="1">
      <alignment vertical="center" wrapText="1"/>
    </xf>
    <xf numFmtId="164" fontId="19" fillId="37" borderId="12" xfId="0" applyNumberFormat="1" applyFont="1" applyFill="1" applyBorder="1" applyAlignment="1">
      <alignment horizontal="center" vertical="center" wrapText="1"/>
    </xf>
    <xf numFmtId="164" fontId="19" fillId="37" borderId="5" xfId="0" applyNumberFormat="1" applyFont="1" applyFill="1" applyBorder="1" applyAlignment="1">
      <alignment horizontal="center" vertical="center" wrapText="1"/>
    </xf>
    <xf numFmtId="164" fontId="19" fillId="37" borderId="133" xfId="0" applyNumberFormat="1" applyFont="1" applyFill="1" applyBorder="1" applyAlignment="1">
      <alignment horizontal="center" vertical="center" wrapText="1"/>
    </xf>
  </cellXfs>
  <cellStyles count="7">
    <cellStyle name="Hyperlink" xfId="4"/>
    <cellStyle name="Insatisfaisant" xfId="1" builtinId="27"/>
    <cellStyle name="Lien hypertexte" xfId="3" builtinId="8"/>
    <cellStyle name="Milliers" xfId="5" builtinId="3"/>
    <cellStyle name="Milliers 2" xfId="6"/>
    <cellStyle name="Neutre" xfId="2" builtinId="28"/>
    <cellStyle name="Normal" xfId="0" builtinId="0"/>
  </cellStyles>
  <dxfs count="14941">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patternFill>
      </fill>
    </dxf>
    <dxf>
      <fill>
        <patternFill>
          <bgColor theme="5"/>
        </patternFill>
      </fill>
    </dxf>
    <dxf>
      <fill>
        <patternFill>
          <bgColor theme="5" tint="0.39994506668294322"/>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patternFill>
      </fill>
    </dxf>
    <dxf>
      <fill>
        <patternFill>
          <bgColor theme="5" tint="0.39994506668294322"/>
        </patternFill>
      </fill>
    </dxf>
    <dxf>
      <fill>
        <patternFill>
          <bgColor theme="0" tint="-0.24994659260841701"/>
        </patternFill>
      </fill>
    </dxf>
    <dxf>
      <fill>
        <patternFill>
          <bgColor theme="9"/>
        </patternFill>
      </fill>
    </dxf>
    <dxf>
      <fill>
        <patternFill>
          <bgColor theme="9"/>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9"/>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5"/>
        </patternFill>
      </fill>
    </dxf>
    <dxf>
      <fill>
        <patternFill>
          <bgColor theme="5" tint="0.39994506668294322"/>
        </patternFill>
      </fill>
    </dxf>
    <dxf>
      <fill>
        <patternFill>
          <bgColor theme="0" tint="-0.24994659260841701"/>
        </patternFill>
      </fill>
    </dxf>
    <dxf>
      <fill>
        <patternFill>
          <bgColor theme="9"/>
        </patternFill>
      </fill>
    </dxf>
    <dxf>
      <fill>
        <patternFill>
          <bgColor theme="9"/>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patternFill>
      </fill>
    </dxf>
    <dxf>
      <fill>
        <patternFill>
          <bgColor theme="5"/>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patternFill>
      </fill>
    </dxf>
    <dxf>
      <fill>
        <patternFill>
          <bgColor theme="5" tint="0.39994506668294322"/>
        </patternFill>
      </fill>
    </dxf>
    <dxf>
      <fill>
        <patternFill>
          <bgColor theme="0"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9"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patternFill>
      </fill>
    </dxf>
    <dxf>
      <fill>
        <patternFill>
          <bgColor theme="5" tint="0.39994506668294322"/>
        </patternFill>
      </fill>
    </dxf>
    <dxf>
      <fill>
        <patternFill>
          <bgColor theme="0"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9"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9"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ont>
        <color auto="1"/>
      </font>
      <fill>
        <patternFill>
          <bgColor theme="9"/>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patternFill>
      </fill>
    </dxf>
    <dxf>
      <fill>
        <patternFill>
          <bgColor theme="9"/>
        </patternFill>
      </fill>
    </dxf>
    <dxf>
      <fill>
        <patternFill>
          <bgColor theme="9"/>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theme="8" tint="0.79998168889431442"/>
        </patternFill>
      </fill>
    </dxf>
    <dxf>
      <fill>
        <patternFill>
          <bgColor theme="7" tint="0.59996337778862885"/>
        </patternFill>
      </fill>
    </dxf>
    <dxf>
      <font>
        <color theme="0"/>
      </font>
      <fill>
        <patternFill>
          <bgColor theme="9" tint="-0.24994659260841701"/>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9"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ont>
        <color auto="1"/>
      </font>
      <fill>
        <patternFill>
          <bgColor theme="9"/>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patternFill>
      </fill>
    </dxf>
    <dxf>
      <fill>
        <patternFill>
          <bgColor theme="9"/>
        </patternFill>
      </fill>
    </dxf>
    <dxf>
      <fill>
        <patternFill>
          <bgColor theme="9"/>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5" tint="0.3999450666829432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5"/>
        </patternFill>
      </fill>
    </dxf>
    <dxf>
      <fill>
        <patternFill>
          <bgColor theme="5" tint="0.39994506668294322"/>
        </patternFill>
      </fill>
    </dxf>
    <dxf>
      <fill>
        <patternFill>
          <bgColor theme="0" tint="-0.24994659260841701"/>
        </patternFill>
      </fill>
    </dxf>
    <dxf>
      <fill>
        <patternFill>
          <bgColor theme="7"/>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9" tint="0.59996337778862885"/>
        </patternFill>
      </fill>
    </dxf>
    <dxf>
      <fill>
        <patternFill>
          <bgColor theme="7" tint="0.59996337778862885"/>
        </patternFill>
      </fill>
    </dxf>
    <dxf>
      <font>
        <color theme="0"/>
      </font>
      <fill>
        <patternFill>
          <bgColor theme="9" tint="-0.24994659260841701"/>
        </patternFill>
      </fill>
    </dxf>
    <dxf>
      <fill>
        <patternFill>
          <bgColor theme="7"/>
        </patternFill>
      </fill>
    </dxf>
    <dxf>
      <fill>
        <patternFill>
          <bgColor theme="7"/>
        </patternFill>
      </fill>
    </dxf>
  </dxfs>
  <tableStyles count="0" defaultTableStyle="TableStyleMedium2" defaultPivotStyle="PivotStyleMedium9"/>
  <colors>
    <mruColors>
      <color rgb="FFD2005E"/>
      <color rgb="FF326295"/>
      <color rgb="FF5C88DA"/>
      <color rgb="FF66FFFF"/>
      <color rgb="FF1B365D"/>
      <color rgb="FF69B3E7"/>
      <color rgb="FF99FFCC"/>
      <color rgb="FFFFFFCC"/>
      <color rgb="FFFFCC00"/>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238126</xdr:colOff>
      <xdr:row>4</xdr:row>
      <xdr:rowOff>34018</xdr:rowOff>
    </xdr:from>
    <xdr:to>
      <xdr:col>2</xdr:col>
      <xdr:colOff>1751921</xdr:colOff>
      <xdr:row>4</xdr:row>
      <xdr:rowOff>1343704</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5224" y="1003527"/>
          <a:ext cx="1973036" cy="1309686"/>
        </a:xfrm>
        <a:prstGeom prst="rect">
          <a:avLst/>
        </a:prstGeom>
      </xdr:spPr>
    </xdr:pic>
    <xdr:clientData/>
  </xdr:twoCellAnchor>
</xdr:wsDr>
</file>

<file path=xl/theme/theme1.xml><?xml version="1.0" encoding="utf-8"?>
<a:theme xmlns:a="http://schemas.openxmlformats.org/drawingml/2006/main" name="Thème1">
  <a:themeElements>
    <a:clrScheme name="CESI CORPORATE">
      <a:dk1>
        <a:srgbClr val="000000"/>
      </a:dk1>
      <a:lt1>
        <a:sysClr val="window" lastClr="FFFFFF"/>
      </a:lt1>
      <a:dk2>
        <a:srgbClr val="000000"/>
      </a:dk2>
      <a:lt2>
        <a:srgbClr val="FFFFFF"/>
      </a:lt2>
      <a:accent1>
        <a:srgbClr val="000000"/>
      </a:accent1>
      <a:accent2>
        <a:srgbClr val="FBE216"/>
      </a:accent2>
      <a:accent3>
        <a:srgbClr val="AFA5D1"/>
      </a:accent3>
      <a:accent4>
        <a:srgbClr val="6DC6DA"/>
      </a:accent4>
      <a:accent5>
        <a:srgbClr val="F0869D"/>
      </a:accent5>
      <a:accent6>
        <a:srgbClr val="6FBC85"/>
      </a:accent6>
      <a:hlink>
        <a:srgbClr val="000000"/>
      </a:hlink>
      <a:folHlink>
        <a:srgbClr val="000000"/>
      </a:folHlink>
    </a:clrScheme>
    <a:fontScheme name="CESI">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FD329"/>
  <sheetViews>
    <sheetView tabSelected="1" zoomScale="56" zoomScaleNormal="77" zoomScaleSheetLayoutView="80" workbookViewId="0">
      <pane xSplit="3" ySplit="5" topLeftCell="D6" activePane="bottomRight" state="frozen"/>
      <selection pane="topRight" activeCell="D1" sqref="D1"/>
      <selection pane="bottomLeft" activeCell="A6" sqref="A6"/>
      <selection pane="bottomRight" activeCell="E32" sqref="E32"/>
    </sheetView>
  </sheetViews>
  <sheetFormatPr baseColWidth="10" defaultColWidth="2.625" defaultRowHeight="15.75" outlineLevelCol="1" x14ac:dyDescent="0.2"/>
  <cols>
    <col min="1" max="1" width="2.375" style="6" customWidth="1"/>
    <col min="2" max="2" width="6" style="15" customWidth="1"/>
    <col min="3" max="3" width="28.375" style="16" customWidth="1"/>
    <col min="4" max="4" width="2.625" style="3" customWidth="1"/>
    <col min="5" max="5" width="31.125" style="22" customWidth="1"/>
    <col min="6" max="6" width="2.25" style="584" customWidth="1"/>
    <col min="7" max="7" width="18.5" style="22" customWidth="1"/>
    <col min="8" max="8" width="2.75" style="3" customWidth="1"/>
    <col min="9" max="9" width="44.375" style="11" customWidth="1" outlineLevel="1"/>
    <col min="10" max="10" width="16.625" style="11" customWidth="1" outlineLevel="1"/>
    <col min="11" max="12" width="10.625" style="20" customWidth="1" outlineLevel="1"/>
    <col min="13" max="13" width="13.5" style="20" customWidth="1" outlineLevel="1"/>
    <col min="14" max="14" width="10.625" style="20" customWidth="1" outlineLevel="1"/>
    <col min="15" max="15" width="2.75" style="3" customWidth="1"/>
    <col min="16" max="16" width="44.375" style="11" customWidth="1" outlineLevel="1"/>
    <col min="17" max="17" width="17.875" style="11" customWidth="1" outlineLevel="1"/>
    <col min="18" max="18" width="13.5" style="20" customWidth="1" outlineLevel="1"/>
    <col min="19" max="19" width="16.625" style="11" customWidth="1" outlineLevel="1"/>
    <col min="20" max="20" width="13.5" style="20" customWidth="1" outlineLevel="1"/>
    <col min="21" max="22" width="10.625" style="20" customWidth="1" outlineLevel="1"/>
    <col min="23" max="23" width="2.75" style="3" customWidth="1"/>
    <col min="24" max="24" width="50.375" style="3" customWidth="1" outlineLevel="1"/>
    <col min="25" max="25" width="16.625" style="11" customWidth="1" outlineLevel="1"/>
    <col min="26" max="26" width="10.625" style="20" customWidth="1" outlineLevel="1"/>
    <col min="27" max="27" width="10.625" style="28" customWidth="1" outlineLevel="1"/>
    <col min="28" max="29" width="10.625" style="20" customWidth="1" outlineLevel="1"/>
    <col min="30" max="30" width="2.875" style="12" customWidth="1"/>
    <col min="31" max="31" width="50.375" style="3" customWidth="1" outlineLevel="1"/>
    <col min="32" max="33" width="16.625" style="11" customWidth="1" outlineLevel="1"/>
    <col min="34" max="34" width="19.875" style="11" customWidth="1" outlineLevel="1"/>
    <col min="35" max="35" width="16.625" style="11" customWidth="1" outlineLevel="1"/>
    <col min="36" max="36" width="10.625" style="20" customWidth="1" outlineLevel="1"/>
    <col min="37" max="37" width="10.625" style="28" customWidth="1" outlineLevel="1"/>
    <col min="38" max="39" width="10.625" style="20" customWidth="1" outlineLevel="1"/>
    <col min="40" max="40" width="2.625" style="12" customWidth="1"/>
    <col min="41" max="41" width="35.25" style="3" customWidth="1" outlineLevel="1"/>
    <col min="42" max="42" width="16.625" style="11" customWidth="1" outlineLevel="1"/>
    <col min="43" max="46" width="10.625" style="20" customWidth="1" outlineLevel="1"/>
    <col min="47" max="47" width="4.75" style="12" customWidth="1"/>
    <col min="48" max="48" width="35.25" style="3" customWidth="1" outlineLevel="1"/>
    <col min="49" max="49" width="23.375" style="11" customWidth="1" outlineLevel="1"/>
    <col min="50" max="50" width="10.625" style="20" customWidth="1" outlineLevel="1"/>
    <col min="51" max="51" width="10.625" style="28" customWidth="1" outlineLevel="1"/>
    <col min="52" max="52" width="12.5" style="20" customWidth="1" outlineLevel="1"/>
    <col min="53" max="53" width="10.625" style="20" customWidth="1" outlineLevel="1"/>
    <col min="54" max="54" width="2.625" style="12" customWidth="1"/>
    <col min="55" max="55" width="23.875" style="11" customWidth="1" outlineLevel="1"/>
    <col min="56" max="58" width="10.625" style="20" customWidth="1" outlineLevel="1"/>
    <col min="59" max="59" width="2.625" style="12" customWidth="1"/>
    <col min="60" max="60" width="45" style="3" customWidth="1" outlineLevel="1"/>
    <col min="61" max="61" width="23.875" style="11" customWidth="1" outlineLevel="1"/>
    <col min="62" max="64" width="10.625" style="20" customWidth="1" outlineLevel="1"/>
    <col min="65" max="65" width="2.625" style="12" customWidth="1"/>
    <col min="66" max="66" width="45" style="3" customWidth="1" outlineLevel="1"/>
    <col min="67" max="67" width="16.625" style="11" customWidth="1" outlineLevel="1"/>
    <col min="68" max="68" width="10.625" style="20" customWidth="1" outlineLevel="1"/>
    <col min="69" max="69" width="16.625" style="11" customWidth="1" outlineLevel="1"/>
    <col min="70" max="72" width="10.625" style="20" customWidth="1" outlineLevel="1"/>
    <col min="73" max="73" width="2.625" style="12" customWidth="1"/>
    <col min="74" max="74" width="45" style="3" customWidth="1" outlineLevel="1"/>
    <col min="75" max="75" width="16.625" style="11" customWidth="1" outlineLevel="1"/>
    <col min="76" max="78" width="10.625" style="20" customWidth="1" outlineLevel="1"/>
    <col min="79" max="79" width="2.625" style="12" customWidth="1"/>
    <col min="80" max="80" width="45" style="3" customWidth="1" outlineLevel="1"/>
    <col min="81" max="81" width="16.625" style="11" customWidth="1" outlineLevel="1"/>
    <col min="82" max="84" width="10.625" style="20" customWidth="1" outlineLevel="1"/>
    <col min="85" max="85" width="2.625" style="12" customWidth="1"/>
    <col min="86" max="86" width="45" style="3" customWidth="1" outlineLevel="1"/>
    <col min="87" max="87" width="16.875" style="11" customWidth="1" outlineLevel="1"/>
    <col min="88" max="88" width="10.625" style="20" customWidth="1" outlineLevel="1"/>
    <col min="89" max="89" width="14.375" style="20" customWidth="1" outlineLevel="1"/>
    <col min="90" max="90" width="10.625" style="20" customWidth="1" outlineLevel="1"/>
    <col min="91" max="91" width="2.625" style="12" customWidth="1"/>
    <col min="92" max="92" width="48.625" style="3" customWidth="1" outlineLevel="1"/>
    <col min="93" max="93" width="19.125" style="11" customWidth="1" outlineLevel="1"/>
    <col min="94" max="96" width="10.625" style="20" customWidth="1" outlineLevel="1"/>
    <col min="97" max="97" width="2.625" style="12" customWidth="1"/>
    <col min="98" max="98" width="45" style="3" customWidth="1" outlineLevel="1"/>
    <col min="99" max="99" width="16.625" style="11" customWidth="1" outlineLevel="1"/>
    <col min="100" max="102" width="10.625" style="20" customWidth="1" outlineLevel="1"/>
    <col min="103" max="103" width="4.625" style="520" customWidth="1" outlineLevel="1"/>
    <col min="104" max="104" width="16.625" style="11" customWidth="1" outlineLevel="1"/>
    <col min="105" max="105" width="2.625" style="12" customWidth="1"/>
    <col min="106" max="106" width="46.125" style="3" customWidth="1" outlineLevel="1"/>
    <col min="107" max="107" width="21.375" style="11" customWidth="1" outlineLevel="1"/>
    <col min="108" max="108" width="10.625" style="11" customWidth="1" outlineLevel="1"/>
    <col min="109" max="109" width="10.625" style="20" customWidth="1" outlineLevel="1"/>
    <col min="110" max="110" width="13.75" style="20" customWidth="1" outlineLevel="1"/>
    <col min="111" max="111" width="10.625" style="11" customWidth="1" outlineLevel="1"/>
    <col min="112" max="112" width="2.625" style="11" customWidth="1"/>
    <col min="113" max="113" width="45" style="3" customWidth="1" outlineLevel="1"/>
    <col min="114" max="114" width="16.625" style="11" customWidth="1" outlineLevel="1"/>
    <col min="115" max="117" width="10.625" style="20" customWidth="1" outlineLevel="1"/>
    <col min="118" max="118" width="2.625" style="11" customWidth="1"/>
    <col min="119" max="119" width="45" style="3" customWidth="1" outlineLevel="1"/>
    <col min="120" max="120" width="16.625" style="11" customWidth="1" outlineLevel="1"/>
    <col min="121" max="123" width="10.625" style="20" customWidth="1" outlineLevel="1"/>
    <col min="124" max="124" width="2.625" style="11" customWidth="1"/>
    <col min="125" max="125" width="45" style="3" customWidth="1" outlineLevel="1"/>
    <col min="126" max="126" width="16.625" style="11" customWidth="1" outlineLevel="1"/>
    <col min="127" max="127" width="10.625" style="11" customWidth="1" outlineLevel="1"/>
    <col min="128" max="130" width="10.625" style="20" customWidth="1" outlineLevel="1"/>
    <col min="131" max="131" width="2.625" style="11" customWidth="1"/>
    <col min="132" max="132" width="48" style="3" customWidth="1" outlineLevel="1"/>
    <col min="133" max="133" width="18.25" style="11" customWidth="1" outlineLevel="1"/>
    <col min="134" max="136" width="10.625" style="20" customWidth="1" outlineLevel="1"/>
    <col min="137" max="137" width="2.625" style="11" customWidth="1"/>
    <col min="138" max="138" width="38.125" style="3" customWidth="1" outlineLevel="1"/>
    <col min="139" max="139" width="16.625" style="20" customWidth="1" outlineLevel="1"/>
    <col min="140" max="142" width="10.625" style="20" customWidth="1" outlineLevel="1"/>
    <col min="143" max="143" width="2.625" style="11" customWidth="1"/>
    <col min="144" max="144" width="45" style="3" hidden="1" customWidth="1" outlineLevel="1"/>
    <col min="145" max="145" width="36.625" style="2" customWidth="1" collapsed="1"/>
    <col min="146" max="159" width="2.625" style="2" customWidth="1"/>
    <col min="160" max="16384" width="2.625" style="2"/>
  </cols>
  <sheetData>
    <row r="2" spans="2:145" ht="16.5" thickBot="1" x14ac:dyDescent="0.25"/>
    <row r="3" spans="2:145" ht="24.75" customHeight="1" x14ac:dyDescent="0.2">
      <c r="C3" s="18">
        <v>2025</v>
      </c>
      <c r="G3" s="797" t="s">
        <v>383</v>
      </c>
      <c r="I3" s="1000" t="s">
        <v>0</v>
      </c>
      <c r="J3" s="1001"/>
      <c r="K3" s="1001"/>
      <c r="L3" s="1001"/>
      <c r="M3" s="1001"/>
      <c r="N3" s="1002"/>
      <c r="O3" s="17"/>
      <c r="P3" s="1000" t="s">
        <v>253</v>
      </c>
      <c r="Q3" s="1001"/>
      <c r="R3" s="1001"/>
      <c r="S3" s="1001"/>
      <c r="T3" s="1001"/>
      <c r="U3" s="1001"/>
      <c r="V3" s="1001"/>
      <c r="W3" s="17"/>
      <c r="X3" s="1000" t="s">
        <v>254</v>
      </c>
      <c r="Y3" s="1001"/>
      <c r="Z3" s="1001"/>
      <c r="AA3" s="1001"/>
      <c r="AB3" s="1001"/>
      <c r="AC3" s="1002"/>
      <c r="AD3" s="19"/>
      <c r="AE3" s="1006" t="s">
        <v>1</v>
      </c>
      <c r="AF3" s="985" t="s">
        <v>2</v>
      </c>
      <c r="AG3" s="985" t="s">
        <v>3</v>
      </c>
      <c r="AH3" s="985" t="s">
        <v>4</v>
      </c>
      <c r="AI3" s="676" t="s">
        <v>5</v>
      </c>
      <c r="AJ3" s="676" t="s">
        <v>6</v>
      </c>
      <c r="AK3" s="677"/>
      <c r="AL3" s="677"/>
      <c r="AM3" s="678"/>
      <c r="AN3" s="19"/>
      <c r="AO3" s="922" t="s">
        <v>7</v>
      </c>
      <c r="AP3" s="923"/>
      <c r="AQ3" s="923"/>
      <c r="AR3" s="923"/>
      <c r="AS3" s="923"/>
      <c r="AT3" s="924"/>
      <c r="AU3" s="19"/>
      <c r="AV3" s="783" t="s">
        <v>459</v>
      </c>
      <c r="AW3" s="1008"/>
      <c r="AX3" s="1008"/>
      <c r="AY3" s="1008"/>
      <c r="AZ3" s="1008"/>
      <c r="BA3" s="1009"/>
      <c r="BB3" s="19"/>
      <c r="BC3" s="676" t="s">
        <v>440</v>
      </c>
      <c r="BD3" s="677"/>
      <c r="BE3" s="677"/>
      <c r="BF3" s="678"/>
      <c r="BG3" s="19"/>
      <c r="BH3" s="783" t="s">
        <v>426</v>
      </c>
      <c r="BI3" s="1008"/>
      <c r="BJ3" s="1008"/>
      <c r="BK3" s="1008"/>
      <c r="BL3" s="1009"/>
      <c r="BM3" s="19"/>
      <c r="BN3" s="922" t="s">
        <v>8</v>
      </c>
      <c r="BO3" s="923"/>
      <c r="BP3" s="923"/>
      <c r="BQ3" s="923"/>
      <c r="BR3" s="923"/>
      <c r="BS3" s="923"/>
      <c r="BT3" s="924"/>
      <c r="BU3" s="19"/>
      <c r="BV3" s="783" t="s">
        <v>442</v>
      </c>
      <c r="BW3" s="1008"/>
      <c r="BX3" s="1008"/>
      <c r="BY3" s="1008"/>
      <c r="BZ3" s="1009"/>
      <c r="CA3" s="19"/>
      <c r="CB3" s="783" t="s">
        <v>443</v>
      </c>
      <c r="CC3" s="1008"/>
      <c r="CD3" s="1008"/>
      <c r="CE3" s="1008"/>
      <c r="CF3" s="1009"/>
      <c r="CG3" s="19"/>
      <c r="CH3" s="783" t="s">
        <v>9</v>
      </c>
      <c r="CI3" s="1008"/>
      <c r="CJ3" s="1008"/>
      <c r="CK3" s="1008"/>
      <c r="CL3" s="1009"/>
      <c r="CM3" s="19"/>
      <c r="CN3" s="783" t="s">
        <v>10</v>
      </c>
      <c r="CO3" s="1008"/>
      <c r="CP3" s="1008"/>
      <c r="CQ3" s="1008"/>
      <c r="CR3" s="1009"/>
      <c r="CS3" s="19"/>
      <c r="CT3" s="783" t="s">
        <v>11</v>
      </c>
      <c r="CU3" s="1008"/>
      <c r="CV3" s="1008"/>
      <c r="CW3" s="1008"/>
      <c r="CX3" s="1009"/>
      <c r="CY3" s="569"/>
      <c r="CZ3" s="985" t="s">
        <v>379</v>
      </c>
      <c r="DA3" s="19"/>
      <c r="DB3" s="1025" t="s">
        <v>12</v>
      </c>
      <c r="DC3" s="1026"/>
      <c r="DD3" s="1026"/>
      <c r="DE3" s="1026"/>
      <c r="DF3" s="1026"/>
      <c r="DG3" s="1027"/>
      <c r="DH3" s="19"/>
      <c r="DI3" s="922" t="s">
        <v>13</v>
      </c>
      <c r="DJ3" s="923"/>
      <c r="DK3" s="923"/>
      <c r="DL3" s="923"/>
      <c r="DM3" s="924"/>
      <c r="DN3" s="19"/>
      <c r="DO3" s="922" t="s">
        <v>14</v>
      </c>
      <c r="DP3" s="923"/>
      <c r="DQ3" s="923"/>
      <c r="DR3" s="923"/>
      <c r="DS3" s="924"/>
      <c r="DT3" s="19"/>
      <c r="DU3" s="922" t="s">
        <v>15</v>
      </c>
      <c r="DV3" s="923"/>
      <c r="DW3" s="923"/>
      <c r="DX3" s="923"/>
      <c r="DY3" s="923"/>
      <c r="DZ3" s="924"/>
      <c r="EA3" s="19"/>
      <c r="EB3" s="922" t="s">
        <v>16</v>
      </c>
      <c r="EC3" s="923"/>
      <c r="ED3" s="923"/>
      <c r="EE3" s="923"/>
      <c r="EF3" s="924"/>
      <c r="EG3" s="19"/>
      <c r="EH3" s="977" t="s">
        <v>17</v>
      </c>
      <c r="EI3" s="978"/>
      <c r="EJ3" s="978"/>
      <c r="EK3" s="978"/>
      <c r="EL3" s="979"/>
      <c r="EM3" s="19"/>
      <c r="EN3" s="783" t="s">
        <v>427</v>
      </c>
      <c r="EO3" s="1063" t="s">
        <v>417</v>
      </c>
    </row>
    <row r="4" spans="2:145" ht="20.25" thickBot="1" x14ac:dyDescent="0.25">
      <c r="C4" s="14"/>
      <c r="G4" s="798"/>
      <c r="I4" s="1003"/>
      <c r="J4" s="1004"/>
      <c r="K4" s="1004"/>
      <c r="L4" s="1004"/>
      <c r="M4" s="1004"/>
      <c r="N4" s="1005"/>
      <c r="O4" s="17"/>
      <c r="P4" s="1003"/>
      <c r="Q4" s="1004"/>
      <c r="R4" s="1004"/>
      <c r="S4" s="1004"/>
      <c r="T4" s="1004"/>
      <c r="U4" s="1004"/>
      <c r="V4" s="1004"/>
      <c r="W4" s="17"/>
      <c r="X4" s="1003"/>
      <c r="Y4" s="1004"/>
      <c r="Z4" s="1004"/>
      <c r="AA4" s="1004"/>
      <c r="AB4" s="1004"/>
      <c r="AC4" s="1005"/>
      <c r="AD4" s="19"/>
      <c r="AE4" s="1007"/>
      <c r="AF4" s="986"/>
      <c r="AG4" s="986"/>
      <c r="AH4" s="986"/>
      <c r="AI4" s="679"/>
      <c r="AJ4" s="679"/>
      <c r="AK4" s="680"/>
      <c r="AL4" s="680"/>
      <c r="AM4" s="681"/>
      <c r="AN4" s="19"/>
      <c r="AO4" s="925"/>
      <c r="AP4" s="926"/>
      <c r="AQ4" s="926"/>
      <c r="AR4" s="926"/>
      <c r="AS4" s="926"/>
      <c r="AT4" s="927"/>
      <c r="AU4" s="19"/>
      <c r="AV4" s="784"/>
      <c r="AW4" s="1010"/>
      <c r="AX4" s="1010"/>
      <c r="AY4" s="1010"/>
      <c r="AZ4" s="1010"/>
      <c r="BA4" s="1011"/>
      <c r="BB4" s="19"/>
      <c r="BC4" s="679"/>
      <c r="BD4" s="680"/>
      <c r="BE4" s="680"/>
      <c r="BF4" s="681"/>
      <c r="BG4" s="19"/>
      <c r="BH4" s="784"/>
      <c r="BI4" s="1010"/>
      <c r="BJ4" s="1010"/>
      <c r="BK4" s="1010"/>
      <c r="BL4" s="1011"/>
      <c r="BM4" s="19"/>
      <c r="BN4" s="925"/>
      <c r="BO4" s="926"/>
      <c r="BP4" s="926"/>
      <c r="BQ4" s="926"/>
      <c r="BR4" s="926"/>
      <c r="BS4" s="926"/>
      <c r="BT4" s="927"/>
      <c r="BU4" s="19"/>
      <c r="BV4" s="784"/>
      <c r="BW4" s="1010"/>
      <c r="BX4" s="1010"/>
      <c r="BY4" s="1010"/>
      <c r="BZ4" s="1011"/>
      <c r="CA4" s="19"/>
      <c r="CB4" s="784"/>
      <c r="CC4" s="1010"/>
      <c r="CD4" s="1010"/>
      <c r="CE4" s="1010"/>
      <c r="CF4" s="1011"/>
      <c r="CG4" s="19"/>
      <c r="CH4" s="784"/>
      <c r="CI4" s="1010"/>
      <c r="CJ4" s="1010"/>
      <c r="CK4" s="1010"/>
      <c r="CL4" s="1011"/>
      <c r="CM4" s="19"/>
      <c r="CN4" s="784"/>
      <c r="CO4" s="1010"/>
      <c r="CP4" s="1010"/>
      <c r="CQ4" s="1010"/>
      <c r="CR4" s="1011"/>
      <c r="CS4" s="19"/>
      <c r="CT4" s="784"/>
      <c r="CU4" s="1010"/>
      <c r="CV4" s="1010"/>
      <c r="CW4" s="1010"/>
      <c r="CX4" s="1011"/>
      <c r="CY4" s="569"/>
      <c r="CZ4" s="986"/>
      <c r="DA4" s="19"/>
      <c r="DB4" s="1028"/>
      <c r="DC4" s="1029"/>
      <c r="DD4" s="1029"/>
      <c r="DE4" s="1029"/>
      <c r="DF4" s="1029"/>
      <c r="DG4" s="1030"/>
      <c r="DH4" s="19"/>
      <c r="DI4" s="925"/>
      <c r="DJ4" s="926"/>
      <c r="DK4" s="926"/>
      <c r="DL4" s="926"/>
      <c r="DM4" s="927"/>
      <c r="DN4" s="19"/>
      <c r="DO4" s="925"/>
      <c r="DP4" s="926"/>
      <c r="DQ4" s="926"/>
      <c r="DR4" s="926"/>
      <c r="DS4" s="927"/>
      <c r="DT4" s="19"/>
      <c r="DU4" s="925"/>
      <c r="DV4" s="926"/>
      <c r="DW4" s="926"/>
      <c r="DX4" s="926"/>
      <c r="DY4" s="926"/>
      <c r="DZ4" s="927"/>
      <c r="EA4" s="19"/>
      <c r="EB4" s="925"/>
      <c r="EC4" s="926"/>
      <c r="ED4" s="926"/>
      <c r="EE4" s="926"/>
      <c r="EF4" s="927"/>
      <c r="EG4" s="19"/>
      <c r="EH4" s="980"/>
      <c r="EI4" s="981"/>
      <c r="EJ4" s="981"/>
      <c r="EK4" s="981"/>
      <c r="EL4" s="982"/>
      <c r="EM4" s="19"/>
      <c r="EN4" s="784"/>
      <c r="EO4" s="1064"/>
    </row>
    <row r="5" spans="2:145" ht="161.25" customHeight="1" thickBot="1" x14ac:dyDescent="0.25">
      <c r="C5" t="s">
        <v>291</v>
      </c>
      <c r="E5" s="211" t="s">
        <v>423</v>
      </c>
      <c r="F5" s="585"/>
      <c r="G5" s="524"/>
      <c r="I5" s="266" t="s">
        <v>18</v>
      </c>
      <c r="J5" s="29" t="s">
        <v>19</v>
      </c>
      <c r="K5" s="30" t="s">
        <v>20</v>
      </c>
      <c r="L5" s="31" t="s">
        <v>21</v>
      </c>
      <c r="M5" s="31" t="s">
        <v>22</v>
      </c>
      <c r="N5" s="32" t="s">
        <v>23</v>
      </c>
      <c r="O5" s="22"/>
      <c r="P5" s="266" t="s">
        <v>18</v>
      </c>
      <c r="Q5" s="599" t="s">
        <v>381</v>
      </c>
      <c r="R5" s="599" t="s">
        <v>382</v>
      </c>
      <c r="S5" s="600" t="s">
        <v>292</v>
      </c>
      <c r="T5" s="600" t="s">
        <v>382</v>
      </c>
      <c r="U5" s="30" t="s">
        <v>20</v>
      </c>
      <c r="V5" s="31" t="s">
        <v>21</v>
      </c>
      <c r="W5" s="22"/>
      <c r="X5" s="215" t="s">
        <v>18</v>
      </c>
      <c r="Y5" s="601" t="s">
        <v>40</v>
      </c>
      <c r="Z5" s="30" t="s">
        <v>20</v>
      </c>
      <c r="AA5" s="31" t="s">
        <v>21</v>
      </c>
      <c r="AB5" s="31" t="s">
        <v>22</v>
      </c>
      <c r="AC5" s="32" t="s">
        <v>23</v>
      </c>
      <c r="AD5" s="20"/>
      <c r="AE5" s="215" t="s">
        <v>18</v>
      </c>
      <c r="AF5" s="29" t="s">
        <v>19</v>
      </c>
      <c r="AG5" s="29" t="s">
        <v>19</v>
      </c>
      <c r="AH5" s="29" t="s">
        <v>19</v>
      </c>
      <c r="AI5" s="29" t="s">
        <v>19</v>
      </c>
      <c r="AJ5" s="30" t="s">
        <v>20</v>
      </c>
      <c r="AK5" s="31" t="s">
        <v>21</v>
      </c>
      <c r="AL5" s="31" t="s">
        <v>22</v>
      </c>
      <c r="AM5" s="32" t="s">
        <v>23</v>
      </c>
      <c r="AN5" s="20"/>
      <c r="AO5" s="215" t="s">
        <v>18</v>
      </c>
      <c r="AP5" s="215" t="s">
        <v>19</v>
      </c>
      <c r="AQ5" s="214" t="s">
        <v>20</v>
      </c>
      <c r="AR5" s="27" t="s">
        <v>21</v>
      </c>
      <c r="AS5" s="27" t="s">
        <v>22</v>
      </c>
      <c r="AT5" s="25" t="s">
        <v>23</v>
      </c>
      <c r="AU5" s="20"/>
      <c r="AV5" s="215" t="s">
        <v>18</v>
      </c>
      <c r="AW5" s="213" t="s">
        <v>19</v>
      </c>
      <c r="AX5" s="214" t="s">
        <v>20</v>
      </c>
      <c r="AY5" s="27" t="s">
        <v>21</v>
      </c>
      <c r="AZ5" s="27" t="s">
        <v>22</v>
      </c>
      <c r="BA5" s="25" t="s">
        <v>23</v>
      </c>
      <c r="BB5" s="20"/>
      <c r="BC5" s="213" t="s">
        <v>19</v>
      </c>
      <c r="BD5" s="27" t="s">
        <v>21</v>
      </c>
      <c r="BE5" s="27" t="s">
        <v>22</v>
      </c>
      <c r="BF5" s="25" t="s">
        <v>23</v>
      </c>
      <c r="BG5" s="20"/>
      <c r="BH5" s="215" t="s">
        <v>18</v>
      </c>
      <c r="BI5" s="213" t="s">
        <v>19</v>
      </c>
      <c r="BJ5" s="27" t="s">
        <v>21</v>
      </c>
      <c r="BK5" s="27" t="s">
        <v>22</v>
      </c>
      <c r="BL5" s="25" t="s">
        <v>23</v>
      </c>
      <c r="BM5" s="20"/>
      <c r="BN5" s="215" t="s">
        <v>18</v>
      </c>
      <c r="BO5" s="213" t="s">
        <v>367</v>
      </c>
      <c r="BP5" s="27" t="s">
        <v>22</v>
      </c>
      <c r="BQ5" s="590" t="s">
        <v>24</v>
      </c>
      <c r="BR5" s="27" t="s">
        <v>22</v>
      </c>
      <c r="BS5" s="27" t="s">
        <v>21</v>
      </c>
      <c r="BT5" s="25" t="s">
        <v>23</v>
      </c>
      <c r="BU5" s="20"/>
      <c r="BV5" s="215" t="s">
        <v>18</v>
      </c>
      <c r="BW5" s="213" t="s">
        <v>19</v>
      </c>
      <c r="BX5" s="27" t="s">
        <v>21</v>
      </c>
      <c r="BY5" s="27" t="s">
        <v>22</v>
      </c>
      <c r="BZ5" s="25" t="s">
        <v>23</v>
      </c>
      <c r="CA5" s="20"/>
      <c r="CB5" s="215" t="s">
        <v>18</v>
      </c>
      <c r="CC5" s="215" t="s">
        <v>19</v>
      </c>
      <c r="CD5" s="27" t="s">
        <v>21</v>
      </c>
      <c r="CE5" s="27" t="s">
        <v>22</v>
      </c>
      <c r="CF5" s="25" t="s">
        <v>23</v>
      </c>
      <c r="CG5" s="20"/>
      <c r="CH5" s="215" t="s">
        <v>18</v>
      </c>
      <c r="CI5" s="216" t="s">
        <v>19</v>
      </c>
      <c r="CJ5" s="27" t="s">
        <v>21</v>
      </c>
      <c r="CK5" s="27" t="s">
        <v>22</v>
      </c>
      <c r="CL5" s="25" t="s">
        <v>23</v>
      </c>
      <c r="CM5" s="20"/>
      <c r="CN5" s="215" t="s">
        <v>18</v>
      </c>
      <c r="CO5" s="213" t="s">
        <v>19</v>
      </c>
      <c r="CP5" s="27" t="s">
        <v>21</v>
      </c>
      <c r="CQ5" s="27" t="s">
        <v>22</v>
      </c>
      <c r="CR5" s="25" t="s">
        <v>23</v>
      </c>
      <c r="CS5" s="20"/>
      <c r="CT5" s="215" t="s">
        <v>18</v>
      </c>
      <c r="CU5" s="213" t="s">
        <v>19</v>
      </c>
      <c r="CV5" s="27" t="s">
        <v>21</v>
      </c>
      <c r="CW5" s="27" t="s">
        <v>22</v>
      </c>
      <c r="CX5" s="25" t="s">
        <v>23</v>
      </c>
      <c r="CY5" s="568"/>
      <c r="CZ5" s="29" t="s">
        <v>327</v>
      </c>
      <c r="DA5" s="20"/>
      <c r="DB5" s="215" t="s">
        <v>18</v>
      </c>
      <c r="DC5" s="216" t="s">
        <v>19</v>
      </c>
      <c r="DD5" s="214" t="s">
        <v>20</v>
      </c>
      <c r="DE5" s="27" t="s">
        <v>21</v>
      </c>
      <c r="DF5" s="27" t="s">
        <v>22</v>
      </c>
      <c r="DG5" s="217" t="s">
        <v>23</v>
      </c>
      <c r="DH5" s="20"/>
      <c r="DI5" s="215" t="s">
        <v>18</v>
      </c>
      <c r="DJ5" s="216" t="s">
        <v>19</v>
      </c>
      <c r="DK5" s="27" t="s">
        <v>21</v>
      </c>
      <c r="DL5" s="27" t="s">
        <v>22</v>
      </c>
      <c r="DM5" s="25" t="s">
        <v>23</v>
      </c>
      <c r="DN5" s="20"/>
      <c r="DO5" s="215" t="s">
        <v>18</v>
      </c>
      <c r="DP5" s="213" t="s">
        <v>19</v>
      </c>
      <c r="DQ5" s="27" t="s">
        <v>21</v>
      </c>
      <c r="DR5" s="27" t="s">
        <v>22</v>
      </c>
      <c r="DS5" s="25" t="s">
        <v>23</v>
      </c>
      <c r="DT5" s="20"/>
      <c r="DU5" s="215" t="s">
        <v>18</v>
      </c>
      <c r="DV5" s="213" t="s">
        <v>19</v>
      </c>
      <c r="DW5" s="214" t="s">
        <v>20</v>
      </c>
      <c r="DX5" s="27" t="s">
        <v>21</v>
      </c>
      <c r="DY5" s="27" t="s">
        <v>22</v>
      </c>
      <c r="DZ5" s="25" t="s">
        <v>23</v>
      </c>
      <c r="EA5" s="20"/>
      <c r="EB5" s="215" t="s">
        <v>18</v>
      </c>
      <c r="EC5" s="213" t="s">
        <v>19</v>
      </c>
      <c r="ED5" s="27" t="s">
        <v>21</v>
      </c>
      <c r="EE5" s="27" t="s">
        <v>22</v>
      </c>
      <c r="EF5" s="25" t="s">
        <v>23</v>
      </c>
      <c r="EG5" s="20"/>
      <c r="EH5" s="215" t="s">
        <v>18</v>
      </c>
      <c r="EI5" s="215" t="s">
        <v>19</v>
      </c>
      <c r="EJ5" s="27" t="s">
        <v>21</v>
      </c>
      <c r="EK5" s="27" t="s">
        <v>22</v>
      </c>
      <c r="EL5" s="25" t="s">
        <v>23</v>
      </c>
      <c r="EM5" s="20"/>
      <c r="EN5" s="215" t="s">
        <v>18</v>
      </c>
      <c r="EO5" s="29" t="s">
        <v>418</v>
      </c>
    </row>
    <row r="6" spans="2:145" ht="16.149999999999999" customHeight="1" thickBot="1" x14ac:dyDescent="0.25">
      <c r="B6" s="972">
        <v>35</v>
      </c>
      <c r="C6" s="89">
        <v>45887</v>
      </c>
      <c r="D6" s="4"/>
      <c r="E6" s="24"/>
      <c r="F6" s="525"/>
      <c r="G6" s="24"/>
      <c r="H6" s="4"/>
      <c r="I6" s="707" t="s">
        <v>284</v>
      </c>
      <c r="J6" s="682"/>
      <c r="K6" s="133"/>
      <c r="L6" s="103"/>
      <c r="M6" s="103"/>
      <c r="N6" s="104"/>
      <c r="O6" s="24"/>
      <c r="P6" s="707" t="s">
        <v>284</v>
      </c>
      <c r="Q6" s="682"/>
      <c r="R6" s="103"/>
      <c r="S6" s="682"/>
      <c r="T6" s="103"/>
      <c r="U6" s="133"/>
      <c r="V6" s="103"/>
      <c r="W6" s="24"/>
      <c r="X6" s="268"/>
      <c r="Y6" s="682"/>
      <c r="Z6" s="133"/>
      <c r="AA6" s="145"/>
      <c r="AB6" s="103"/>
      <c r="AC6" s="104"/>
      <c r="AD6" s="21"/>
      <c r="AE6" s="268"/>
      <c r="AF6" s="682"/>
      <c r="AG6" s="682"/>
      <c r="AH6" s="682"/>
      <c r="AI6" s="682"/>
      <c r="AJ6" s="133"/>
      <c r="AK6" s="145"/>
      <c r="AL6" s="103"/>
      <c r="AM6" s="104"/>
      <c r="AN6" s="21"/>
      <c r="AO6" s="273"/>
      <c r="AP6" s="682"/>
      <c r="AQ6" s="96"/>
      <c r="AR6" s="97"/>
      <c r="AS6" s="97"/>
      <c r="AT6" s="100"/>
      <c r="AU6" s="21"/>
      <c r="AV6" s="273"/>
      <c r="AW6" s="682"/>
      <c r="AX6" s="133"/>
      <c r="AY6" s="145"/>
      <c r="AZ6" s="103"/>
      <c r="BA6" s="104"/>
      <c r="BB6" s="21"/>
      <c r="BC6" s="682"/>
      <c r="BD6" s="117"/>
      <c r="BE6" s="119"/>
      <c r="BF6" s="299"/>
      <c r="BG6" s="21"/>
      <c r="BH6" s="557"/>
      <c r="BI6" s="682"/>
      <c r="BJ6" s="117"/>
      <c r="BK6" s="119"/>
      <c r="BL6" s="299"/>
      <c r="BM6" s="21"/>
      <c r="BN6" s="557"/>
      <c r="BO6" s="682"/>
      <c r="BP6" s="119"/>
      <c r="BQ6" s="591"/>
      <c r="BR6" s="117"/>
      <c r="BS6" s="119"/>
      <c r="BT6" s="299"/>
      <c r="BU6" s="21"/>
      <c r="BV6" s="268"/>
      <c r="BW6" s="682"/>
      <c r="BX6" s="117"/>
      <c r="BY6" s="119"/>
      <c r="BZ6" s="299"/>
      <c r="CA6" s="21"/>
      <c r="CB6" s="268"/>
      <c r="CC6" s="589"/>
      <c r="CD6" s="314"/>
      <c r="CE6" s="308"/>
      <c r="CF6" s="306"/>
      <c r="CG6" s="21"/>
      <c r="CH6" s="268"/>
      <c r="CI6" s="682"/>
      <c r="CJ6" s="103"/>
      <c r="CK6" s="103"/>
      <c r="CL6" s="104"/>
      <c r="CM6" s="21"/>
      <c r="CN6" s="557"/>
      <c r="CO6" s="759" t="s">
        <v>26</v>
      </c>
      <c r="CP6" s="314"/>
      <c r="CQ6" s="308"/>
      <c r="CR6" s="306"/>
      <c r="CS6" s="21"/>
      <c r="CT6" s="557"/>
      <c r="CU6" s="719" t="s">
        <v>26</v>
      </c>
      <c r="CV6" s="314"/>
      <c r="CW6" s="308"/>
      <c r="CX6" s="306"/>
      <c r="CY6" s="566"/>
      <c r="CZ6" s="719" t="s">
        <v>26</v>
      </c>
      <c r="DA6" s="21"/>
      <c r="DB6" s="557"/>
      <c r="DC6" s="682"/>
      <c r="DD6" s="133"/>
      <c r="DE6" s="103"/>
      <c r="DF6" s="103"/>
      <c r="DG6" s="104"/>
      <c r="DH6" s="20"/>
      <c r="DI6" s="557"/>
      <c r="DJ6" s="719" t="s">
        <v>26</v>
      </c>
      <c r="DK6" s="314"/>
      <c r="DL6" s="308"/>
      <c r="DM6" s="306"/>
      <c r="DN6" s="20"/>
      <c r="DO6" s="557"/>
      <c r="DP6" s="719" t="s">
        <v>26</v>
      </c>
      <c r="DQ6" s="314"/>
      <c r="DR6" s="308"/>
      <c r="DS6" s="306"/>
      <c r="DT6" s="20"/>
      <c r="DU6" s="557"/>
      <c r="DV6" s="682"/>
      <c r="DW6" s="253"/>
      <c r="DX6" s="254"/>
      <c r="DY6" s="254"/>
      <c r="DZ6" s="255"/>
      <c r="EA6" s="20"/>
      <c r="EB6" s="557"/>
      <c r="EC6" s="719" t="s">
        <v>26</v>
      </c>
      <c r="ED6" s="314"/>
      <c r="EE6" s="308"/>
      <c r="EF6" s="306"/>
      <c r="EG6" s="20"/>
      <c r="EH6" s="557"/>
      <c r="EI6" s="719" t="s">
        <v>26</v>
      </c>
      <c r="EJ6" s="314"/>
      <c r="EK6" s="308"/>
      <c r="EL6" s="306"/>
      <c r="EM6" s="20"/>
      <c r="EN6" s="557"/>
    </row>
    <row r="7" spans="2:145" ht="16.5" thickBot="1" x14ac:dyDescent="0.25">
      <c r="B7" s="972"/>
      <c r="C7" s="33">
        <f>C6+1</f>
        <v>45888</v>
      </c>
      <c r="D7" s="1"/>
      <c r="E7" s="23"/>
      <c r="F7" s="526"/>
      <c r="G7" s="23"/>
      <c r="H7" s="1"/>
      <c r="I7" s="708"/>
      <c r="J7" s="682"/>
      <c r="K7" s="124"/>
      <c r="L7" s="126"/>
      <c r="M7" s="126"/>
      <c r="N7" s="127"/>
      <c r="O7" s="23"/>
      <c r="P7" s="708"/>
      <c r="Q7" s="682"/>
      <c r="R7" s="126"/>
      <c r="S7" s="682"/>
      <c r="T7" s="126"/>
      <c r="U7" s="124"/>
      <c r="V7" s="126"/>
      <c r="W7" s="23"/>
      <c r="X7" s="268"/>
      <c r="Y7" s="682"/>
      <c r="Z7" s="124"/>
      <c r="AA7" s="125"/>
      <c r="AB7" s="126"/>
      <c r="AC7" s="127"/>
      <c r="AD7" s="21"/>
      <c r="AE7" s="268"/>
      <c r="AF7" s="682"/>
      <c r="AG7" s="682"/>
      <c r="AH7" s="682"/>
      <c r="AI7" s="682"/>
      <c r="AJ7" s="124"/>
      <c r="AK7" s="125"/>
      <c r="AL7" s="126"/>
      <c r="AM7" s="127"/>
      <c r="AN7" s="21"/>
      <c r="AO7" s="274"/>
      <c r="AP7" s="682"/>
      <c r="AQ7" s="96"/>
      <c r="AR7" s="97"/>
      <c r="AS7" s="97"/>
      <c r="AT7" s="100"/>
      <c r="AU7" s="21"/>
      <c r="AV7" s="274"/>
      <c r="AW7" s="682"/>
      <c r="AX7" s="124"/>
      <c r="AY7" s="125"/>
      <c r="AZ7" s="126"/>
      <c r="BA7" s="127"/>
      <c r="BB7" s="21"/>
      <c r="BC7" s="682"/>
      <c r="BD7" s="121"/>
      <c r="BE7" s="107"/>
      <c r="BF7" s="123"/>
      <c r="BG7" s="21"/>
      <c r="BH7" s="268"/>
      <c r="BI7" s="682"/>
      <c r="BJ7" s="121"/>
      <c r="BK7" s="107"/>
      <c r="BL7" s="123"/>
      <c r="BM7" s="21"/>
      <c r="BN7" s="274"/>
      <c r="BO7" s="682"/>
      <c r="BP7" s="107"/>
      <c r="BQ7" s="592"/>
      <c r="BR7" s="121"/>
      <c r="BS7" s="107"/>
      <c r="BT7" s="123"/>
      <c r="BU7" s="21"/>
      <c r="BV7" s="268"/>
      <c r="BW7" s="682"/>
      <c r="BX7" s="121"/>
      <c r="BY7" s="107"/>
      <c r="BZ7" s="123"/>
      <c r="CA7" s="21"/>
      <c r="CB7" s="268"/>
      <c r="CC7" s="589"/>
      <c r="CD7" s="309"/>
      <c r="CE7" s="310"/>
      <c r="CF7" s="307"/>
      <c r="CG7" s="21"/>
      <c r="CH7" s="268"/>
      <c r="CI7" s="682"/>
      <c r="CJ7" s="126"/>
      <c r="CK7" s="126"/>
      <c r="CL7" s="127"/>
      <c r="CM7" s="21"/>
      <c r="CN7" s="274"/>
      <c r="CO7" s="760"/>
      <c r="CP7" s="309"/>
      <c r="CQ7" s="310"/>
      <c r="CR7" s="307"/>
      <c r="CS7" s="21"/>
      <c r="CT7" s="274"/>
      <c r="CU7" s="720"/>
      <c r="CV7" s="309"/>
      <c r="CW7" s="310"/>
      <c r="CX7" s="307"/>
      <c r="CY7" s="566"/>
      <c r="CZ7" s="720"/>
      <c r="DA7" s="21"/>
      <c r="DB7" s="274"/>
      <c r="DC7" s="682"/>
      <c r="DD7" s="124"/>
      <c r="DE7" s="126"/>
      <c r="DF7" s="126"/>
      <c r="DG7" s="127"/>
      <c r="DH7" s="20"/>
      <c r="DI7" s="274"/>
      <c r="DJ7" s="720"/>
      <c r="DK7" s="309"/>
      <c r="DL7" s="310"/>
      <c r="DM7" s="307"/>
      <c r="DN7" s="20"/>
      <c r="DO7" s="274"/>
      <c r="DP7" s="720"/>
      <c r="DQ7" s="309"/>
      <c r="DR7" s="310"/>
      <c r="DS7" s="307"/>
      <c r="DT7" s="20"/>
      <c r="DU7" s="274"/>
      <c r="DV7" s="682"/>
      <c r="DW7" s="238"/>
      <c r="DX7" s="239"/>
      <c r="DY7" s="239"/>
      <c r="DZ7" s="240"/>
      <c r="EA7" s="20"/>
      <c r="EB7" s="274"/>
      <c r="EC7" s="720"/>
      <c r="ED7" s="309"/>
      <c r="EE7" s="310"/>
      <c r="EF7" s="307"/>
      <c r="EG7" s="20"/>
      <c r="EH7" s="274"/>
      <c r="EI7" s="720"/>
      <c r="EJ7" s="309"/>
      <c r="EK7" s="310"/>
      <c r="EL7" s="307"/>
      <c r="EM7" s="20"/>
      <c r="EN7" s="268"/>
    </row>
    <row r="8" spans="2:145" ht="16.5" thickBot="1" x14ac:dyDescent="0.25">
      <c r="B8" s="972"/>
      <c r="C8" s="33">
        <f>C7+1</f>
        <v>45889</v>
      </c>
      <c r="D8" s="1"/>
      <c r="E8" s="23"/>
      <c r="F8" s="526"/>
      <c r="G8" s="23"/>
      <c r="H8" s="1"/>
      <c r="I8" s="708"/>
      <c r="J8" s="682"/>
      <c r="K8" s="124"/>
      <c r="L8" s="126"/>
      <c r="M8" s="126"/>
      <c r="N8" s="127"/>
      <c r="O8" s="23"/>
      <c r="P8" s="708"/>
      <c r="Q8" s="682"/>
      <c r="R8" s="126"/>
      <c r="S8" s="682"/>
      <c r="T8" s="126"/>
      <c r="U8" s="124"/>
      <c r="V8" s="126"/>
      <c r="W8" s="23"/>
      <c r="X8" s="268"/>
      <c r="Y8" s="682"/>
      <c r="Z8" s="124"/>
      <c r="AA8" s="125"/>
      <c r="AB8" s="126"/>
      <c r="AC8" s="127"/>
      <c r="AD8" s="21"/>
      <c r="AE8" s="268"/>
      <c r="AF8" s="682"/>
      <c r="AG8" s="682"/>
      <c r="AH8" s="682"/>
      <c r="AI8" s="682"/>
      <c r="AJ8" s="124"/>
      <c r="AK8" s="125"/>
      <c r="AL8" s="126"/>
      <c r="AM8" s="127"/>
      <c r="AN8" s="21"/>
      <c r="AO8" s="274"/>
      <c r="AP8" s="682"/>
      <c r="AQ8" s="96"/>
      <c r="AR8" s="97"/>
      <c r="AS8" s="97"/>
      <c r="AT8" s="100"/>
      <c r="AU8" s="21"/>
      <c r="AV8" s="274"/>
      <c r="AW8" s="682"/>
      <c r="AX8" s="124"/>
      <c r="AY8" s="125"/>
      <c r="AZ8" s="126"/>
      <c r="BA8" s="127"/>
      <c r="BB8" s="21"/>
      <c r="BC8" s="682"/>
      <c r="BD8" s="124"/>
      <c r="BE8" s="126"/>
      <c r="BF8" s="127"/>
      <c r="BG8" s="21"/>
      <c r="BH8" s="268"/>
      <c r="BI8" s="682"/>
      <c r="BJ8" s="124"/>
      <c r="BK8" s="126"/>
      <c r="BL8" s="127"/>
      <c r="BM8" s="21"/>
      <c r="BN8" s="274"/>
      <c r="BO8" s="682"/>
      <c r="BP8" s="126"/>
      <c r="BQ8" s="592"/>
      <c r="BR8" s="124"/>
      <c r="BS8" s="126"/>
      <c r="BT8" s="127"/>
      <c r="BU8" s="21"/>
      <c r="BV8" s="268"/>
      <c r="BW8" s="682"/>
      <c r="BX8" s="124"/>
      <c r="BY8" s="126"/>
      <c r="BZ8" s="127"/>
      <c r="CA8" s="21"/>
      <c r="CB8" s="268"/>
      <c r="CC8" s="589"/>
      <c r="CD8" s="309"/>
      <c r="CE8" s="310"/>
      <c r="CF8" s="307"/>
      <c r="CG8" s="21"/>
      <c r="CH8" s="268"/>
      <c r="CI8" s="682"/>
      <c r="CJ8" s="126"/>
      <c r="CK8" s="126"/>
      <c r="CL8" s="127"/>
      <c r="CM8" s="21"/>
      <c r="CN8" s="274"/>
      <c r="CO8" s="760"/>
      <c r="CP8" s="309"/>
      <c r="CQ8" s="310"/>
      <c r="CR8" s="307"/>
      <c r="CS8" s="21"/>
      <c r="CT8" s="274"/>
      <c r="CU8" s="720"/>
      <c r="CV8" s="309"/>
      <c r="CW8" s="310"/>
      <c r="CX8" s="307"/>
      <c r="CY8" s="566"/>
      <c r="CZ8" s="720"/>
      <c r="DA8" s="21"/>
      <c r="DB8" s="274"/>
      <c r="DC8" s="682"/>
      <c r="DD8" s="124"/>
      <c r="DE8" s="126"/>
      <c r="DF8" s="126"/>
      <c r="DG8" s="127"/>
      <c r="DH8" s="20"/>
      <c r="DI8" s="274"/>
      <c r="DJ8" s="720"/>
      <c r="DK8" s="309"/>
      <c r="DL8" s="310"/>
      <c r="DM8" s="307"/>
      <c r="DN8" s="20"/>
      <c r="DO8" s="274"/>
      <c r="DP8" s="720"/>
      <c r="DQ8" s="309"/>
      <c r="DR8" s="310"/>
      <c r="DS8" s="307"/>
      <c r="DT8" s="20"/>
      <c r="DU8" s="274"/>
      <c r="DV8" s="682"/>
      <c r="DW8" s="238"/>
      <c r="DX8" s="239"/>
      <c r="DY8" s="239"/>
      <c r="DZ8" s="240"/>
      <c r="EA8" s="20"/>
      <c r="EB8" s="274"/>
      <c r="EC8" s="720"/>
      <c r="ED8" s="309"/>
      <c r="EE8" s="310"/>
      <c r="EF8" s="307"/>
      <c r="EG8" s="20"/>
      <c r="EH8" s="274"/>
      <c r="EI8" s="720"/>
      <c r="EJ8" s="309"/>
      <c r="EK8" s="310"/>
      <c r="EL8" s="307"/>
      <c r="EM8" s="20"/>
      <c r="EN8" s="268"/>
    </row>
    <row r="9" spans="2:145" ht="16.5" thickBot="1" x14ac:dyDescent="0.25">
      <c r="B9" s="972"/>
      <c r="C9" s="33">
        <f>C8+1</f>
        <v>45890</v>
      </c>
      <c r="D9" s="1"/>
      <c r="E9" s="23"/>
      <c r="F9" s="526"/>
      <c r="G9" s="23"/>
      <c r="H9" s="1"/>
      <c r="I9" s="708"/>
      <c r="J9" s="682"/>
      <c r="K9" s="124"/>
      <c r="L9" s="126"/>
      <c r="M9" s="126"/>
      <c r="N9" s="127"/>
      <c r="O9" s="23"/>
      <c r="P9" s="708"/>
      <c r="Q9" s="682"/>
      <c r="R9" s="126"/>
      <c r="S9" s="682"/>
      <c r="T9" s="126"/>
      <c r="U9" s="124"/>
      <c r="V9" s="126"/>
      <c r="W9" s="23"/>
      <c r="X9" s="268"/>
      <c r="Y9" s="682"/>
      <c r="Z9" s="124"/>
      <c r="AA9" s="125"/>
      <c r="AB9" s="126"/>
      <c r="AC9" s="127"/>
      <c r="AD9" s="21"/>
      <c r="AE9" s="268"/>
      <c r="AF9" s="682"/>
      <c r="AG9" s="682"/>
      <c r="AH9" s="682"/>
      <c r="AI9" s="682"/>
      <c r="AJ9" s="124"/>
      <c r="AK9" s="125"/>
      <c r="AL9" s="126"/>
      <c r="AM9" s="127"/>
      <c r="AN9" s="21"/>
      <c r="AO9" s="274"/>
      <c r="AP9" s="682"/>
      <c r="AQ9" s="96"/>
      <c r="AR9" s="97"/>
      <c r="AS9" s="97"/>
      <c r="AT9" s="100"/>
      <c r="AU9" s="21"/>
      <c r="AV9" s="274"/>
      <c r="AW9" s="682"/>
      <c r="AX9" s="124"/>
      <c r="AY9" s="125"/>
      <c r="AZ9" s="126"/>
      <c r="BA9" s="127"/>
      <c r="BB9" s="21"/>
      <c r="BC9" s="682"/>
      <c r="BD9" s="124"/>
      <c r="BE9" s="126"/>
      <c r="BF9" s="127"/>
      <c r="BG9" s="21"/>
      <c r="BH9" s="268"/>
      <c r="BI9" s="682"/>
      <c r="BJ9" s="124"/>
      <c r="BK9" s="126"/>
      <c r="BL9" s="127"/>
      <c r="BM9" s="21"/>
      <c r="BN9" s="274"/>
      <c r="BO9" s="682"/>
      <c r="BP9" s="126"/>
      <c r="BQ9" s="592"/>
      <c r="BR9" s="124"/>
      <c r="BS9" s="126"/>
      <c r="BT9" s="127"/>
      <c r="BU9" s="21"/>
      <c r="BV9" s="268"/>
      <c r="BW9" s="682"/>
      <c r="BX9" s="124"/>
      <c r="BY9" s="126"/>
      <c r="BZ9" s="127"/>
      <c r="CA9" s="21"/>
      <c r="CB9" s="268"/>
      <c r="CC9" s="589"/>
      <c r="CD9" s="309"/>
      <c r="CE9" s="310"/>
      <c r="CF9" s="307"/>
      <c r="CG9" s="21"/>
      <c r="CH9" s="268"/>
      <c r="CI9" s="682"/>
      <c r="CJ9" s="126"/>
      <c r="CK9" s="126"/>
      <c r="CL9" s="127"/>
      <c r="CM9" s="21"/>
      <c r="CN9" s="274"/>
      <c r="CO9" s="760"/>
      <c r="CP9" s="309"/>
      <c r="CQ9" s="310"/>
      <c r="CR9" s="307"/>
      <c r="CS9" s="21"/>
      <c r="CT9" s="274"/>
      <c r="CU9" s="720"/>
      <c r="CV9" s="309"/>
      <c r="CW9" s="310"/>
      <c r="CX9" s="307"/>
      <c r="CY9" s="566"/>
      <c r="CZ9" s="720"/>
      <c r="DA9" s="21"/>
      <c r="DB9" s="274"/>
      <c r="DC9" s="682"/>
      <c r="DD9" s="124"/>
      <c r="DE9" s="126"/>
      <c r="DF9" s="126"/>
      <c r="DG9" s="127"/>
      <c r="DH9" s="20"/>
      <c r="DI9" s="274"/>
      <c r="DJ9" s="720"/>
      <c r="DK9" s="309"/>
      <c r="DL9" s="310"/>
      <c r="DM9" s="307"/>
      <c r="DN9" s="20"/>
      <c r="DO9" s="274"/>
      <c r="DP9" s="720"/>
      <c r="DQ9" s="309"/>
      <c r="DR9" s="310"/>
      <c r="DS9" s="307"/>
      <c r="DT9" s="20"/>
      <c r="DU9" s="274"/>
      <c r="DV9" s="682"/>
      <c r="DW9" s="238"/>
      <c r="DX9" s="239"/>
      <c r="DY9" s="239"/>
      <c r="DZ9" s="240"/>
      <c r="EA9" s="20"/>
      <c r="EB9" s="274"/>
      <c r="EC9" s="720"/>
      <c r="ED9" s="309"/>
      <c r="EE9" s="310"/>
      <c r="EF9" s="307"/>
      <c r="EG9" s="20"/>
      <c r="EH9" s="274"/>
      <c r="EI9" s="720"/>
      <c r="EJ9" s="309"/>
      <c r="EK9" s="310"/>
      <c r="EL9" s="307"/>
      <c r="EM9" s="20"/>
      <c r="EN9" s="268"/>
    </row>
    <row r="10" spans="2:145" ht="16.5" thickBot="1" x14ac:dyDescent="0.25">
      <c r="B10" s="972"/>
      <c r="C10" s="34">
        <f>C9+1</f>
        <v>45891</v>
      </c>
      <c r="D10" s="1"/>
      <c r="E10" s="23"/>
      <c r="F10" s="526"/>
      <c r="G10" s="23"/>
      <c r="H10" s="1"/>
      <c r="I10" s="709"/>
      <c r="J10" s="682"/>
      <c r="K10" s="111"/>
      <c r="L10" s="109"/>
      <c r="M10" s="109"/>
      <c r="N10" s="110"/>
      <c r="O10" s="23"/>
      <c r="P10" s="709"/>
      <c r="Q10" s="682"/>
      <c r="R10" s="109"/>
      <c r="S10" s="682"/>
      <c r="T10" s="109"/>
      <c r="U10" s="111"/>
      <c r="V10" s="109"/>
      <c r="W10" s="23"/>
      <c r="X10" s="268"/>
      <c r="Y10" s="682"/>
      <c r="Z10" s="111"/>
      <c r="AA10" s="144"/>
      <c r="AB10" s="109"/>
      <c r="AC10" s="110"/>
      <c r="AD10" s="21"/>
      <c r="AE10" s="268"/>
      <c r="AF10" s="682"/>
      <c r="AG10" s="682"/>
      <c r="AH10" s="682"/>
      <c r="AI10" s="682"/>
      <c r="AJ10" s="111"/>
      <c r="AK10" s="144"/>
      <c r="AL10" s="109"/>
      <c r="AM10" s="110"/>
      <c r="AN10" s="21"/>
      <c r="AO10" s="274"/>
      <c r="AP10" s="682"/>
      <c r="AQ10" s="98"/>
      <c r="AR10" s="99"/>
      <c r="AS10" s="99"/>
      <c r="AT10" s="101"/>
      <c r="AU10" s="21"/>
      <c r="AV10" s="274"/>
      <c r="AW10" s="682"/>
      <c r="AX10" s="111"/>
      <c r="AY10" s="144"/>
      <c r="AZ10" s="109"/>
      <c r="BA10" s="110"/>
      <c r="BB10" s="21"/>
      <c r="BC10" s="682"/>
      <c r="BD10" s="128"/>
      <c r="BE10" s="108"/>
      <c r="BF10" s="130"/>
      <c r="BG10" s="21"/>
      <c r="BH10" s="268"/>
      <c r="BI10" s="682"/>
      <c r="BJ10" s="128"/>
      <c r="BK10" s="108"/>
      <c r="BL10" s="130"/>
      <c r="BM10" s="21"/>
      <c r="BN10" s="274"/>
      <c r="BO10" s="682"/>
      <c r="BP10" s="108"/>
      <c r="BQ10" s="593"/>
      <c r="BR10" s="128"/>
      <c r="BS10" s="108"/>
      <c r="BT10" s="130"/>
      <c r="BU10" s="21"/>
      <c r="BV10" s="268"/>
      <c r="BW10" s="682"/>
      <c r="BX10" s="128"/>
      <c r="BY10" s="108"/>
      <c r="BZ10" s="130"/>
      <c r="CA10" s="21"/>
      <c r="CB10" s="268"/>
      <c r="CC10" s="589"/>
      <c r="CD10" s="311"/>
      <c r="CE10" s="313"/>
      <c r="CF10" s="315"/>
      <c r="CG10" s="21"/>
      <c r="CH10" s="268"/>
      <c r="CI10" s="682"/>
      <c r="CJ10" s="109"/>
      <c r="CK10" s="109"/>
      <c r="CL10" s="110"/>
      <c r="CM10" s="21"/>
      <c r="CN10" s="274"/>
      <c r="CO10" s="760"/>
      <c r="CP10" s="311"/>
      <c r="CQ10" s="313"/>
      <c r="CR10" s="315"/>
      <c r="CS10" s="21"/>
      <c r="CT10" s="274"/>
      <c r="CU10" s="720"/>
      <c r="CV10" s="311"/>
      <c r="CW10" s="313"/>
      <c r="CX10" s="315"/>
      <c r="CY10" s="566"/>
      <c r="CZ10" s="720"/>
      <c r="DA10" s="21"/>
      <c r="DB10" s="274"/>
      <c r="DC10" s="682"/>
      <c r="DD10" s="111"/>
      <c r="DE10" s="109"/>
      <c r="DF10" s="109"/>
      <c r="DG10" s="110"/>
      <c r="DH10" s="20"/>
      <c r="DI10" s="274"/>
      <c r="DJ10" s="720"/>
      <c r="DK10" s="311"/>
      <c r="DL10" s="313"/>
      <c r="DM10" s="315"/>
      <c r="DN10" s="20"/>
      <c r="DO10" s="268"/>
      <c r="DP10" s="720"/>
      <c r="DQ10" s="311"/>
      <c r="DR10" s="313"/>
      <c r="DS10" s="315"/>
      <c r="DT10" s="20"/>
      <c r="DU10" s="268"/>
      <c r="DV10" s="682"/>
      <c r="DW10" s="256"/>
      <c r="DX10" s="257"/>
      <c r="DY10" s="257"/>
      <c r="DZ10" s="258"/>
      <c r="EA10" s="20"/>
      <c r="EB10" s="268"/>
      <c r="EC10" s="720"/>
      <c r="ED10" s="311"/>
      <c r="EE10" s="313"/>
      <c r="EF10" s="315"/>
      <c r="EG10" s="20"/>
      <c r="EH10" s="268"/>
      <c r="EI10" s="720"/>
      <c r="EJ10" s="311"/>
      <c r="EK10" s="313"/>
      <c r="EL10" s="315"/>
      <c r="EM10" s="20"/>
      <c r="EN10" s="268"/>
    </row>
    <row r="11" spans="2:145" ht="16.149999999999999" customHeight="1" thickBot="1" x14ac:dyDescent="0.25">
      <c r="B11" s="972">
        <v>35</v>
      </c>
      <c r="C11" s="89">
        <f>C10+3</f>
        <v>45894</v>
      </c>
      <c r="D11" s="4"/>
      <c r="E11" s="24"/>
      <c r="F11" s="525"/>
      <c r="G11" s="24"/>
      <c r="H11" s="4"/>
      <c r="I11" s="710" t="s">
        <v>27</v>
      </c>
      <c r="J11" s="682"/>
      <c r="K11" s="133"/>
      <c r="L11" s="103"/>
      <c r="M11" s="103"/>
      <c r="N11" s="104"/>
      <c r="O11" s="24"/>
      <c r="P11" s="710" t="s">
        <v>27</v>
      </c>
      <c r="Q11" s="682"/>
      <c r="R11" s="103"/>
      <c r="S11" s="682"/>
      <c r="T11" s="103"/>
      <c r="U11" s="133"/>
      <c r="V11" s="103"/>
      <c r="W11" s="24"/>
      <c r="X11" s="268"/>
      <c r="Y11" s="664"/>
      <c r="Z11" s="133"/>
      <c r="AA11" s="145"/>
      <c r="AB11" s="103"/>
      <c r="AC11" s="104"/>
      <c r="AD11" s="21"/>
      <c r="AE11" s="268"/>
      <c r="AF11" s="647"/>
      <c r="AG11" s="647"/>
      <c r="AH11" s="647"/>
      <c r="AI11" s="647"/>
      <c r="AJ11" s="133"/>
      <c r="AK11" s="145"/>
      <c r="AL11" s="103"/>
      <c r="AM11" s="104"/>
      <c r="AN11" s="21"/>
      <c r="AO11" s="274"/>
      <c r="AP11" s="682"/>
      <c r="AQ11" s="96"/>
      <c r="AR11" s="97"/>
      <c r="AS11" s="97"/>
      <c r="AT11" s="100"/>
      <c r="AU11" s="21"/>
      <c r="AV11" s="274"/>
      <c r="AW11" s="558"/>
      <c r="AX11" s="133"/>
      <c r="AY11" s="145"/>
      <c r="AZ11" s="103"/>
      <c r="BA11" s="104"/>
      <c r="BB11" s="21"/>
      <c r="BC11" s="562"/>
      <c r="BD11" s="117"/>
      <c r="BE11" s="119"/>
      <c r="BF11" s="299"/>
      <c r="BG11" s="21"/>
      <c r="BH11" s="268"/>
      <c r="BI11" s="562"/>
      <c r="BJ11" s="117"/>
      <c r="BK11" s="119"/>
      <c r="BL11" s="299"/>
      <c r="BM11" s="21"/>
      <c r="BN11" s="274"/>
      <c r="BO11" s="562"/>
      <c r="BP11" s="119"/>
      <c r="BQ11" s="594"/>
      <c r="BR11" s="117"/>
      <c r="BS11" s="119"/>
      <c r="BT11" s="299"/>
      <c r="BU11" s="21"/>
      <c r="BV11" s="268"/>
      <c r="BW11" s="664"/>
      <c r="BX11" s="117"/>
      <c r="BY11" s="119"/>
      <c r="BZ11" s="120"/>
      <c r="CA11" s="21"/>
      <c r="CB11" s="268"/>
      <c r="CC11" s="589"/>
      <c r="CD11" s="314"/>
      <c r="CE11" s="39"/>
      <c r="CF11" s="35"/>
      <c r="CG11" s="21"/>
      <c r="CH11" s="268"/>
      <c r="CI11" s="573"/>
      <c r="CJ11" s="103"/>
      <c r="CK11" s="103"/>
      <c r="CL11" s="104"/>
      <c r="CM11" s="21"/>
      <c r="CN11" s="274"/>
      <c r="CO11" s="760"/>
      <c r="CP11" s="61"/>
      <c r="CQ11" s="39"/>
      <c r="CR11" s="35"/>
      <c r="CS11" s="21"/>
      <c r="CT11" s="274"/>
      <c r="CU11" s="720"/>
      <c r="CV11" s="61"/>
      <c r="CW11" s="39"/>
      <c r="CX11" s="35"/>
      <c r="CY11" s="566"/>
      <c r="CZ11" s="720"/>
      <c r="DA11" s="21"/>
      <c r="DB11" s="274"/>
      <c r="DC11" s="573"/>
      <c r="DD11" s="133"/>
      <c r="DE11" s="103"/>
      <c r="DF11" s="103"/>
      <c r="DG11" s="104"/>
      <c r="DH11" s="20"/>
      <c r="DI11" s="274"/>
      <c r="DJ11" s="720"/>
      <c r="DK11" s="61"/>
      <c r="DL11" s="39"/>
      <c r="DM11" s="35"/>
      <c r="DN11" s="20"/>
      <c r="DO11" s="268"/>
      <c r="DP11" s="720"/>
      <c r="DQ11" s="61"/>
      <c r="DR11" s="39"/>
      <c r="DS11" s="35"/>
      <c r="DT11" s="20"/>
      <c r="DU11" s="268"/>
      <c r="DV11" s="931"/>
      <c r="DW11" s="253"/>
      <c r="DX11" s="254"/>
      <c r="DY11" s="254"/>
      <c r="DZ11" s="255"/>
      <c r="EA11" s="20"/>
      <c r="EB11" s="268"/>
      <c r="EC11" s="720"/>
      <c r="ED11" s="61"/>
      <c r="EE11" s="39"/>
      <c r="EF11" s="35"/>
      <c r="EG11" s="20"/>
      <c r="EH11" s="268"/>
      <c r="EI11" s="720"/>
      <c r="EJ11" s="61"/>
      <c r="EK11" s="39"/>
      <c r="EL11" s="35"/>
      <c r="EM11" s="20"/>
      <c r="EN11" s="268"/>
    </row>
    <row r="12" spans="2:145" ht="16.5" thickBot="1" x14ac:dyDescent="0.25">
      <c r="B12" s="972"/>
      <c r="C12" s="33">
        <f>C11+1</f>
        <v>45895</v>
      </c>
      <c r="D12" s="1"/>
      <c r="E12" s="23"/>
      <c r="F12" s="526"/>
      <c r="G12" s="23"/>
      <c r="H12" s="1"/>
      <c r="I12" s="711"/>
      <c r="J12" s="682"/>
      <c r="K12" s="124"/>
      <c r="L12" s="126"/>
      <c r="M12" s="126"/>
      <c r="N12" s="127"/>
      <c r="O12" s="23"/>
      <c r="P12" s="711"/>
      <c r="Q12" s="682"/>
      <c r="R12" s="126"/>
      <c r="S12" s="682"/>
      <c r="T12" s="126"/>
      <c r="U12" s="124"/>
      <c r="V12" s="126"/>
      <c r="W12" s="23"/>
      <c r="X12" s="268"/>
      <c r="Y12" s="664"/>
      <c r="Z12" s="124"/>
      <c r="AA12" s="125"/>
      <c r="AB12" s="126"/>
      <c r="AC12" s="127"/>
      <c r="AD12" s="21"/>
      <c r="AE12" s="268"/>
      <c r="AF12" s="647"/>
      <c r="AG12" s="647"/>
      <c r="AH12" s="647"/>
      <c r="AI12" s="647"/>
      <c r="AJ12" s="124"/>
      <c r="AK12" s="125"/>
      <c r="AL12" s="126"/>
      <c r="AM12" s="127"/>
      <c r="AN12" s="21"/>
      <c r="AO12" s="274"/>
      <c r="AP12" s="682"/>
      <c r="AQ12" s="96"/>
      <c r="AR12" s="97"/>
      <c r="AS12" s="97"/>
      <c r="AT12" s="100"/>
      <c r="AU12" s="21"/>
      <c r="AV12" s="274"/>
      <c r="AW12" s="558"/>
      <c r="AX12" s="124"/>
      <c r="AY12" s="125"/>
      <c r="AZ12" s="126"/>
      <c r="BA12" s="127"/>
      <c r="BB12" s="21"/>
      <c r="BC12" s="563"/>
      <c r="BD12" s="121"/>
      <c r="BE12" s="107"/>
      <c r="BF12" s="123"/>
      <c r="BG12" s="21"/>
      <c r="BH12" s="268"/>
      <c r="BI12" s="563"/>
      <c r="BJ12" s="121"/>
      <c r="BK12" s="107"/>
      <c r="BL12" s="123"/>
      <c r="BM12" s="21"/>
      <c r="BN12" s="274"/>
      <c r="BO12" s="563"/>
      <c r="BP12" s="107"/>
      <c r="BQ12" s="595"/>
      <c r="BR12" s="121"/>
      <c r="BS12" s="107"/>
      <c r="BT12" s="123"/>
      <c r="BU12" s="21"/>
      <c r="BV12" s="268"/>
      <c r="BW12" s="664"/>
      <c r="BX12" s="121"/>
      <c r="BY12" s="107"/>
      <c r="BZ12" s="123"/>
      <c r="CA12" s="21"/>
      <c r="CB12" s="268"/>
      <c r="CC12" s="589"/>
      <c r="CD12" s="309"/>
      <c r="CE12" s="44"/>
      <c r="CF12" s="36"/>
      <c r="CG12" s="21"/>
      <c r="CH12" s="268"/>
      <c r="CI12" s="573"/>
      <c r="CJ12" s="126"/>
      <c r="CK12" s="126"/>
      <c r="CL12" s="127"/>
      <c r="CM12" s="21"/>
      <c r="CN12" s="274"/>
      <c r="CO12" s="760"/>
      <c r="CP12" s="40"/>
      <c r="CQ12" s="44"/>
      <c r="CR12" s="36"/>
      <c r="CS12" s="21"/>
      <c r="CT12" s="274"/>
      <c r="CU12" s="720"/>
      <c r="CV12" s="40"/>
      <c r="CW12" s="44"/>
      <c r="CX12" s="36"/>
      <c r="CY12" s="566"/>
      <c r="CZ12" s="720"/>
      <c r="DA12" s="21"/>
      <c r="DB12" s="274"/>
      <c r="DC12" s="573"/>
      <c r="DD12" s="124"/>
      <c r="DE12" s="126"/>
      <c r="DF12" s="126"/>
      <c r="DG12" s="127"/>
      <c r="DH12" s="20"/>
      <c r="DI12" s="274"/>
      <c r="DJ12" s="720"/>
      <c r="DK12" s="40"/>
      <c r="DL12" s="44"/>
      <c r="DM12" s="36"/>
      <c r="DN12" s="20"/>
      <c r="DO12" s="274"/>
      <c r="DP12" s="720"/>
      <c r="DQ12" s="40"/>
      <c r="DR12" s="44"/>
      <c r="DS12" s="36"/>
      <c r="DT12" s="20"/>
      <c r="DU12" s="274"/>
      <c r="DV12" s="931"/>
      <c r="DW12" s="238"/>
      <c r="DX12" s="239"/>
      <c r="DY12" s="239"/>
      <c r="DZ12" s="240"/>
      <c r="EA12" s="20"/>
      <c r="EB12" s="274"/>
      <c r="EC12" s="720"/>
      <c r="ED12" s="40"/>
      <c r="EE12" s="44"/>
      <c r="EF12" s="36"/>
      <c r="EG12" s="20"/>
      <c r="EH12" s="274"/>
      <c r="EI12" s="720"/>
      <c r="EJ12" s="40"/>
      <c r="EK12" s="44"/>
      <c r="EL12" s="36"/>
      <c r="EM12" s="20"/>
      <c r="EN12" s="268"/>
    </row>
    <row r="13" spans="2:145" ht="16.5" thickBot="1" x14ac:dyDescent="0.25">
      <c r="B13" s="972"/>
      <c r="C13" s="33">
        <f>C12+1</f>
        <v>45896</v>
      </c>
      <c r="D13" s="1"/>
      <c r="E13" s="23"/>
      <c r="F13" s="526"/>
      <c r="G13" s="23"/>
      <c r="H13" s="1"/>
      <c r="I13" s="711"/>
      <c r="J13" s="682"/>
      <c r="K13" s="124"/>
      <c r="L13" s="126"/>
      <c r="M13" s="126"/>
      <c r="N13" s="127"/>
      <c r="O13" s="23"/>
      <c r="P13" s="711"/>
      <c r="Q13" s="682"/>
      <c r="R13" s="126"/>
      <c r="S13" s="682"/>
      <c r="T13" s="126"/>
      <c r="U13" s="124"/>
      <c r="V13" s="126"/>
      <c r="W13" s="23"/>
      <c r="X13" s="268"/>
      <c r="Y13" s="664"/>
      <c r="Z13" s="124"/>
      <c r="AA13" s="125"/>
      <c r="AB13" s="126"/>
      <c r="AC13" s="127"/>
      <c r="AD13" s="21"/>
      <c r="AE13" s="268"/>
      <c r="AF13" s="647"/>
      <c r="AG13" s="647"/>
      <c r="AH13" s="647"/>
      <c r="AI13" s="647"/>
      <c r="AJ13" s="124"/>
      <c r="AK13" s="125"/>
      <c r="AL13" s="126"/>
      <c r="AM13" s="127"/>
      <c r="AN13" s="21"/>
      <c r="AO13" s="274"/>
      <c r="AP13" s="682"/>
      <c r="AQ13" s="96"/>
      <c r="AR13" s="97"/>
      <c r="AS13" s="97"/>
      <c r="AT13" s="100"/>
      <c r="AU13" s="21"/>
      <c r="AV13" s="274"/>
      <c r="AW13" s="558"/>
      <c r="AX13" s="124"/>
      <c r="AY13" s="125"/>
      <c r="AZ13" s="126"/>
      <c r="BA13" s="127"/>
      <c r="BB13" s="21"/>
      <c r="BC13" s="563"/>
      <c r="BD13" s="124"/>
      <c r="BE13" s="126"/>
      <c r="BF13" s="127"/>
      <c r="BG13" s="21"/>
      <c r="BH13" s="268"/>
      <c r="BI13" s="563"/>
      <c r="BJ13" s="124"/>
      <c r="BK13" s="126"/>
      <c r="BL13" s="127"/>
      <c r="BM13" s="21"/>
      <c r="BN13" s="274"/>
      <c r="BO13" s="563"/>
      <c r="BP13" s="126"/>
      <c r="BQ13" s="595"/>
      <c r="BR13" s="124"/>
      <c r="BS13" s="126"/>
      <c r="BT13" s="127"/>
      <c r="BU13" s="21"/>
      <c r="BV13" s="268"/>
      <c r="BW13" s="664"/>
      <c r="BX13" s="124"/>
      <c r="BY13" s="126"/>
      <c r="BZ13" s="127"/>
      <c r="CA13" s="21"/>
      <c r="CB13" s="268"/>
      <c r="CC13" s="589"/>
      <c r="CD13" s="309"/>
      <c r="CE13" s="44"/>
      <c r="CF13" s="36"/>
      <c r="CG13" s="21"/>
      <c r="CH13" s="268"/>
      <c r="CI13" s="573"/>
      <c r="CJ13" s="126"/>
      <c r="CK13" s="126"/>
      <c r="CL13" s="127"/>
      <c r="CM13" s="21"/>
      <c r="CN13" s="274"/>
      <c r="CO13" s="760"/>
      <c r="CP13" s="40"/>
      <c r="CQ13" s="44"/>
      <c r="CR13" s="36"/>
      <c r="CS13" s="21"/>
      <c r="CT13" s="274"/>
      <c r="CU13" s="720"/>
      <c r="CV13" s="40"/>
      <c r="CW13" s="44"/>
      <c r="CX13" s="36"/>
      <c r="CY13" s="566"/>
      <c r="CZ13" s="720"/>
      <c r="DA13" s="21"/>
      <c r="DB13" s="274"/>
      <c r="DC13" s="573"/>
      <c r="DD13" s="124"/>
      <c r="DE13" s="126"/>
      <c r="DF13" s="126"/>
      <c r="DG13" s="127"/>
      <c r="DH13" s="20"/>
      <c r="DI13" s="274"/>
      <c r="DJ13" s="720"/>
      <c r="DK13" s="40"/>
      <c r="DL13" s="44"/>
      <c r="DM13" s="36"/>
      <c r="DN13" s="20"/>
      <c r="DO13" s="274"/>
      <c r="DP13" s="720"/>
      <c r="DQ13" s="40"/>
      <c r="DR13" s="44"/>
      <c r="DS13" s="36"/>
      <c r="DT13" s="20"/>
      <c r="DU13" s="274"/>
      <c r="DV13" s="931"/>
      <c r="DW13" s="238"/>
      <c r="DX13" s="239"/>
      <c r="DY13" s="239"/>
      <c r="DZ13" s="240"/>
      <c r="EA13" s="20"/>
      <c r="EB13" s="274"/>
      <c r="EC13" s="720"/>
      <c r="ED13" s="40"/>
      <c r="EE13" s="44"/>
      <c r="EF13" s="36"/>
      <c r="EG13" s="20"/>
      <c r="EH13" s="274"/>
      <c r="EI13" s="720"/>
      <c r="EJ13" s="40"/>
      <c r="EK13" s="44"/>
      <c r="EL13" s="36"/>
      <c r="EM13" s="20"/>
      <c r="EN13" s="268"/>
    </row>
    <row r="14" spans="2:145" ht="16.5" thickBot="1" x14ac:dyDescent="0.25">
      <c r="B14" s="972"/>
      <c r="C14" s="33">
        <f>C13+1</f>
        <v>45897</v>
      </c>
      <c r="D14" s="1"/>
      <c r="E14" s="23"/>
      <c r="F14" s="526"/>
      <c r="G14" s="23"/>
      <c r="H14" s="1"/>
      <c r="I14" s="711"/>
      <c r="J14" s="682"/>
      <c r="K14" s="124"/>
      <c r="L14" s="126"/>
      <c r="M14" s="126"/>
      <c r="N14" s="127"/>
      <c r="O14" s="23"/>
      <c r="P14" s="711"/>
      <c r="Q14" s="682"/>
      <c r="R14" s="126"/>
      <c r="S14" s="682"/>
      <c r="T14" s="126"/>
      <c r="U14" s="124"/>
      <c r="V14" s="126"/>
      <c r="W14" s="23"/>
      <c r="X14" s="268"/>
      <c r="Y14" s="664"/>
      <c r="Z14" s="124"/>
      <c r="AA14" s="125"/>
      <c r="AB14" s="126"/>
      <c r="AC14" s="127"/>
      <c r="AD14" s="21"/>
      <c r="AE14" s="268"/>
      <c r="AF14" s="647"/>
      <c r="AG14" s="647"/>
      <c r="AH14" s="647"/>
      <c r="AI14" s="647"/>
      <c r="AJ14" s="124"/>
      <c r="AK14" s="125"/>
      <c r="AL14" s="126"/>
      <c r="AM14" s="127"/>
      <c r="AN14" s="21"/>
      <c r="AO14" s="274"/>
      <c r="AP14" s="682"/>
      <c r="AQ14" s="96"/>
      <c r="AR14" s="97"/>
      <c r="AS14" s="97"/>
      <c r="AT14" s="100"/>
      <c r="AU14" s="21"/>
      <c r="AV14" s="274"/>
      <c r="AW14" s="558"/>
      <c r="AX14" s="124"/>
      <c r="AY14" s="125"/>
      <c r="AZ14" s="126"/>
      <c r="BA14" s="127"/>
      <c r="BB14" s="21"/>
      <c r="BC14" s="563"/>
      <c r="BD14" s="124"/>
      <c r="BE14" s="126"/>
      <c r="BF14" s="127"/>
      <c r="BG14" s="21"/>
      <c r="BH14" s="268"/>
      <c r="BI14" s="563"/>
      <c r="BJ14" s="124"/>
      <c r="BK14" s="126"/>
      <c r="BL14" s="127"/>
      <c r="BM14" s="21"/>
      <c r="BN14" s="274"/>
      <c r="BO14" s="563"/>
      <c r="BP14" s="126"/>
      <c r="BQ14" s="595"/>
      <c r="BR14" s="124"/>
      <c r="BS14" s="126"/>
      <c r="BT14" s="127"/>
      <c r="BU14" s="21"/>
      <c r="BV14" s="268"/>
      <c r="BW14" s="664"/>
      <c r="BX14" s="124"/>
      <c r="BY14" s="126"/>
      <c r="BZ14" s="127"/>
      <c r="CA14" s="21"/>
      <c r="CB14" s="268"/>
      <c r="CC14" s="589"/>
      <c r="CD14" s="309"/>
      <c r="CE14" s="44"/>
      <c r="CF14" s="36"/>
      <c r="CG14" s="21"/>
      <c r="CH14" s="268"/>
      <c r="CI14" s="573"/>
      <c r="CJ14" s="126"/>
      <c r="CK14" s="126"/>
      <c r="CL14" s="127"/>
      <c r="CM14" s="21"/>
      <c r="CN14" s="274"/>
      <c r="CO14" s="760"/>
      <c r="CP14" s="40"/>
      <c r="CQ14" s="44"/>
      <c r="CR14" s="36"/>
      <c r="CS14" s="21"/>
      <c r="CT14" s="274"/>
      <c r="CU14" s="720"/>
      <c r="CV14" s="40"/>
      <c r="CW14" s="44"/>
      <c r="CX14" s="36"/>
      <c r="CY14" s="566"/>
      <c r="CZ14" s="720"/>
      <c r="DA14" s="21"/>
      <c r="DB14" s="274"/>
      <c r="DC14" s="573"/>
      <c r="DD14" s="124"/>
      <c r="DE14" s="126"/>
      <c r="DF14" s="126"/>
      <c r="DG14" s="127"/>
      <c r="DH14" s="20"/>
      <c r="DI14" s="274"/>
      <c r="DJ14" s="720"/>
      <c r="DK14" s="40"/>
      <c r="DL14" s="44"/>
      <c r="DM14" s="36"/>
      <c r="DN14" s="20"/>
      <c r="DO14" s="274"/>
      <c r="DP14" s="720"/>
      <c r="DQ14" s="40"/>
      <c r="DR14" s="44"/>
      <c r="DS14" s="36"/>
      <c r="DT14" s="20"/>
      <c r="DU14" s="274"/>
      <c r="DV14" s="931"/>
      <c r="DW14" s="238"/>
      <c r="DX14" s="239"/>
      <c r="DY14" s="239"/>
      <c r="DZ14" s="240"/>
      <c r="EA14" s="20"/>
      <c r="EB14" s="274"/>
      <c r="EC14" s="720"/>
      <c r="ED14" s="40"/>
      <c r="EE14" s="44"/>
      <c r="EF14" s="36"/>
      <c r="EG14" s="20"/>
      <c r="EH14" s="274"/>
      <c r="EI14" s="720"/>
      <c r="EJ14" s="40"/>
      <c r="EK14" s="44"/>
      <c r="EL14" s="36"/>
      <c r="EM14" s="20"/>
      <c r="EN14" s="268"/>
    </row>
    <row r="15" spans="2:145" ht="16.5" thickBot="1" x14ac:dyDescent="0.25">
      <c r="B15" s="972"/>
      <c r="C15" s="34">
        <f>C14+1</f>
        <v>45898</v>
      </c>
      <c r="D15" s="1"/>
      <c r="E15" s="23"/>
      <c r="F15" s="526"/>
      <c r="G15" s="23"/>
      <c r="H15" s="1"/>
      <c r="I15" s="711"/>
      <c r="J15" s="682"/>
      <c r="K15" s="111"/>
      <c r="L15" s="109"/>
      <c r="M15" s="109"/>
      <c r="N15" s="110"/>
      <c r="O15" s="23"/>
      <c r="P15" s="711"/>
      <c r="Q15" s="682"/>
      <c r="R15" s="109"/>
      <c r="S15" s="682"/>
      <c r="T15" s="109"/>
      <c r="U15" s="111"/>
      <c r="V15" s="109"/>
      <c r="W15" s="23"/>
      <c r="X15" s="268"/>
      <c r="Y15" s="664"/>
      <c r="Z15" s="111"/>
      <c r="AA15" s="144"/>
      <c r="AB15" s="109"/>
      <c r="AC15" s="110"/>
      <c r="AD15" s="21"/>
      <c r="AE15" s="268"/>
      <c r="AF15" s="647"/>
      <c r="AG15" s="647"/>
      <c r="AH15" s="647"/>
      <c r="AI15" s="647"/>
      <c r="AJ15" s="111"/>
      <c r="AK15" s="144"/>
      <c r="AL15" s="109"/>
      <c r="AM15" s="110"/>
      <c r="AN15" s="21"/>
      <c r="AO15" s="275"/>
      <c r="AP15" s="682"/>
      <c r="AQ15" s="98"/>
      <c r="AR15" s="99"/>
      <c r="AS15" s="99"/>
      <c r="AT15" s="101"/>
      <c r="AU15" s="21"/>
      <c r="AV15" s="275"/>
      <c r="AW15" s="558"/>
      <c r="AX15" s="111"/>
      <c r="AY15" s="144"/>
      <c r="AZ15" s="109"/>
      <c r="BA15" s="110"/>
      <c r="BB15" s="21"/>
      <c r="BC15" s="563"/>
      <c r="BD15" s="128"/>
      <c r="BE15" s="108"/>
      <c r="BF15" s="130"/>
      <c r="BG15" s="21"/>
      <c r="BH15" s="269"/>
      <c r="BI15" s="563"/>
      <c r="BJ15" s="128"/>
      <c r="BK15" s="108"/>
      <c r="BL15" s="130"/>
      <c r="BM15" s="21"/>
      <c r="BN15" s="275"/>
      <c r="BO15" s="563"/>
      <c r="BP15" s="108"/>
      <c r="BQ15" s="595"/>
      <c r="BR15" s="128"/>
      <c r="BS15" s="108"/>
      <c r="BT15" s="130"/>
      <c r="BU15" s="21"/>
      <c r="BV15" s="268"/>
      <c r="BW15" s="664"/>
      <c r="BX15" s="128"/>
      <c r="BY15" s="108"/>
      <c r="BZ15" s="130"/>
      <c r="CA15" s="21"/>
      <c r="CB15" s="268"/>
      <c r="CC15" s="589"/>
      <c r="CD15" s="311"/>
      <c r="CE15" s="59"/>
      <c r="CF15" s="64"/>
      <c r="CG15" s="21"/>
      <c r="CH15" s="268"/>
      <c r="CI15" s="573"/>
      <c r="CJ15" s="109"/>
      <c r="CK15" s="109"/>
      <c r="CL15" s="110"/>
      <c r="CM15" s="21"/>
      <c r="CN15" s="275"/>
      <c r="CO15" s="760"/>
      <c r="CP15" s="45"/>
      <c r="CQ15" s="59"/>
      <c r="CR15" s="64"/>
      <c r="CS15" s="21"/>
      <c r="CT15" s="274"/>
      <c r="CU15" s="720"/>
      <c r="CV15" s="45"/>
      <c r="CW15" s="59"/>
      <c r="CX15" s="64"/>
      <c r="CY15" s="566"/>
      <c r="CZ15" s="720"/>
      <c r="DA15" s="21"/>
      <c r="DB15" s="274"/>
      <c r="DC15" s="573"/>
      <c r="DD15" s="111"/>
      <c r="DE15" s="109"/>
      <c r="DF15" s="109"/>
      <c r="DG15" s="110"/>
      <c r="DH15" s="20"/>
      <c r="DI15" s="275"/>
      <c r="DJ15" s="720"/>
      <c r="DK15" s="45"/>
      <c r="DL15" s="59"/>
      <c r="DM15" s="64"/>
      <c r="DN15" s="20"/>
      <c r="DO15" s="268"/>
      <c r="DP15" s="720"/>
      <c r="DQ15" s="45"/>
      <c r="DR15" s="59"/>
      <c r="DS15" s="64"/>
      <c r="DT15" s="20"/>
      <c r="DU15" s="268"/>
      <c r="DV15" s="931"/>
      <c r="DW15" s="256"/>
      <c r="DX15" s="257"/>
      <c r="DY15" s="257"/>
      <c r="DZ15" s="258"/>
      <c r="EA15" s="20"/>
      <c r="EB15" s="275"/>
      <c r="EC15" s="720"/>
      <c r="ED15" s="45"/>
      <c r="EE15" s="59"/>
      <c r="EF15" s="64"/>
      <c r="EG15" s="20"/>
      <c r="EH15" s="268"/>
      <c r="EI15" s="720"/>
      <c r="EJ15" s="45"/>
      <c r="EK15" s="59"/>
      <c r="EL15" s="64"/>
      <c r="EM15" s="20"/>
      <c r="EN15" s="269"/>
    </row>
    <row r="16" spans="2:145" ht="30.75" customHeight="1" thickBot="1" x14ac:dyDescent="0.25">
      <c r="B16" s="972">
        <f>B11+1</f>
        <v>36</v>
      </c>
      <c r="C16" s="89">
        <f>C15+3</f>
        <v>45901</v>
      </c>
      <c r="D16" s="4"/>
      <c r="E16" s="24"/>
      <c r="F16" s="525"/>
      <c r="G16" s="24"/>
      <c r="H16" s="4"/>
      <c r="I16" s="711"/>
      <c r="J16" s="1015" t="s">
        <v>286</v>
      </c>
      <c r="K16" s="37"/>
      <c r="L16" s="58"/>
      <c r="M16" s="58"/>
      <c r="N16" s="306"/>
      <c r="O16" s="24"/>
      <c r="P16" s="711"/>
      <c r="Q16" s="1015" t="s">
        <v>380</v>
      </c>
      <c r="R16" s="58"/>
      <c r="S16" s="1015" t="s">
        <v>380</v>
      </c>
      <c r="T16" s="58"/>
      <c r="U16" s="37"/>
      <c r="V16" s="58"/>
      <c r="W16" s="24"/>
      <c r="X16" s="268"/>
      <c r="Y16" s="767" t="s">
        <v>255</v>
      </c>
      <c r="Z16" s="133"/>
      <c r="AA16" s="145"/>
      <c r="AB16" s="103"/>
      <c r="AC16" s="104"/>
      <c r="AD16" s="21"/>
      <c r="AE16" s="268"/>
      <c r="AF16" s="647"/>
      <c r="AG16" s="647"/>
      <c r="AH16" s="647"/>
      <c r="AI16" s="647"/>
      <c r="AJ16" s="133"/>
      <c r="AK16" s="145"/>
      <c r="AL16" s="103"/>
      <c r="AM16" s="104"/>
      <c r="AN16" s="21"/>
      <c r="AO16" s="710" t="s">
        <v>27</v>
      </c>
      <c r="AP16" s="683" t="s">
        <v>28</v>
      </c>
      <c r="AQ16" s="96"/>
      <c r="AR16" s="97"/>
      <c r="AS16" s="97"/>
      <c r="AT16" s="100"/>
      <c r="AU16" s="21"/>
      <c r="AV16" s="710" t="s">
        <v>27</v>
      </c>
      <c r="AW16" s="683" t="s">
        <v>28</v>
      </c>
      <c r="AX16" s="133"/>
      <c r="AY16" s="145"/>
      <c r="AZ16" s="103"/>
      <c r="BA16" s="104"/>
      <c r="BB16" s="21"/>
      <c r="BC16" s="683" t="s">
        <v>441</v>
      </c>
      <c r="BD16" s="117"/>
      <c r="BE16" s="119"/>
      <c r="BF16" s="299"/>
      <c r="BG16" s="21"/>
      <c r="BH16" s="710" t="s">
        <v>27</v>
      </c>
      <c r="BI16" s="563"/>
      <c r="BJ16" s="117"/>
      <c r="BK16" s="119"/>
      <c r="BL16" s="299"/>
      <c r="BM16" s="21"/>
      <c r="BN16" s="710" t="s">
        <v>27</v>
      </c>
      <c r="BO16" s="563"/>
      <c r="BP16" s="119"/>
      <c r="BQ16" s="595"/>
      <c r="BR16" s="117"/>
      <c r="BS16" s="119"/>
      <c r="BT16" s="299"/>
      <c r="BU16" s="21"/>
      <c r="BV16" s="268"/>
      <c r="BW16" s="664"/>
      <c r="BX16" s="117"/>
      <c r="BY16" s="119"/>
      <c r="BZ16" s="120"/>
      <c r="CA16" s="21"/>
      <c r="CB16" s="716" t="s">
        <v>45</v>
      </c>
      <c r="CC16" s="300" t="s">
        <v>39</v>
      </c>
      <c r="CD16" s="314"/>
      <c r="CE16" s="39"/>
      <c r="CF16" s="35"/>
      <c r="CG16" s="21"/>
      <c r="CH16" s="268"/>
      <c r="CI16" s="573"/>
      <c r="CJ16" s="103"/>
      <c r="CK16" s="103"/>
      <c r="CL16" s="104"/>
      <c r="CM16" s="21"/>
      <c r="CN16" s="707" t="s">
        <v>445</v>
      </c>
      <c r="CO16" s="760"/>
      <c r="CP16" s="61"/>
      <c r="CQ16" s="39"/>
      <c r="CR16" s="35"/>
      <c r="CS16" s="21"/>
      <c r="CT16" s="274"/>
      <c r="CU16" s="720"/>
      <c r="CV16" s="61"/>
      <c r="CW16" s="39"/>
      <c r="CX16" s="35"/>
      <c r="CY16" s="566"/>
      <c r="CZ16" s="720"/>
      <c r="DA16" s="21"/>
      <c r="DB16" s="274"/>
      <c r="DC16" s="573"/>
      <c r="DD16" s="133"/>
      <c r="DE16" s="103"/>
      <c r="DF16" s="103"/>
      <c r="DG16" s="104"/>
      <c r="DH16" s="20"/>
      <c r="DI16" s="707" t="s">
        <v>445</v>
      </c>
      <c r="DJ16" s="720"/>
      <c r="DK16" s="61"/>
      <c r="DL16" s="39"/>
      <c r="DM16" s="35"/>
      <c r="DN16" s="20"/>
      <c r="DO16" s="268"/>
      <c r="DP16" s="720"/>
      <c r="DQ16" s="61"/>
      <c r="DR16" s="39"/>
      <c r="DS16" s="35"/>
      <c r="DT16" s="20"/>
      <c r="DU16" s="268"/>
      <c r="DV16" s="931"/>
      <c r="DW16" s="253"/>
      <c r="DX16" s="254"/>
      <c r="DY16" s="254"/>
      <c r="DZ16" s="255"/>
      <c r="EA16" s="20"/>
      <c r="EB16" s="707" t="s">
        <v>445</v>
      </c>
      <c r="EC16" s="720"/>
      <c r="ED16" s="61"/>
      <c r="EE16" s="39"/>
      <c r="EF16" s="35"/>
      <c r="EG16" s="20"/>
      <c r="EH16" s="268"/>
      <c r="EI16" s="720"/>
      <c r="EJ16" s="61"/>
      <c r="EK16" s="39"/>
      <c r="EL16" s="35"/>
      <c r="EM16" s="20"/>
      <c r="EN16" s="710" t="s">
        <v>27</v>
      </c>
    </row>
    <row r="17" spans="2:144" ht="32.25" thickBot="1" x14ac:dyDescent="0.25">
      <c r="B17" s="972"/>
      <c r="C17" s="33">
        <f>C16+1</f>
        <v>45902</v>
      </c>
      <c r="D17" s="1"/>
      <c r="E17" s="23" t="s">
        <v>461</v>
      </c>
      <c r="F17" s="526"/>
      <c r="G17" s="23"/>
      <c r="H17" s="1"/>
      <c r="I17" s="711"/>
      <c r="J17" s="1016"/>
      <c r="K17" s="309"/>
      <c r="L17" s="310"/>
      <c r="M17" s="310"/>
      <c r="N17" s="307"/>
      <c r="O17" s="23"/>
      <c r="P17" s="711"/>
      <c r="Q17" s="1016"/>
      <c r="R17" s="310"/>
      <c r="S17" s="1016"/>
      <c r="T17" s="310"/>
      <c r="U17" s="309"/>
      <c r="V17" s="310"/>
      <c r="W17" s="23"/>
      <c r="X17" s="274"/>
      <c r="Y17" s="767"/>
      <c r="Z17" s="124"/>
      <c r="AA17" s="125"/>
      <c r="AB17" s="126"/>
      <c r="AC17" s="127"/>
      <c r="AD17" s="21"/>
      <c r="AE17" s="274"/>
      <c r="AF17" s="647"/>
      <c r="AG17" s="647"/>
      <c r="AH17" s="647"/>
      <c r="AI17" s="647"/>
      <c r="AJ17" s="124"/>
      <c r="AK17" s="125"/>
      <c r="AL17" s="126"/>
      <c r="AM17" s="127"/>
      <c r="AN17" s="21"/>
      <c r="AO17" s="711"/>
      <c r="AP17" s="683"/>
      <c r="AQ17" s="96"/>
      <c r="AR17" s="97"/>
      <c r="AS17" s="97"/>
      <c r="AT17" s="100"/>
      <c r="AU17" s="21"/>
      <c r="AV17" s="711"/>
      <c r="AW17" s="683"/>
      <c r="AX17" s="124"/>
      <c r="AY17" s="125"/>
      <c r="AZ17" s="126"/>
      <c r="BA17" s="127"/>
      <c r="BB17" s="21"/>
      <c r="BC17" s="683"/>
      <c r="BD17" s="121"/>
      <c r="BE17" s="107"/>
      <c r="BF17" s="123"/>
      <c r="BG17" s="21"/>
      <c r="BH17" s="711"/>
      <c r="BI17" s="563"/>
      <c r="BJ17" s="121"/>
      <c r="BK17" s="107"/>
      <c r="BL17" s="123"/>
      <c r="BM17" s="21"/>
      <c r="BN17" s="711"/>
      <c r="BO17" s="563"/>
      <c r="BP17" s="107"/>
      <c r="BQ17" s="595"/>
      <c r="BR17" s="121"/>
      <c r="BS17" s="107"/>
      <c r="BT17" s="123"/>
      <c r="BU17" s="21"/>
      <c r="BV17" s="274"/>
      <c r="BW17" s="664"/>
      <c r="BX17" s="121"/>
      <c r="BY17" s="107"/>
      <c r="BZ17" s="123"/>
      <c r="CA17" s="21"/>
      <c r="CB17" s="717"/>
      <c r="CC17" s="719" t="s">
        <v>26</v>
      </c>
      <c r="CD17" s="309"/>
      <c r="CE17" s="44"/>
      <c r="CF17" s="36"/>
      <c r="CG17" s="21"/>
      <c r="CH17" s="268"/>
      <c r="CI17" s="573"/>
      <c r="CJ17" s="126"/>
      <c r="CK17" s="126"/>
      <c r="CL17" s="127"/>
      <c r="CM17" s="21"/>
      <c r="CN17" s="711"/>
      <c r="CO17" s="760"/>
      <c r="CP17" s="40"/>
      <c r="CQ17" s="44"/>
      <c r="CR17" s="36"/>
      <c r="CS17" s="21"/>
      <c r="CT17" s="268"/>
      <c r="CU17" s="720"/>
      <c r="CV17" s="40"/>
      <c r="CW17" s="44"/>
      <c r="CX17" s="36"/>
      <c r="CY17" s="566"/>
      <c r="CZ17" s="720"/>
      <c r="DA17" s="21"/>
      <c r="DB17" s="274"/>
      <c r="DC17" s="573"/>
      <c r="DD17" s="124"/>
      <c r="DE17" s="126"/>
      <c r="DF17" s="126"/>
      <c r="DG17" s="127"/>
      <c r="DH17" s="20"/>
      <c r="DI17" s="711"/>
      <c r="DJ17" s="720"/>
      <c r="DK17" s="40"/>
      <c r="DL17" s="44"/>
      <c r="DM17" s="36"/>
      <c r="DN17" s="20"/>
      <c r="DO17" s="268"/>
      <c r="DP17" s="720"/>
      <c r="DQ17" s="40"/>
      <c r="DR17" s="44"/>
      <c r="DS17" s="36"/>
      <c r="DT17" s="20"/>
      <c r="DU17" s="268"/>
      <c r="DV17" s="931"/>
      <c r="DW17" s="238"/>
      <c r="DX17" s="239"/>
      <c r="DY17" s="239"/>
      <c r="DZ17" s="240"/>
      <c r="EA17" s="20"/>
      <c r="EB17" s="711"/>
      <c r="EC17" s="720"/>
      <c r="ED17" s="40"/>
      <c r="EE17" s="44"/>
      <c r="EF17" s="36"/>
      <c r="EG17" s="20"/>
      <c r="EH17" s="268"/>
      <c r="EI17" s="720"/>
      <c r="EJ17" s="40"/>
      <c r="EK17" s="44"/>
      <c r="EL17" s="36"/>
      <c r="EM17" s="20"/>
      <c r="EN17" s="711"/>
    </row>
    <row r="18" spans="2:144" ht="16.5" thickBot="1" x14ac:dyDescent="0.25">
      <c r="B18" s="972"/>
      <c r="C18" s="33">
        <f>C17+1</f>
        <v>45903</v>
      </c>
      <c r="D18" s="1"/>
      <c r="E18" s="23"/>
      <c r="F18" s="526"/>
      <c r="G18" s="23"/>
      <c r="H18" s="1"/>
      <c r="I18" s="711"/>
      <c r="J18" s="1016"/>
      <c r="K18" s="309"/>
      <c r="L18" s="310"/>
      <c r="M18" s="310"/>
      <c r="N18" s="307"/>
      <c r="O18" s="23"/>
      <c r="P18" s="711"/>
      <c r="Q18" s="1016"/>
      <c r="R18" s="310"/>
      <c r="S18" s="1016"/>
      <c r="T18" s="310"/>
      <c r="U18" s="309"/>
      <c r="V18" s="310"/>
      <c r="W18" s="23"/>
      <c r="X18" s="274"/>
      <c r="Y18" s="767"/>
      <c r="Z18" s="124"/>
      <c r="AA18" s="125"/>
      <c r="AB18" s="126"/>
      <c r="AC18" s="127"/>
      <c r="AD18" s="21"/>
      <c r="AE18" s="274"/>
      <c r="AF18" s="647"/>
      <c r="AG18" s="647"/>
      <c r="AH18" s="647"/>
      <c r="AI18" s="647"/>
      <c r="AJ18" s="124"/>
      <c r="AK18" s="125"/>
      <c r="AL18" s="126"/>
      <c r="AM18" s="127"/>
      <c r="AN18" s="21"/>
      <c r="AO18" s="711"/>
      <c r="AP18" s="683"/>
      <c r="AQ18" s="96"/>
      <c r="AR18" s="97"/>
      <c r="AS18" s="97"/>
      <c r="AT18" s="100"/>
      <c r="AU18" s="21"/>
      <c r="AV18" s="711"/>
      <c r="AW18" s="683"/>
      <c r="AX18" s="124"/>
      <c r="AY18" s="125"/>
      <c r="AZ18" s="126"/>
      <c r="BA18" s="127"/>
      <c r="BB18" s="21"/>
      <c r="BC18" s="683"/>
      <c r="BD18" s="124"/>
      <c r="BE18" s="126"/>
      <c r="BF18" s="127"/>
      <c r="BG18" s="21"/>
      <c r="BH18" s="711"/>
      <c r="BI18" s="563"/>
      <c r="BJ18" s="124"/>
      <c r="BK18" s="126"/>
      <c r="BL18" s="127"/>
      <c r="BM18" s="21"/>
      <c r="BN18" s="711"/>
      <c r="BO18" s="563"/>
      <c r="BP18" s="126"/>
      <c r="BQ18" s="595"/>
      <c r="BR18" s="124"/>
      <c r="BS18" s="126"/>
      <c r="BT18" s="127"/>
      <c r="BU18" s="21"/>
      <c r="BV18" s="274"/>
      <c r="BW18" s="664"/>
      <c r="BX18" s="124"/>
      <c r="BY18" s="126"/>
      <c r="BZ18" s="127"/>
      <c r="CA18" s="21"/>
      <c r="CB18" s="717"/>
      <c r="CC18" s="720"/>
      <c r="CD18" s="309"/>
      <c r="CE18" s="44"/>
      <c r="CF18" s="36"/>
      <c r="CG18" s="21"/>
      <c r="CH18" s="268"/>
      <c r="CI18" s="573"/>
      <c r="CJ18" s="126"/>
      <c r="CK18" s="126"/>
      <c r="CL18" s="127"/>
      <c r="CM18" s="21"/>
      <c r="CN18" s="711"/>
      <c r="CO18" s="760"/>
      <c r="CP18" s="40"/>
      <c r="CQ18" s="44"/>
      <c r="CR18" s="36"/>
      <c r="CS18" s="21"/>
      <c r="CT18" s="268"/>
      <c r="CU18" s="720"/>
      <c r="CV18" s="40"/>
      <c r="CW18" s="44"/>
      <c r="CX18" s="36"/>
      <c r="CY18" s="566"/>
      <c r="CZ18" s="720"/>
      <c r="DA18" s="21"/>
      <c r="DB18" s="274"/>
      <c r="DC18" s="573"/>
      <c r="DD18" s="124"/>
      <c r="DE18" s="126"/>
      <c r="DF18" s="126"/>
      <c r="DG18" s="127"/>
      <c r="DH18" s="20"/>
      <c r="DI18" s="711"/>
      <c r="DJ18" s="720"/>
      <c r="DK18" s="40"/>
      <c r="DL18" s="44"/>
      <c r="DM18" s="36"/>
      <c r="DN18" s="20"/>
      <c r="DO18" s="268"/>
      <c r="DP18" s="720"/>
      <c r="DQ18" s="40"/>
      <c r="DR18" s="44"/>
      <c r="DS18" s="36"/>
      <c r="DT18" s="20"/>
      <c r="DU18" s="268"/>
      <c r="DV18" s="931"/>
      <c r="DW18" s="238"/>
      <c r="DX18" s="239"/>
      <c r="DY18" s="239"/>
      <c r="DZ18" s="240"/>
      <c r="EA18" s="20"/>
      <c r="EB18" s="711"/>
      <c r="EC18" s="720"/>
      <c r="ED18" s="40"/>
      <c r="EE18" s="44"/>
      <c r="EF18" s="36"/>
      <c r="EG18" s="20"/>
      <c r="EH18" s="268"/>
      <c r="EI18" s="720"/>
      <c r="EJ18" s="40"/>
      <c r="EK18" s="44"/>
      <c r="EL18" s="36"/>
      <c r="EM18" s="20"/>
      <c r="EN18" s="711"/>
    </row>
    <row r="19" spans="2:144" ht="16.5" thickBot="1" x14ac:dyDescent="0.25">
      <c r="B19" s="972"/>
      <c r="C19" s="33">
        <f>C18+1</f>
        <v>45904</v>
      </c>
      <c r="D19" s="1"/>
      <c r="E19" s="23"/>
      <c r="F19" s="526"/>
      <c r="G19" s="23"/>
      <c r="H19" s="1"/>
      <c r="I19" s="711"/>
      <c r="J19" s="1016"/>
      <c r="K19" s="309"/>
      <c r="L19" s="310"/>
      <c r="M19" s="310"/>
      <c r="N19" s="307"/>
      <c r="O19" s="23"/>
      <c r="P19" s="711"/>
      <c r="Q19" s="1016"/>
      <c r="R19" s="310"/>
      <c r="S19" s="1016"/>
      <c r="T19" s="310"/>
      <c r="U19" s="309"/>
      <c r="V19" s="310"/>
      <c r="W19" s="23"/>
      <c r="X19" s="274"/>
      <c r="Y19" s="767"/>
      <c r="Z19" s="124"/>
      <c r="AA19" s="125"/>
      <c r="AB19" s="126"/>
      <c r="AC19" s="127"/>
      <c r="AD19" s="21"/>
      <c r="AE19" s="274"/>
      <c r="AF19" s="647"/>
      <c r="AG19" s="647"/>
      <c r="AH19" s="647"/>
      <c r="AI19" s="647"/>
      <c r="AJ19" s="124"/>
      <c r="AK19" s="125"/>
      <c r="AL19" s="126"/>
      <c r="AM19" s="127"/>
      <c r="AN19" s="21"/>
      <c r="AO19" s="711"/>
      <c r="AP19" s="683"/>
      <c r="AQ19" s="96"/>
      <c r="AR19" s="97"/>
      <c r="AS19" s="97"/>
      <c r="AT19" s="100"/>
      <c r="AU19" s="21"/>
      <c r="AV19" s="711"/>
      <c r="AW19" s="683"/>
      <c r="AX19" s="124"/>
      <c r="AY19" s="125"/>
      <c r="AZ19" s="126"/>
      <c r="BA19" s="127"/>
      <c r="BB19" s="21"/>
      <c r="BC19" s="683"/>
      <c r="BD19" s="124"/>
      <c r="BE19" s="126"/>
      <c r="BF19" s="127"/>
      <c r="BG19" s="21"/>
      <c r="BH19" s="711"/>
      <c r="BI19" s="563"/>
      <c r="BJ19" s="124"/>
      <c r="BK19" s="126"/>
      <c r="BL19" s="127"/>
      <c r="BM19" s="21"/>
      <c r="BN19" s="711"/>
      <c r="BO19" s="563"/>
      <c r="BP19" s="126"/>
      <c r="BQ19" s="595"/>
      <c r="BR19" s="124"/>
      <c r="BS19" s="126"/>
      <c r="BT19" s="127"/>
      <c r="BU19" s="21"/>
      <c r="BV19" s="274"/>
      <c r="BW19" s="664"/>
      <c r="BX19" s="124"/>
      <c r="BY19" s="126"/>
      <c r="BZ19" s="127"/>
      <c r="CA19" s="21"/>
      <c r="CB19" s="717"/>
      <c r="CC19" s="720"/>
      <c r="CD19" s="309"/>
      <c r="CE19" s="44"/>
      <c r="CF19" s="36"/>
      <c r="CG19" s="21"/>
      <c r="CH19" s="268"/>
      <c r="CI19" s="573"/>
      <c r="CJ19" s="126"/>
      <c r="CK19" s="126"/>
      <c r="CL19" s="127"/>
      <c r="CM19" s="21"/>
      <c r="CN19" s="711"/>
      <c r="CO19" s="760"/>
      <c r="CP19" s="40"/>
      <c r="CQ19" s="44"/>
      <c r="CR19" s="36"/>
      <c r="CS19" s="21"/>
      <c r="CT19" s="268"/>
      <c r="CU19" s="720"/>
      <c r="CV19" s="40"/>
      <c r="CW19" s="44"/>
      <c r="CX19" s="36"/>
      <c r="CY19" s="566"/>
      <c r="CZ19" s="720"/>
      <c r="DA19" s="21"/>
      <c r="DB19" s="274"/>
      <c r="DC19" s="573"/>
      <c r="DD19" s="124"/>
      <c r="DE19" s="126"/>
      <c r="DF19" s="126"/>
      <c r="DG19" s="127"/>
      <c r="DH19" s="20"/>
      <c r="DI19" s="711"/>
      <c r="DJ19" s="720"/>
      <c r="DK19" s="40"/>
      <c r="DL19" s="44"/>
      <c r="DM19" s="36"/>
      <c r="DN19" s="20"/>
      <c r="DO19" s="268"/>
      <c r="DP19" s="720"/>
      <c r="DQ19" s="40"/>
      <c r="DR19" s="44"/>
      <c r="DS19" s="36"/>
      <c r="DT19" s="20"/>
      <c r="DU19" s="268"/>
      <c r="DV19" s="931"/>
      <c r="DW19" s="238"/>
      <c r="DX19" s="239"/>
      <c r="DY19" s="239"/>
      <c r="DZ19" s="240"/>
      <c r="EA19" s="20"/>
      <c r="EB19" s="711"/>
      <c r="EC19" s="720"/>
      <c r="ED19" s="40"/>
      <c r="EE19" s="44"/>
      <c r="EF19" s="36"/>
      <c r="EG19" s="20"/>
      <c r="EH19" s="268"/>
      <c r="EI19" s="720"/>
      <c r="EJ19" s="40"/>
      <c r="EK19" s="44"/>
      <c r="EL19" s="36"/>
      <c r="EM19" s="20"/>
      <c r="EN19" s="711"/>
    </row>
    <row r="20" spans="2:144" ht="16.5" thickBot="1" x14ac:dyDescent="0.25">
      <c r="B20" s="972"/>
      <c r="C20" s="34">
        <f>C19+1</f>
        <v>45905</v>
      </c>
      <c r="D20" s="1"/>
      <c r="E20" s="23"/>
      <c r="F20" s="526"/>
      <c r="G20" s="23"/>
      <c r="H20" s="1"/>
      <c r="I20" s="712"/>
      <c r="J20" s="1017"/>
      <c r="K20" s="311"/>
      <c r="L20" s="313"/>
      <c r="M20" s="313"/>
      <c r="N20" s="315"/>
      <c r="O20" s="23"/>
      <c r="P20" s="712"/>
      <c r="Q20" s="1017"/>
      <c r="R20" s="313"/>
      <c r="S20" s="1017"/>
      <c r="T20" s="313"/>
      <c r="U20" s="311"/>
      <c r="V20" s="313"/>
      <c r="W20" s="23"/>
      <c r="X20" s="275"/>
      <c r="Y20" s="767"/>
      <c r="Z20" s="111"/>
      <c r="AA20" s="144"/>
      <c r="AB20" s="109"/>
      <c r="AC20" s="110"/>
      <c r="AD20" s="21"/>
      <c r="AE20" s="275"/>
      <c r="AF20" s="647"/>
      <c r="AG20" s="647"/>
      <c r="AH20" s="647"/>
      <c r="AI20" s="647"/>
      <c r="AJ20" s="111"/>
      <c r="AK20" s="144"/>
      <c r="AL20" s="109"/>
      <c r="AM20" s="110"/>
      <c r="AN20" s="21"/>
      <c r="AO20" s="711"/>
      <c r="AP20" s="683"/>
      <c r="AQ20" s="98"/>
      <c r="AR20" s="99"/>
      <c r="AS20" s="99"/>
      <c r="AT20" s="101"/>
      <c r="AU20" s="21"/>
      <c r="AV20" s="711"/>
      <c r="AW20" s="683"/>
      <c r="AX20" s="111"/>
      <c r="AY20" s="144"/>
      <c r="AZ20" s="109"/>
      <c r="BA20" s="110"/>
      <c r="BB20" s="21"/>
      <c r="BC20" s="683"/>
      <c r="BD20" s="128"/>
      <c r="BE20" s="108"/>
      <c r="BF20" s="130"/>
      <c r="BG20" s="21"/>
      <c r="BH20" s="711"/>
      <c r="BI20" s="563"/>
      <c r="BJ20" s="128"/>
      <c r="BK20" s="108"/>
      <c r="BL20" s="130"/>
      <c r="BM20" s="21"/>
      <c r="BN20" s="711"/>
      <c r="BO20" s="563"/>
      <c r="BP20" s="108"/>
      <c r="BQ20" s="595"/>
      <c r="BR20" s="128"/>
      <c r="BS20" s="108"/>
      <c r="BT20" s="130"/>
      <c r="BU20" s="21"/>
      <c r="BV20" s="275"/>
      <c r="BW20" s="664"/>
      <c r="BX20" s="128"/>
      <c r="BY20" s="108"/>
      <c r="BZ20" s="130"/>
      <c r="CA20" s="21"/>
      <c r="CB20" s="717"/>
      <c r="CC20" s="720"/>
      <c r="CD20" s="311"/>
      <c r="CE20" s="59"/>
      <c r="CF20" s="64"/>
      <c r="CG20" s="21"/>
      <c r="CH20" s="268"/>
      <c r="CI20" s="573"/>
      <c r="CJ20" s="109"/>
      <c r="CK20" s="109"/>
      <c r="CL20" s="110"/>
      <c r="CM20" s="21"/>
      <c r="CN20" s="712"/>
      <c r="CO20" s="760"/>
      <c r="CP20" s="45"/>
      <c r="CQ20" s="59"/>
      <c r="CR20" s="64"/>
      <c r="CS20" s="21"/>
      <c r="CT20" s="268"/>
      <c r="CU20" s="720"/>
      <c r="CV20" s="45"/>
      <c r="CW20" s="59"/>
      <c r="CX20" s="64"/>
      <c r="CY20" s="566"/>
      <c r="CZ20" s="720"/>
      <c r="DA20" s="21"/>
      <c r="DB20" s="274"/>
      <c r="DC20" s="573"/>
      <c r="DD20" s="111"/>
      <c r="DE20" s="109"/>
      <c r="DF20" s="109"/>
      <c r="DG20" s="110"/>
      <c r="DH20" s="20"/>
      <c r="DI20" s="712"/>
      <c r="DJ20" s="720"/>
      <c r="DK20" s="45"/>
      <c r="DL20" s="59"/>
      <c r="DM20" s="64"/>
      <c r="DN20" s="20"/>
      <c r="DO20" s="268"/>
      <c r="DP20" s="720"/>
      <c r="DQ20" s="45"/>
      <c r="DR20" s="59"/>
      <c r="DS20" s="64"/>
      <c r="DT20" s="20"/>
      <c r="DU20" s="268"/>
      <c r="DV20" s="931"/>
      <c r="DW20" s="256"/>
      <c r="DX20" s="257"/>
      <c r="DY20" s="257"/>
      <c r="DZ20" s="258"/>
      <c r="EA20" s="20"/>
      <c r="EB20" s="712"/>
      <c r="EC20" s="720"/>
      <c r="ED20" s="45"/>
      <c r="EE20" s="59"/>
      <c r="EF20" s="64"/>
      <c r="EG20" s="20"/>
      <c r="EH20" s="268"/>
      <c r="EI20" s="720"/>
      <c r="EJ20" s="45"/>
      <c r="EK20" s="59"/>
      <c r="EL20" s="64"/>
      <c r="EM20" s="20"/>
      <c r="EN20" s="711"/>
    </row>
    <row r="21" spans="2:144" ht="16.5" customHeight="1" thickBot="1" x14ac:dyDescent="0.25">
      <c r="B21" s="972">
        <f>B16+1</f>
        <v>37</v>
      </c>
      <c r="C21" s="89">
        <f>C16+7</f>
        <v>45908</v>
      </c>
      <c r="D21" s="4"/>
      <c r="E21" s="24"/>
      <c r="F21" s="525"/>
      <c r="G21" s="24"/>
      <c r="H21" s="4"/>
      <c r="I21" s="707" t="s">
        <v>29</v>
      </c>
      <c r="J21" s="756" t="s">
        <v>428</v>
      </c>
      <c r="K21" s="37"/>
      <c r="L21" s="58"/>
      <c r="M21" s="39"/>
      <c r="N21" s="722" t="s">
        <v>391</v>
      </c>
      <c r="O21" s="24"/>
      <c r="P21" s="707" t="s">
        <v>29</v>
      </c>
      <c r="Q21" s="756" t="s">
        <v>428</v>
      </c>
      <c r="R21" s="722" t="s">
        <v>391</v>
      </c>
      <c r="S21" s="756" t="s">
        <v>428</v>
      </c>
      <c r="T21" s="722" t="s">
        <v>391</v>
      </c>
      <c r="U21" s="37"/>
      <c r="V21" s="58"/>
      <c r="W21" s="24"/>
      <c r="X21" s="710" t="s">
        <v>27</v>
      </c>
      <c r="Y21" s="767"/>
      <c r="Z21" s="158"/>
      <c r="AA21" s="159"/>
      <c r="AB21" s="160"/>
      <c r="AC21" s="104"/>
      <c r="AD21" s="21"/>
      <c r="AE21" s="710" t="s">
        <v>27</v>
      </c>
      <c r="AF21" s="647"/>
      <c r="AG21" s="647"/>
      <c r="AH21" s="647"/>
      <c r="AI21" s="647"/>
      <c r="AJ21" s="158"/>
      <c r="AK21" s="159"/>
      <c r="AL21" s="160"/>
      <c r="AM21" s="104"/>
      <c r="AN21" s="21"/>
      <c r="AO21" s="711"/>
      <c r="AP21" s="682"/>
      <c r="AQ21" s="94"/>
      <c r="AR21" s="95"/>
      <c r="AS21" s="95"/>
      <c r="AT21" s="102"/>
      <c r="AU21" s="21"/>
      <c r="AV21" s="711"/>
      <c r="AW21" s="558"/>
      <c r="AX21" s="158"/>
      <c r="AY21" s="159"/>
      <c r="AZ21" s="160"/>
      <c r="BA21" s="104"/>
      <c r="BB21" s="21"/>
      <c r="BC21" s="563"/>
      <c r="BD21" s="117"/>
      <c r="BE21" s="119"/>
      <c r="BF21" s="299"/>
      <c r="BG21" s="21"/>
      <c r="BH21" s="711"/>
      <c r="BI21" s="563"/>
      <c r="BJ21" s="117"/>
      <c r="BK21" s="119"/>
      <c r="BL21" s="299"/>
      <c r="BM21" s="21"/>
      <c r="BN21" s="711"/>
      <c r="BO21" s="563"/>
      <c r="BP21" s="119"/>
      <c r="BQ21" s="595"/>
      <c r="BR21" s="117"/>
      <c r="BS21" s="119"/>
      <c r="BT21" s="299"/>
      <c r="BU21" s="21"/>
      <c r="BV21" s="710" t="s">
        <v>27</v>
      </c>
      <c r="BW21" s="664"/>
      <c r="BX21" s="117"/>
      <c r="BY21" s="119"/>
      <c r="BZ21" s="120"/>
      <c r="CA21" s="21"/>
      <c r="CB21" s="717"/>
      <c r="CC21" s="720"/>
      <c r="CD21" s="314"/>
      <c r="CE21" s="39"/>
      <c r="CF21" s="35"/>
      <c r="CG21" s="21"/>
      <c r="CH21" s="268"/>
      <c r="CI21" s="573"/>
      <c r="CJ21" s="103"/>
      <c r="CK21" s="103"/>
      <c r="CL21" s="104"/>
      <c r="CM21" s="21"/>
      <c r="CN21" s="273"/>
      <c r="CO21" s="760"/>
      <c r="CP21" s="61"/>
      <c r="CQ21" s="39"/>
      <c r="CR21" s="35"/>
      <c r="CS21" s="21"/>
      <c r="CT21" s="268"/>
      <c r="CU21" s="720"/>
      <c r="CV21" s="61"/>
      <c r="CW21" s="39"/>
      <c r="CX21" s="35"/>
      <c r="CY21" s="566"/>
      <c r="CZ21" s="720"/>
      <c r="DA21" s="21"/>
      <c r="DB21" s="274"/>
      <c r="DC21" s="573"/>
      <c r="DD21" s="133"/>
      <c r="DE21" s="103"/>
      <c r="DF21" s="103"/>
      <c r="DG21" s="104"/>
      <c r="DH21" s="20"/>
      <c r="DI21" s="273"/>
      <c r="DJ21" s="720"/>
      <c r="DK21" s="61"/>
      <c r="DL21" s="39"/>
      <c r="DM21" s="35"/>
      <c r="DN21" s="20"/>
      <c r="DO21" s="268"/>
      <c r="DP21" s="720"/>
      <c r="DQ21" s="61"/>
      <c r="DR21" s="39"/>
      <c r="DS21" s="35"/>
      <c r="DT21" s="20"/>
      <c r="DU21" s="707" t="s">
        <v>25</v>
      </c>
      <c r="DV21" s="931"/>
      <c r="DW21" s="253"/>
      <c r="DX21" s="254"/>
      <c r="DY21" s="254"/>
      <c r="DZ21" s="255"/>
      <c r="EA21" s="20"/>
      <c r="EB21" s="273"/>
      <c r="EC21" s="720"/>
      <c r="ED21" s="61"/>
      <c r="EE21" s="39"/>
      <c r="EF21" s="35"/>
      <c r="EG21" s="20"/>
      <c r="EH21" s="268"/>
      <c r="EI21" s="720"/>
      <c r="EJ21" s="61"/>
      <c r="EK21" s="39"/>
      <c r="EL21" s="35"/>
      <c r="EM21" s="20"/>
      <c r="EN21" s="711"/>
    </row>
    <row r="22" spans="2:144" ht="16.5" thickBot="1" x14ac:dyDescent="0.25">
      <c r="B22" s="972"/>
      <c r="C22" s="33">
        <f>C21+1</f>
        <v>45909</v>
      </c>
      <c r="D22" s="1"/>
      <c r="E22" s="24"/>
      <c r="F22" s="525"/>
      <c r="G22" s="24"/>
      <c r="H22" s="1"/>
      <c r="I22" s="708"/>
      <c r="J22" s="756"/>
      <c r="K22" s="40"/>
      <c r="L22" s="44"/>
      <c r="M22" s="42"/>
      <c r="N22" s="723"/>
      <c r="O22" s="23"/>
      <c r="P22" s="708"/>
      <c r="Q22" s="756"/>
      <c r="R22" s="723"/>
      <c r="S22" s="756"/>
      <c r="T22" s="723"/>
      <c r="U22" s="309"/>
      <c r="V22" s="310"/>
      <c r="W22" s="23"/>
      <c r="X22" s="711"/>
      <c r="Y22" s="767"/>
      <c r="Z22" s="124"/>
      <c r="AA22" s="125"/>
      <c r="AB22" s="126"/>
      <c r="AC22" s="143"/>
      <c r="AD22" s="21"/>
      <c r="AE22" s="711"/>
      <c r="AF22" s="647"/>
      <c r="AG22" s="647"/>
      <c r="AH22" s="647"/>
      <c r="AI22" s="647"/>
      <c r="AJ22" s="124"/>
      <c r="AK22" s="125"/>
      <c r="AL22" s="126"/>
      <c r="AM22" s="143"/>
      <c r="AN22" s="21"/>
      <c r="AO22" s="711"/>
      <c r="AP22" s="682"/>
      <c r="AQ22" s="96"/>
      <c r="AR22" s="97"/>
      <c r="AS22" s="97"/>
      <c r="AT22" s="100"/>
      <c r="AU22" s="21"/>
      <c r="AV22" s="711"/>
      <c r="AW22" s="558"/>
      <c r="AX22" s="124"/>
      <c r="AY22" s="125"/>
      <c r="AZ22" s="126"/>
      <c r="BA22" s="143"/>
      <c r="BB22" s="21"/>
      <c r="BC22" s="563"/>
      <c r="BD22" s="121"/>
      <c r="BE22" s="107"/>
      <c r="BF22" s="123"/>
      <c r="BG22" s="21"/>
      <c r="BH22" s="711"/>
      <c r="BI22" s="563"/>
      <c r="BJ22" s="121"/>
      <c r="BK22" s="107"/>
      <c r="BL22" s="123"/>
      <c r="BM22" s="21"/>
      <c r="BN22" s="711"/>
      <c r="BO22" s="563"/>
      <c r="BP22" s="107"/>
      <c r="BQ22" s="595"/>
      <c r="BR22" s="121"/>
      <c r="BS22" s="107"/>
      <c r="BT22" s="123"/>
      <c r="BU22" s="21"/>
      <c r="BV22" s="711"/>
      <c r="BW22" s="664"/>
      <c r="BX22" s="121"/>
      <c r="BY22" s="107"/>
      <c r="BZ22" s="123"/>
      <c r="CA22" s="21"/>
      <c r="CB22" s="717"/>
      <c r="CC22" s="720"/>
      <c r="CD22" s="309"/>
      <c r="CE22" s="44"/>
      <c r="CF22" s="36"/>
      <c r="CG22" s="21"/>
      <c r="CH22" s="268"/>
      <c r="CI22" s="573"/>
      <c r="CJ22" s="126"/>
      <c r="CK22" s="126"/>
      <c r="CL22" s="127"/>
      <c r="CM22" s="21"/>
      <c r="CN22" s="268"/>
      <c r="CO22" s="760"/>
      <c r="CP22" s="40"/>
      <c r="CQ22" s="44"/>
      <c r="CR22" s="36"/>
      <c r="CS22" s="21"/>
      <c r="CT22" s="268"/>
      <c r="CU22" s="720"/>
      <c r="CV22" s="40"/>
      <c r="CW22" s="44"/>
      <c r="CX22" s="36"/>
      <c r="CY22" s="566"/>
      <c r="CZ22" s="720"/>
      <c r="DA22" s="21"/>
      <c r="DB22" s="274"/>
      <c r="DC22" s="573"/>
      <c r="DD22" s="124"/>
      <c r="DE22" s="126"/>
      <c r="DF22" s="126"/>
      <c r="DG22" s="127"/>
      <c r="DH22" s="20"/>
      <c r="DI22" s="268"/>
      <c r="DJ22" s="720"/>
      <c r="DK22" s="40"/>
      <c r="DL22" s="44"/>
      <c r="DM22" s="36"/>
      <c r="DN22" s="20"/>
      <c r="DO22" s="268"/>
      <c r="DP22" s="720"/>
      <c r="DQ22" s="40"/>
      <c r="DR22" s="44"/>
      <c r="DS22" s="36"/>
      <c r="DT22" s="20"/>
      <c r="DU22" s="708"/>
      <c r="DV22" s="931"/>
      <c r="DW22" s="238"/>
      <c r="DX22" s="239"/>
      <c r="DY22" s="239"/>
      <c r="DZ22" s="240"/>
      <c r="EA22" s="20"/>
      <c r="EB22" s="268"/>
      <c r="EC22" s="720"/>
      <c r="ED22" s="40"/>
      <c r="EE22" s="44"/>
      <c r="EF22" s="36"/>
      <c r="EG22" s="20"/>
      <c r="EH22" s="268"/>
      <c r="EI22" s="720"/>
      <c r="EJ22" s="40"/>
      <c r="EK22" s="44"/>
      <c r="EL22" s="36"/>
      <c r="EM22" s="20"/>
      <c r="EN22" s="711"/>
    </row>
    <row r="23" spans="2:144" ht="16.5" thickBot="1" x14ac:dyDescent="0.25">
      <c r="B23" s="972"/>
      <c r="C23" s="33">
        <f>C22+1</f>
        <v>45910</v>
      </c>
      <c r="D23" s="1"/>
      <c r="E23" s="24"/>
      <c r="F23" s="525"/>
      <c r="G23" s="24"/>
      <c r="H23" s="1"/>
      <c r="I23" s="708"/>
      <c r="J23" s="756"/>
      <c r="K23" s="40"/>
      <c r="L23" s="44"/>
      <c r="M23" s="44"/>
      <c r="N23" s="723"/>
      <c r="O23" s="23"/>
      <c r="P23" s="708"/>
      <c r="Q23" s="756"/>
      <c r="R23" s="723"/>
      <c r="S23" s="756"/>
      <c r="T23" s="723"/>
      <c r="U23" s="309"/>
      <c r="V23" s="310"/>
      <c r="W23" s="23"/>
      <c r="X23" s="711"/>
      <c r="Y23" s="767"/>
      <c r="Z23" s="124"/>
      <c r="AA23" s="125"/>
      <c r="AB23" s="126"/>
      <c r="AC23" s="127"/>
      <c r="AD23" s="21"/>
      <c r="AE23" s="711"/>
      <c r="AF23" s="647"/>
      <c r="AG23" s="647"/>
      <c r="AH23" s="647"/>
      <c r="AI23" s="647"/>
      <c r="AJ23" s="124"/>
      <c r="AK23" s="125"/>
      <c r="AL23" s="126"/>
      <c r="AM23" s="127"/>
      <c r="AN23" s="21"/>
      <c r="AO23" s="711"/>
      <c r="AP23" s="682"/>
      <c r="AQ23" s="96"/>
      <c r="AR23" s="97"/>
      <c r="AS23" s="97"/>
      <c r="AT23" s="100"/>
      <c r="AU23" s="21"/>
      <c r="AV23" s="711"/>
      <c r="AW23" s="558"/>
      <c r="AX23" s="124"/>
      <c r="AY23" s="125"/>
      <c r="AZ23" s="126"/>
      <c r="BA23" s="127"/>
      <c r="BB23" s="21"/>
      <c r="BC23" s="563"/>
      <c r="BD23" s="124"/>
      <c r="BE23" s="126"/>
      <c r="BF23" s="127"/>
      <c r="BG23" s="21"/>
      <c r="BH23" s="711"/>
      <c r="BI23" s="563"/>
      <c r="BJ23" s="124"/>
      <c r="BK23" s="126"/>
      <c r="BL23" s="127"/>
      <c r="BM23" s="21"/>
      <c r="BN23" s="711"/>
      <c r="BO23" s="563"/>
      <c r="BP23" s="126"/>
      <c r="BQ23" s="595"/>
      <c r="BR23" s="124"/>
      <c r="BS23" s="126"/>
      <c r="BT23" s="127"/>
      <c r="BU23" s="21"/>
      <c r="BV23" s="711"/>
      <c r="BW23" s="664"/>
      <c r="BX23" s="124"/>
      <c r="BY23" s="126"/>
      <c r="BZ23" s="127"/>
      <c r="CA23" s="21"/>
      <c r="CB23" s="717"/>
      <c r="CC23" s="720"/>
      <c r="CD23" s="309"/>
      <c r="CE23" s="44"/>
      <c r="CF23" s="36"/>
      <c r="CG23" s="21"/>
      <c r="CH23" s="268"/>
      <c r="CI23" s="573"/>
      <c r="CJ23" s="126"/>
      <c r="CK23" s="126"/>
      <c r="CL23" s="127"/>
      <c r="CM23" s="21"/>
      <c r="CN23" s="268"/>
      <c r="CO23" s="760"/>
      <c r="CP23" s="40"/>
      <c r="CQ23" s="44"/>
      <c r="CR23" s="36"/>
      <c r="CS23" s="21"/>
      <c r="CT23" s="268"/>
      <c r="CU23" s="720"/>
      <c r="CV23" s="40"/>
      <c r="CW23" s="44"/>
      <c r="CX23" s="36"/>
      <c r="CY23" s="566"/>
      <c r="CZ23" s="720"/>
      <c r="DA23" s="21"/>
      <c r="DB23" s="274"/>
      <c r="DC23" s="573"/>
      <c r="DD23" s="124"/>
      <c r="DE23" s="126"/>
      <c r="DF23" s="126"/>
      <c r="DG23" s="127"/>
      <c r="DH23" s="20"/>
      <c r="DI23" s="268"/>
      <c r="DJ23" s="720"/>
      <c r="DK23" s="40"/>
      <c r="DL23" s="44"/>
      <c r="DM23" s="36"/>
      <c r="DN23" s="20"/>
      <c r="DO23" s="268"/>
      <c r="DP23" s="720"/>
      <c r="DQ23" s="40"/>
      <c r="DR23" s="44"/>
      <c r="DS23" s="36"/>
      <c r="DT23" s="20"/>
      <c r="DU23" s="708"/>
      <c r="DV23" s="931"/>
      <c r="DW23" s="238"/>
      <c r="DX23" s="239"/>
      <c r="DY23" s="239"/>
      <c r="DZ23" s="240"/>
      <c r="EA23" s="20"/>
      <c r="EB23" s="268"/>
      <c r="EC23" s="720"/>
      <c r="ED23" s="40"/>
      <c r="EE23" s="44"/>
      <c r="EF23" s="36"/>
      <c r="EG23" s="20"/>
      <c r="EH23" s="268"/>
      <c r="EI23" s="720"/>
      <c r="EJ23" s="40"/>
      <c r="EK23" s="44"/>
      <c r="EL23" s="36"/>
      <c r="EM23" s="20"/>
      <c r="EN23" s="711"/>
    </row>
    <row r="24" spans="2:144" ht="16.5" thickBot="1" x14ac:dyDescent="0.25">
      <c r="B24" s="972"/>
      <c r="C24" s="33">
        <f>C23+1</f>
        <v>45911</v>
      </c>
      <c r="D24" s="1"/>
      <c r="F24" s="525"/>
      <c r="G24" s="24"/>
      <c r="H24" s="1"/>
      <c r="I24" s="708"/>
      <c r="J24" s="756"/>
      <c r="K24" s="40"/>
      <c r="L24" s="44"/>
      <c r="M24" s="44"/>
      <c r="N24" s="723"/>
      <c r="O24" s="23"/>
      <c r="P24" s="708"/>
      <c r="Q24" s="756"/>
      <c r="R24" s="723"/>
      <c r="S24" s="756"/>
      <c r="T24" s="723"/>
      <c r="U24" s="309"/>
      <c r="V24" s="310"/>
      <c r="W24" s="23"/>
      <c r="X24" s="711"/>
      <c r="Y24" s="767"/>
      <c r="Z24" s="124"/>
      <c r="AA24" s="125"/>
      <c r="AB24" s="126"/>
      <c r="AC24" s="127"/>
      <c r="AD24" s="21"/>
      <c r="AE24" s="711"/>
      <c r="AF24" s="647"/>
      <c r="AG24" s="647"/>
      <c r="AH24" s="647"/>
      <c r="AI24" s="647"/>
      <c r="AJ24" s="124"/>
      <c r="AK24" s="125"/>
      <c r="AL24" s="126"/>
      <c r="AM24" s="127"/>
      <c r="AN24" s="21"/>
      <c r="AO24" s="711"/>
      <c r="AP24" s="682"/>
      <c r="AQ24" s="96"/>
      <c r="AR24" s="97"/>
      <c r="AS24" s="97"/>
      <c r="AT24" s="100"/>
      <c r="AU24" s="21"/>
      <c r="AV24" s="711"/>
      <c r="AW24" s="558"/>
      <c r="AX24" s="124"/>
      <c r="AY24" s="125"/>
      <c r="AZ24" s="126"/>
      <c r="BA24" s="127"/>
      <c r="BB24" s="21"/>
      <c r="BC24" s="563"/>
      <c r="BD24" s="124"/>
      <c r="BE24" s="126"/>
      <c r="BF24" s="127"/>
      <c r="BG24" s="21"/>
      <c r="BH24" s="711"/>
      <c r="BI24" s="563"/>
      <c r="BJ24" s="124"/>
      <c r="BK24" s="126"/>
      <c r="BL24" s="127"/>
      <c r="BM24" s="21"/>
      <c r="BN24" s="711"/>
      <c r="BO24" s="563"/>
      <c r="BP24" s="126"/>
      <c r="BQ24" s="595"/>
      <c r="BR24" s="124"/>
      <c r="BS24" s="126"/>
      <c r="BT24" s="127"/>
      <c r="BU24" s="21"/>
      <c r="BV24" s="711"/>
      <c r="BW24" s="664"/>
      <c r="BX24" s="124"/>
      <c r="BY24" s="126"/>
      <c r="BZ24" s="127"/>
      <c r="CA24" s="21"/>
      <c r="CB24" s="717"/>
      <c r="CC24" s="720"/>
      <c r="CD24" s="309"/>
      <c r="CE24" s="44"/>
      <c r="CF24" s="36"/>
      <c r="CG24" s="21"/>
      <c r="CH24" s="268"/>
      <c r="CI24" s="573"/>
      <c r="CJ24" s="126"/>
      <c r="CK24" s="126"/>
      <c r="CL24" s="127"/>
      <c r="CM24" s="21"/>
      <c r="CN24" s="268"/>
      <c r="CO24" s="760"/>
      <c r="CP24" s="40"/>
      <c r="CQ24" s="44"/>
      <c r="CR24" s="36"/>
      <c r="CS24" s="21"/>
      <c r="CT24" s="268"/>
      <c r="CU24" s="720"/>
      <c r="CV24" s="40"/>
      <c r="CW24" s="44"/>
      <c r="CX24" s="36"/>
      <c r="CY24" s="566"/>
      <c r="CZ24" s="720"/>
      <c r="DA24" s="21"/>
      <c r="DB24" s="274"/>
      <c r="DC24" s="573"/>
      <c r="DD24" s="124"/>
      <c r="DE24" s="126"/>
      <c r="DF24" s="126"/>
      <c r="DG24" s="127"/>
      <c r="DH24" s="20"/>
      <c r="DI24" s="268"/>
      <c r="DJ24" s="720"/>
      <c r="DK24" s="40"/>
      <c r="DL24" s="44"/>
      <c r="DM24" s="36"/>
      <c r="DN24" s="20"/>
      <c r="DO24" s="268"/>
      <c r="DP24" s="720"/>
      <c r="DQ24" s="40"/>
      <c r="DR24" s="44"/>
      <c r="DS24" s="36"/>
      <c r="DT24" s="20"/>
      <c r="DU24" s="708"/>
      <c r="DV24" s="931"/>
      <c r="DW24" s="238"/>
      <c r="DX24" s="239"/>
      <c r="DY24" s="239"/>
      <c r="DZ24" s="240"/>
      <c r="EA24" s="20"/>
      <c r="EB24" s="268"/>
      <c r="EC24" s="720"/>
      <c r="ED24" s="40"/>
      <c r="EE24" s="44"/>
      <c r="EF24" s="36"/>
      <c r="EG24" s="20"/>
      <c r="EH24" s="268"/>
      <c r="EI24" s="720"/>
      <c r="EJ24" s="40"/>
      <c r="EK24" s="44"/>
      <c r="EL24" s="36"/>
      <c r="EM24" s="20"/>
      <c r="EN24" s="711"/>
    </row>
    <row r="25" spans="2:144" ht="16.5" thickBot="1" x14ac:dyDescent="0.25">
      <c r="B25" s="972"/>
      <c r="C25" s="34">
        <f>C24+1</f>
        <v>45912</v>
      </c>
      <c r="D25" s="1"/>
      <c r="E25" s="24"/>
      <c r="F25" s="525"/>
      <c r="G25" s="24"/>
      <c r="H25" s="1"/>
      <c r="I25" s="708"/>
      <c r="J25" s="756"/>
      <c r="K25" s="45"/>
      <c r="L25" s="59"/>
      <c r="M25" s="47"/>
      <c r="N25" s="724"/>
      <c r="O25" s="23"/>
      <c r="P25" s="708"/>
      <c r="Q25" s="756"/>
      <c r="R25" s="724"/>
      <c r="S25" s="756"/>
      <c r="T25" s="724"/>
      <c r="U25" s="311"/>
      <c r="V25" s="313"/>
      <c r="W25" s="23"/>
      <c r="X25" s="711"/>
      <c r="Y25" s="767"/>
      <c r="Z25" s="111"/>
      <c r="AA25" s="144"/>
      <c r="AB25" s="109"/>
      <c r="AC25" s="130"/>
      <c r="AD25" s="21"/>
      <c r="AE25" s="711"/>
      <c r="AF25" s="647"/>
      <c r="AG25" s="647"/>
      <c r="AH25" s="647"/>
      <c r="AI25" s="647"/>
      <c r="AJ25" s="111"/>
      <c r="AK25" s="144"/>
      <c r="AL25" s="109"/>
      <c r="AM25" s="130"/>
      <c r="AN25" s="21"/>
      <c r="AO25" s="712"/>
      <c r="AP25" s="682"/>
      <c r="AQ25" s="98"/>
      <c r="AR25" s="99"/>
      <c r="AS25" s="99"/>
      <c r="AT25" s="101"/>
      <c r="AU25" s="21"/>
      <c r="AV25" s="712"/>
      <c r="AW25" s="558"/>
      <c r="AX25" s="111"/>
      <c r="AY25" s="144"/>
      <c r="AZ25" s="109"/>
      <c r="BA25" s="130"/>
      <c r="BB25" s="21"/>
      <c r="BC25" s="563"/>
      <c r="BD25" s="128"/>
      <c r="BE25" s="108"/>
      <c r="BF25" s="130"/>
      <c r="BG25" s="21"/>
      <c r="BH25" s="712"/>
      <c r="BI25" s="563"/>
      <c r="BJ25" s="128"/>
      <c r="BK25" s="108"/>
      <c r="BL25" s="130"/>
      <c r="BM25" s="21"/>
      <c r="BN25" s="712"/>
      <c r="BO25" s="563"/>
      <c r="BP25" s="108"/>
      <c r="BQ25" s="595"/>
      <c r="BR25" s="128"/>
      <c r="BS25" s="108"/>
      <c r="BT25" s="130"/>
      <c r="BU25" s="21"/>
      <c r="BV25" s="711"/>
      <c r="BW25" s="664"/>
      <c r="BX25" s="128"/>
      <c r="BY25" s="108"/>
      <c r="BZ25" s="130"/>
      <c r="CA25" s="21"/>
      <c r="CB25" s="718"/>
      <c r="CC25" s="720"/>
      <c r="CD25" s="311"/>
      <c r="CE25" s="59"/>
      <c r="CF25" s="64"/>
      <c r="CG25" s="21"/>
      <c r="CH25" s="268"/>
      <c r="CI25" s="573"/>
      <c r="CJ25" s="109"/>
      <c r="CK25" s="109"/>
      <c r="CL25" s="110"/>
      <c r="CM25" s="21"/>
      <c r="CN25" s="269"/>
      <c r="CO25" s="760"/>
      <c r="CP25" s="45"/>
      <c r="CQ25" s="59"/>
      <c r="CR25" s="64"/>
      <c r="CS25" s="21"/>
      <c r="CT25" s="268"/>
      <c r="CU25" s="720"/>
      <c r="CV25" s="45"/>
      <c r="CW25" s="59"/>
      <c r="CX25" s="64"/>
      <c r="CY25" s="566"/>
      <c r="CZ25" s="720"/>
      <c r="DA25" s="21"/>
      <c r="DB25" s="274"/>
      <c r="DC25" s="573"/>
      <c r="DD25" s="111"/>
      <c r="DE25" s="109"/>
      <c r="DF25" s="109"/>
      <c r="DG25" s="110"/>
      <c r="DH25" s="20"/>
      <c r="DI25" s="269"/>
      <c r="DJ25" s="720"/>
      <c r="DK25" s="45"/>
      <c r="DL25" s="59"/>
      <c r="DM25" s="64"/>
      <c r="DN25" s="20"/>
      <c r="DO25" s="268"/>
      <c r="DP25" s="720"/>
      <c r="DQ25" s="45"/>
      <c r="DR25" s="59"/>
      <c r="DS25" s="64"/>
      <c r="DT25" s="20"/>
      <c r="DU25" s="709"/>
      <c r="DV25" s="931"/>
      <c r="DW25" s="256"/>
      <c r="DX25" s="257"/>
      <c r="DY25" s="257"/>
      <c r="DZ25" s="258"/>
      <c r="EA25" s="20"/>
      <c r="EB25" s="269"/>
      <c r="EC25" s="720"/>
      <c r="ED25" s="45"/>
      <c r="EE25" s="59"/>
      <c r="EF25" s="64"/>
      <c r="EG25" s="20"/>
      <c r="EH25" s="268"/>
      <c r="EI25" s="720"/>
      <c r="EJ25" s="45"/>
      <c r="EK25" s="59"/>
      <c r="EL25" s="64"/>
      <c r="EM25" s="20"/>
      <c r="EN25" s="712"/>
    </row>
    <row r="26" spans="2:144" ht="26.25" customHeight="1" thickBot="1" x14ac:dyDescent="0.25">
      <c r="B26" s="972">
        <f>B21+1</f>
        <v>38</v>
      </c>
      <c r="C26" s="89">
        <f>C21+7</f>
        <v>45915</v>
      </c>
      <c r="D26" s="4"/>
      <c r="E26" s="24"/>
      <c r="F26" s="525"/>
      <c r="G26" s="799" t="s">
        <v>378</v>
      </c>
      <c r="H26" s="4"/>
      <c r="I26" s="708"/>
      <c r="J26" s="671" t="s">
        <v>345</v>
      </c>
      <c r="K26" s="853">
        <v>1</v>
      </c>
      <c r="L26" s="701" t="s">
        <v>36</v>
      </c>
      <c r="M26" s="308"/>
      <c r="N26" s="57"/>
      <c r="O26" s="24"/>
      <c r="P26" s="708"/>
      <c r="Q26" s="671" t="s">
        <v>345</v>
      </c>
      <c r="R26" s="308"/>
      <c r="S26" s="671" t="s">
        <v>345</v>
      </c>
      <c r="T26" s="308"/>
      <c r="U26" s="853">
        <v>1</v>
      </c>
      <c r="V26" s="701" t="s">
        <v>36</v>
      </c>
      <c r="W26" s="24"/>
      <c r="X26" s="711"/>
      <c r="Y26" s="767"/>
      <c r="Z26" s="158"/>
      <c r="AA26" s="103"/>
      <c r="AB26" s="103"/>
      <c r="AC26" s="104"/>
      <c r="AD26" s="21"/>
      <c r="AE26" s="711"/>
      <c r="AF26" s="647"/>
      <c r="AG26" s="647"/>
      <c r="AH26" s="647"/>
      <c r="AI26" s="647"/>
      <c r="AJ26" s="158"/>
      <c r="AK26" s="103"/>
      <c r="AL26" s="103"/>
      <c r="AM26" s="104"/>
      <c r="AN26" s="21"/>
      <c r="AO26" s="716" t="s">
        <v>30</v>
      </c>
      <c r="AP26" s="206" t="s">
        <v>31</v>
      </c>
      <c r="AQ26" s="314"/>
      <c r="AR26" s="308"/>
      <c r="AS26" s="308"/>
      <c r="AT26" s="649" t="s">
        <v>391</v>
      </c>
      <c r="AU26" s="21"/>
      <c r="AV26" s="716" t="s">
        <v>30</v>
      </c>
      <c r="AW26" s="205" t="s">
        <v>31</v>
      </c>
      <c r="AX26" s="37"/>
      <c r="AY26" s="38"/>
      <c r="AZ26" s="39"/>
      <c r="BA26" s="649" t="s">
        <v>391</v>
      </c>
      <c r="BB26" s="21"/>
      <c r="BC26" s="205" t="s">
        <v>31</v>
      </c>
      <c r="BD26" s="117"/>
      <c r="BE26" s="119"/>
      <c r="BF26" s="649" t="s">
        <v>391</v>
      </c>
      <c r="BG26" s="21"/>
      <c r="BH26" s="716" t="s">
        <v>32</v>
      </c>
      <c r="BI26" s="844" t="s">
        <v>460</v>
      </c>
      <c r="BJ26" s="314"/>
      <c r="BK26" s="308"/>
      <c r="BL26" s="306"/>
      <c r="BM26" s="21"/>
      <c r="BN26" s="716" t="s">
        <v>32</v>
      </c>
      <c r="BO26" s="844" t="s">
        <v>460</v>
      </c>
      <c r="BP26" s="314"/>
      <c r="BQ26" s="844" t="s">
        <v>460</v>
      </c>
      <c r="BR26" s="314"/>
      <c r="BS26" s="308"/>
      <c r="BT26" s="306"/>
      <c r="BU26" s="21"/>
      <c r="BV26" s="711"/>
      <c r="BW26" s="664"/>
      <c r="BX26" s="117"/>
      <c r="BY26" s="119"/>
      <c r="BZ26" s="120"/>
      <c r="CA26" s="21"/>
      <c r="CB26" s="710" t="s">
        <v>27</v>
      </c>
      <c r="CC26" s="720"/>
      <c r="CD26" s="314"/>
      <c r="CE26" s="39"/>
      <c r="CF26" s="35"/>
      <c r="CG26" s="21"/>
      <c r="CH26" s="268"/>
      <c r="CI26" s="573"/>
      <c r="CJ26" s="103"/>
      <c r="CK26" s="103"/>
      <c r="CL26" s="104"/>
      <c r="CM26" s="21"/>
      <c r="CN26" s="710" t="s">
        <v>33</v>
      </c>
      <c r="CO26" s="760"/>
      <c r="CP26" s="61"/>
      <c r="CQ26" s="39"/>
      <c r="CR26" s="35"/>
      <c r="CS26" s="21"/>
      <c r="CT26" s="710" t="s">
        <v>33</v>
      </c>
      <c r="CU26" s="720"/>
      <c r="CV26" s="61"/>
      <c r="CW26" s="39"/>
      <c r="CX26" s="35"/>
      <c r="CY26" s="566"/>
      <c r="CZ26" s="720"/>
      <c r="DA26" s="21"/>
      <c r="DB26" s="707" t="s">
        <v>25</v>
      </c>
      <c r="DC26" s="573"/>
      <c r="DD26" s="133"/>
      <c r="DE26" s="103"/>
      <c r="DF26" s="103"/>
      <c r="DG26" s="104"/>
      <c r="DH26" s="20"/>
      <c r="DI26" s="710" t="s">
        <v>33</v>
      </c>
      <c r="DJ26" s="720"/>
      <c r="DK26" s="61"/>
      <c r="DL26" s="39"/>
      <c r="DM26" s="35"/>
      <c r="DN26" s="20"/>
      <c r="DO26" s="710" t="s">
        <v>33</v>
      </c>
      <c r="DP26" s="720"/>
      <c r="DQ26" s="61"/>
      <c r="DR26" s="39"/>
      <c r="DS26" s="35"/>
      <c r="DT26" s="20"/>
      <c r="DU26" s="710" t="s">
        <v>33</v>
      </c>
      <c r="DV26" s="931"/>
      <c r="DW26" s="253"/>
      <c r="DX26" s="254"/>
      <c r="DY26" s="254"/>
      <c r="DZ26" s="255"/>
      <c r="EA26" s="20"/>
      <c r="EB26" s="710" t="s">
        <v>33</v>
      </c>
      <c r="EC26" s="720"/>
      <c r="ED26" s="61"/>
      <c r="EE26" s="39"/>
      <c r="EF26" s="35"/>
      <c r="EG26" s="20"/>
      <c r="EH26" s="710" t="s">
        <v>33</v>
      </c>
      <c r="EI26" s="720"/>
      <c r="EJ26" s="61"/>
      <c r="EK26" s="39"/>
      <c r="EL26" s="35"/>
      <c r="EM26" s="20"/>
      <c r="EN26" s="716" t="s">
        <v>32</v>
      </c>
    </row>
    <row r="27" spans="2:144" ht="16.5" customHeight="1" thickBot="1" x14ac:dyDescent="0.25">
      <c r="B27" s="972"/>
      <c r="C27" s="33">
        <f>C26+1</f>
        <v>45916</v>
      </c>
      <c r="D27" s="1"/>
      <c r="E27" s="23"/>
      <c r="F27" s="526"/>
      <c r="G27" s="800"/>
      <c r="H27" s="1"/>
      <c r="I27" s="708"/>
      <c r="J27" s="672"/>
      <c r="K27" s="850"/>
      <c r="L27" s="702"/>
      <c r="M27" s="42"/>
      <c r="N27" s="43"/>
      <c r="O27" s="23"/>
      <c r="P27" s="708"/>
      <c r="Q27" s="672"/>
      <c r="R27" s="42"/>
      <c r="S27" s="672"/>
      <c r="T27" s="42"/>
      <c r="U27" s="850"/>
      <c r="V27" s="702"/>
      <c r="W27" s="23"/>
      <c r="X27" s="711"/>
      <c r="Y27" s="767"/>
      <c r="Z27" s="124"/>
      <c r="AA27" s="105"/>
      <c r="AB27" s="105"/>
      <c r="AC27" s="143"/>
      <c r="AD27" s="21"/>
      <c r="AE27" s="711"/>
      <c r="AF27" s="647"/>
      <c r="AG27" s="647"/>
      <c r="AH27" s="647"/>
      <c r="AI27" s="647"/>
      <c r="AJ27" s="124"/>
      <c r="AK27" s="105"/>
      <c r="AL27" s="105"/>
      <c r="AM27" s="143"/>
      <c r="AN27" s="21"/>
      <c r="AO27" s="717"/>
      <c r="AP27" s="1023" t="s">
        <v>35</v>
      </c>
      <c r="AQ27" s="147"/>
      <c r="AR27" s="310"/>
      <c r="AS27" s="310"/>
      <c r="AT27" s="650"/>
      <c r="AU27" s="21"/>
      <c r="AV27" s="717"/>
      <c r="AW27" s="684" t="s">
        <v>34</v>
      </c>
      <c r="AX27" s="40"/>
      <c r="AY27" s="41"/>
      <c r="AZ27" s="42"/>
      <c r="BA27" s="650"/>
      <c r="BB27" s="21"/>
      <c r="BC27" s="684" t="s">
        <v>34</v>
      </c>
      <c r="BD27" s="121"/>
      <c r="BE27" s="107"/>
      <c r="BF27" s="650"/>
      <c r="BG27" s="21"/>
      <c r="BH27" s="717"/>
      <c r="BI27" s="845"/>
      <c r="BJ27" s="73"/>
      <c r="BK27" s="42"/>
      <c r="BL27" s="43"/>
      <c r="BM27" s="21"/>
      <c r="BN27" s="717"/>
      <c r="BO27" s="845"/>
      <c r="BP27" s="73"/>
      <c r="BQ27" s="845"/>
      <c r="BR27" s="73"/>
      <c r="BS27" s="42"/>
      <c r="BT27" s="43"/>
      <c r="BU27" s="21"/>
      <c r="BV27" s="711"/>
      <c r="BW27" s="664"/>
      <c r="BX27" s="121"/>
      <c r="BY27" s="107"/>
      <c r="BZ27" s="123"/>
      <c r="CA27" s="21"/>
      <c r="CB27" s="711"/>
      <c r="CC27" s="720"/>
      <c r="CD27" s="309"/>
      <c r="CE27" s="44"/>
      <c r="CF27" s="36"/>
      <c r="CG27" s="21"/>
      <c r="CH27" s="274"/>
      <c r="CI27" s="573"/>
      <c r="CJ27" s="126"/>
      <c r="CK27" s="126"/>
      <c r="CL27" s="127"/>
      <c r="CM27" s="21"/>
      <c r="CN27" s="711"/>
      <c r="CO27" s="760"/>
      <c r="CP27" s="40"/>
      <c r="CQ27" s="44"/>
      <c r="CR27" s="36"/>
      <c r="CS27" s="21"/>
      <c r="CT27" s="711"/>
      <c r="CU27" s="720"/>
      <c r="CV27" s="40"/>
      <c r="CW27" s="44"/>
      <c r="CX27" s="36"/>
      <c r="CY27" s="566"/>
      <c r="CZ27" s="720"/>
      <c r="DA27" s="21"/>
      <c r="DB27" s="708"/>
      <c r="DC27" s="573"/>
      <c r="DD27" s="124"/>
      <c r="DE27" s="126"/>
      <c r="DF27" s="126"/>
      <c r="DG27" s="127"/>
      <c r="DH27" s="20"/>
      <c r="DI27" s="711"/>
      <c r="DJ27" s="720"/>
      <c r="DK27" s="40"/>
      <c r="DL27" s="44"/>
      <c r="DM27" s="36"/>
      <c r="DN27" s="20"/>
      <c r="DO27" s="711"/>
      <c r="DP27" s="720"/>
      <c r="DQ27" s="40"/>
      <c r="DR27" s="44"/>
      <c r="DS27" s="36"/>
      <c r="DT27" s="20"/>
      <c r="DU27" s="711"/>
      <c r="DV27" s="931"/>
      <c r="DW27" s="238"/>
      <c r="DX27" s="239"/>
      <c r="DY27" s="239"/>
      <c r="DZ27" s="240"/>
      <c r="EA27" s="20"/>
      <c r="EB27" s="711"/>
      <c r="EC27" s="720"/>
      <c r="ED27" s="40"/>
      <c r="EE27" s="44"/>
      <c r="EF27" s="36"/>
      <c r="EG27" s="20"/>
      <c r="EH27" s="711"/>
      <c r="EI27" s="720"/>
      <c r="EJ27" s="40"/>
      <c r="EK27" s="44"/>
      <c r="EL27" s="36"/>
      <c r="EM27" s="20"/>
      <c r="EN27" s="717"/>
    </row>
    <row r="28" spans="2:144" ht="16.5" thickBot="1" x14ac:dyDescent="0.25">
      <c r="B28" s="972"/>
      <c r="C28" s="33">
        <f>C27+1</f>
        <v>45917</v>
      </c>
      <c r="D28" s="5"/>
      <c r="E28" s="23"/>
      <c r="F28" s="526"/>
      <c r="G28" s="800"/>
      <c r="H28" s="1"/>
      <c r="I28" s="708"/>
      <c r="J28" s="672"/>
      <c r="K28" s="850"/>
      <c r="L28" s="702"/>
      <c r="M28" s="49"/>
      <c r="N28" s="307"/>
      <c r="O28" s="23"/>
      <c r="P28" s="708"/>
      <c r="Q28" s="672"/>
      <c r="R28" s="49"/>
      <c r="S28" s="672"/>
      <c r="T28" s="49"/>
      <c r="U28" s="850"/>
      <c r="V28" s="702"/>
      <c r="W28" s="23"/>
      <c r="X28" s="711"/>
      <c r="Y28" s="767"/>
      <c r="Z28" s="124"/>
      <c r="AA28" s="126"/>
      <c r="AB28" s="126"/>
      <c r="AC28" s="127"/>
      <c r="AD28" s="21"/>
      <c r="AE28" s="711"/>
      <c r="AF28" s="647"/>
      <c r="AG28" s="647"/>
      <c r="AH28" s="647"/>
      <c r="AI28" s="647"/>
      <c r="AJ28" s="124"/>
      <c r="AK28" s="126"/>
      <c r="AL28" s="126"/>
      <c r="AM28" s="127"/>
      <c r="AN28" s="21"/>
      <c r="AO28" s="717"/>
      <c r="AP28" s="1024"/>
      <c r="AQ28" s="147"/>
      <c r="AR28" s="310"/>
      <c r="AS28" s="310"/>
      <c r="AT28" s="650"/>
      <c r="AU28" s="21"/>
      <c r="AV28" s="717"/>
      <c r="AW28" s="685"/>
      <c r="AX28" s="40"/>
      <c r="AY28" s="41"/>
      <c r="AZ28" s="44"/>
      <c r="BA28" s="650"/>
      <c r="BB28" s="21"/>
      <c r="BC28" s="685"/>
      <c r="BD28" s="124"/>
      <c r="BE28" s="126"/>
      <c r="BF28" s="650"/>
      <c r="BG28" s="21"/>
      <c r="BH28" s="717"/>
      <c r="BI28" s="845"/>
      <c r="BJ28" s="309"/>
      <c r="BK28" s="49"/>
      <c r="BL28" s="307"/>
      <c r="BM28" s="21"/>
      <c r="BN28" s="717"/>
      <c r="BO28" s="845"/>
      <c r="BP28" s="309"/>
      <c r="BQ28" s="845"/>
      <c r="BR28" s="68"/>
      <c r="BS28" s="310"/>
      <c r="BT28" s="307"/>
      <c r="BU28" s="21"/>
      <c r="BV28" s="711"/>
      <c r="BW28" s="664"/>
      <c r="BX28" s="124"/>
      <c r="BY28" s="126"/>
      <c r="BZ28" s="127"/>
      <c r="CA28" s="21"/>
      <c r="CB28" s="711"/>
      <c r="CC28" s="720"/>
      <c r="CD28" s="309"/>
      <c r="CE28" s="44"/>
      <c r="CF28" s="36"/>
      <c r="CG28" s="21"/>
      <c r="CH28" s="274"/>
      <c r="CI28" s="573"/>
      <c r="CJ28" s="126"/>
      <c r="CK28" s="126"/>
      <c r="CL28" s="127"/>
      <c r="CM28" s="21"/>
      <c r="CN28" s="711"/>
      <c r="CO28" s="760"/>
      <c r="CP28" s="40"/>
      <c r="CQ28" s="44"/>
      <c r="CR28" s="36"/>
      <c r="CS28" s="21"/>
      <c r="CT28" s="711"/>
      <c r="CU28" s="720"/>
      <c r="CV28" s="40"/>
      <c r="CW28" s="44"/>
      <c r="CX28" s="36"/>
      <c r="CY28" s="566"/>
      <c r="CZ28" s="720"/>
      <c r="DA28" s="21"/>
      <c r="DB28" s="708"/>
      <c r="DC28" s="573"/>
      <c r="DD28" s="124"/>
      <c r="DE28" s="126"/>
      <c r="DF28" s="126"/>
      <c r="DG28" s="127"/>
      <c r="DH28" s="20"/>
      <c r="DI28" s="711"/>
      <c r="DJ28" s="720"/>
      <c r="DK28" s="40"/>
      <c r="DL28" s="44"/>
      <c r="DM28" s="36"/>
      <c r="DN28" s="20"/>
      <c r="DO28" s="711"/>
      <c r="DP28" s="720"/>
      <c r="DQ28" s="40"/>
      <c r="DR28" s="44"/>
      <c r="DS28" s="36"/>
      <c r="DT28" s="20"/>
      <c r="DU28" s="711"/>
      <c r="DV28" s="931"/>
      <c r="DW28" s="238"/>
      <c r="DX28" s="239"/>
      <c r="DY28" s="239"/>
      <c r="DZ28" s="240"/>
      <c r="EA28" s="20"/>
      <c r="EB28" s="711"/>
      <c r="EC28" s="720"/>
      <c r="ED28" s="40"/>
      <c r="EE28" s="44"/>
      <c r="EF28" s="36"/>
      <c r="EG28" s="20"/>
      <c r="EH28" s="711"/>
      <c r="EI28" s="720"/>
      <c r="EJ28" s="40"/>
      <c r="EK28" s="44"/>
      <c r="EL28" s="36"/>
      <c r="EM28" s="20"/>
      <c r="EN28" s="717"/>
    </row>
    <row r="29" spans="2:144" ht="16.5" thickBot="1" x14ac:dyDescent="0.25">
      <c r="B29" s="972"/>
      <c r="C29" s="33">
        <f>C28+1</f>
        <v>45918</v>
      </c>
      <c r="D29" s="1"/>
      <c r="E29" s="210" t="s">
        <v>91</v>
      </c>
      <c r="F29" s="526"/>
      <c r="G29" s="800"/>
      <c r="H29" s="1"/>
      <c r="I29" s="708"/>
      <c r="J29" s="672"/>
      <c r="K29" s="850"/>
      <c r="L29" s="702"/>
      <c r="M29" s="50"/>
      <c r="N29" s="307"/>
      <c r="O29" s="23"/>
      <c r="P29" s="708"/>
      <c r="Q29" s="672"/>
      <c r="R29" s="50"/>
      <c r="S29" s="672"/>
      <c r="T29" s="50"/>
      <c r="U29" s="850"/>
      <c r="V29" s="702"/>
      <c r="W29" s="23"/>
      <c r="X29" s="711"/>
      <c r="Y29" s="767"/>
      <c r="Z29" s="124"/>
      <c r="AA29" s="126"/>
      <c r="AB29" s="126"/>
      <c r="AC29" s="127"/>
      <c r="AD29" s="21"/>
      <c r="AE29" s="711"/>
      <c r="AF29" s="647"/>
      <c r="AG29" s="647"/>
      <c r="AH29" s="647"/>
      <c r="AI29" s="647"/>
      <c r="AJ29" s="124"/>
      <c r="AK29" s="126"/>
      <c r="AL29" s="126"/>
      <c r="AM29" s="127"/>
      <c r="AN29" s="21"/>
      <c r="AO29" s="717"/>
      <c r="AP29" s="1024"/>
      <c r="AQ29" s="147"/>
      <c r="AR29" s="310"/>
      <c r="AS29" s="310"/>
      <c r="AT29" s="650"/>
      <c r="AU29" s="21"/>
      <c r="AV29" s="717"/>
      <c r="AW29" s="685"/>
      <c r="AX29" s="40"/>
      <c r="AY29" s="41"/>
      <c r="AZ29" s="44"/>
      <c r="BA29" s="650"/>
      <c r="BB29" s="21"/>
      <c r="BC29" s="685"/>
      <c r="BD29" s="124"/>
      <c r="BE29" s="126"/>
      <c r="BF29" s="650"/>
      <c r="BG29" s="21"/>
      <c r="BH29" s="717"/>
      <c r="BI29" s="845"/>
      <c r="BJ29" s="309"/>
      <c r="BK29" s="50"/>
      <c r="BL29" s="307"/>
      <c r="BM29" s="21"/>
      <c r="BN29" s="717"/>
      <c r="BO29" s="845"/>
      <c r="BP29" s="309"/>
      <c r="BQ29" s="845"/>
      <c r="BR29" s="63"/>
      <c r="BS29" s="310"/>
      <c r="BT29" s="307"/>
      <c r="BU29" s="21"/>
      <c r="BV29" s="711"/>
      <c r="BW29" s="664"/>
      <c r="BX29" s="124"/>
      <c r="BY29" s="126"/>
      <c r="BZ29" s="127"/>
      <c r="CA29" s="21"/>
      <c r="CB29" s="711"/>
      <c r="CC29" s="720"/>
      <c r="CD29" s="309"/>
      <c r="CE29" s="44"/>
      <c r="CF29" s="36"/>
      <c r="CG29" s="21"/>
      <c r="CH29" s="274"/>
      <c r="CI29" s="573"/>
      <c r="CJ29" s="126"/>
      <c r="CK29" s="126"/>
      <c r="CL29" s="127"/>
      <c r="CM29" s="21"/>
      <c r="CN29" s="711"/>
      <c r="CO29" s="760"/>
      <c r="CP29" s="40"/>
      <c r="CQ29" s="44"/>
      <c r="CR29" s="36"/>
      <c r="CS29" s="21"/>
      <c r="CT29" s="711"/>
      <c r="CU29" s="720"/>
      <c r="CV29" s="40"/>
      <c r="CW29" s="44"/>
      <c r="CX29" s="36"/>
      <c r="CY29" s="566"/>
      <c r="CZ29" s="720"/>
      <c r="DA29" s="21"/>
      <c r="DB29" s="708"/>
      <c r="DC29" s="573"/>
      <c r="DD29" s="124"/>
      <c r="DE29" s="126"/>
      <c r="DF29" s="126"/>
      <c r="DG29" s="127"/>
      <c r="DH29" s="20"/>
      <c r="DI29" s="711"/>
      <c r="DJ29" s="720"/>
      <c r="DK29" s="40"/>
      <c r="DL29" s="44"/>
      <c r="DM29" s="36"/>
      <c r="DN29" s="20"/>
      <c r="DO29" s="711"/>
      <c r="DP29" s="720"/>
      <c r="DQ29" s="40"/>
      <c r="DR29" s="44"/>
      <c r="DS29" s="36"/>
      <c r="DT29" s="20"/>
      <c r="DU29" s="711"/>
      <c r="DV29" s="931"/>
      <c r="DW29" s="238"/>
      <c r="DX29" s="239"/>
      <c r="DY29" s="239"/>
      <c r="DZ29" s="240"/>
      <c r="EA29" s="20"/>
      <c r="EB29" s="711"/>
      <c r="EC29" s="720"/>
      <c r="ED29" s="40"/>
      <c r="EE29" s="44"/>
      <c r="EF29" s="36"/>
      <c r="EG29" s="20"/>
      <c r="EH29" s="711"/>
      <c r="EI29" s="720"/>
      <c r="EJ29" s="40"/>
      <c r="EK29" s="44"/>
      <c r="EL29" s="36"/>
      <c r="EM29" s="20"/>
      <c r="EN29" s="717"/>
    </row>
    <row r="30" spans="2:144" ht="16.5" thickBot="1" x14ac:dyDescent="0.25">
      <c r="B30" s="972"/>
      <c r="C30" s="34">
        <f>C29+1</f>
        <v>45919</v>
      </c>
      <c r="D30" s="1"/>
      <c r="E30" s="23"/>
      <c r="F30" s="526"/>
      <c r="G30" s="800"/>
      <c r="H30" s="1"/>
      <c r="I30" s="708"/>
      <c r="J30" s="672"/>
      <c r="K30" s="851"/>
      <c r="L30" s="703"/>
      <c r="M30" s="312"/>
      <c r="N30" s="48"/>
      <c r="O30" s="23"/>
      <c r="P30" s="708"/>
      <c r="Q30" s="672"/>
      <c r="R30" s="312"/>
      <c r="S30" s="672"/>
      <c r="T30" s="312"/>
      <c r="U30" s="851"/>
      <c r="V30" s="703"/>
      <c r="W30" s="23"/>
      <c r="X30" s="712"/>
      <c r="Y30" s="767"/>
      <c r="Z30" s="111"/>
      <c r="AA30" s="108"/>
      <c r="AB30" s="108"/>
      <c r="AC30" s="130"/>
      <c r="AD30" s="21"/>
      <c r="AE30" s="712"/>
      <c r="AF30" s="648"/>
      <c r="AG30" s="648"/>
      <c r="AH30" s="648"/>
      <c r="AI30" s="648"/>
      <c r="AJ30" s="111"/>
      <c r="AK30" s="108"/>
      <c r="AL30" s="108"/>
      <c r="AM30" s="130"/>
      <c r="AN30" s="21"/>
      <c r="AO30" s="717"/>
      <c r="AP30" s="1024"/>
      <c r="AQ30" s="311"/>
      <c r="AR30" s="313"/>
      <c r="AS30" s="313"/>
      <c r="AT30" s="651"/>
      <c r="AU30" s="21"/>
      <c r="AV30" s="717"/>
      <c r="AW30" s="686"/>
      <c r="AX30" s="45"/>
      <c r="AY30" s="46"/>
      <c r="AZ30" s="47"/>
      <c r="BA30" s="651"/>
      <c r="BB30" s="21"/>
      <c r="BC30" s="686"/>
      <c r="BD30" s="128"/>
      <c r="BE30" s="108"/>
      <c r="BF30" s="651"/>
      <c r="BG30" s="21"/>
      <c r="BH30" s="717"/>
      <c r="BI30" s="845"/>
      <c r="BJ30" s="67"/>
      <c r="BK30" s="312"/>
      <c r="BL30" s="48"/>
      <c r="BM30" s="21"/>
      <c r="BN30" s="717"/>
      <c r="BO30" s="845"/>
      <c r="BP30" s="67"/>
      <c r="BQ30" s="845"/>
      <c r="BR30" s="67"/>
      <c r="BS30" s="312"/>
      <c r="BT30" s="48"/>
      <c r="BU30" s="21"/>
      <c r="BV30" s="712"/>
      <c r="BW30" s="664"/>
      <c r="BX30" s="128"/>
      <c r="BY30" s="108"/>
      <c r="BZ30" s="130"/>
      <c r="CA30" s="21"/>
      <c r="CB30" s="711"/>
      <c r="CC30" s="721"/>
      <c r="CD30" s="311"/>
      <c r="CE30" s="59"/>
      <c r="CF30" s="64"/>
      <c r="CG30" s="21"/>
      <c r="CH30" s="275"/>
      <c r="CI30" s="573"/>
      <c r="CJ30" s="109"/>
      <c r="CK30" s="109"/>
      <c r="CL30" s="110"/>
      <c r="CM30" s="21"/>
      <c r="CN30" s="711"/>
      <c r="CO30" s="760"/>
      <c r="CP30" s="45"/>
      <c r="CQ30" s="59"/>
      <c r="CR30" s="64"/>
      <c r="CS30" s="21"/>
      <c r="CT30" s="711"/>
      <c r="CU30" s="720"/>
      <c r="CV30" s="45"/>
      <c r="CW30" s="59"/>
      <c r="CX30" s="64"/>
      <c r="CY30" s="566"/>
      <c r="CZ30" s="720"/>
      <c r="DA30" s="21"/>
      <c r="DB30" s="709"/>
      <c r="DC30" s="573"/>
      <c r="DD30" s="111"/>
      <c r="DE30" s="109"/>
      <c r="DF30" s="109"/>
      <c r="DG30" s="110"/>
      <c r="DH30" s="20"/>
      <c r="DI30" s="711"/>
      <c r="DJ30" s="720"/>
      <c r="DK30" s="45"/>
      <c r="DL30" s="59"/>
      <c r="DM30" s="64"/>
      <c r="DN30" s="20"/>
      <c r="DO30" s="711"/>
      <c r="DP30" s="720"/>
      <c r="DQ30" s="45"/>
      <c r="DR30" s="59"/>
      <c r="DS30" s="64"/>
      <c r="DT30" s="20"/>
      <c r="DU30" s="711"/>
      <c r="DV30" s="931"/>
      <c r="DW30" s="256"/>
      <c r="DX30" s="257"/>
      <c r="DY30" s="257"/>
      <c r="DZ30" s="258"/>
      <c r="EA30" s="20"/>
      <c r="EB30" s="711"/>
      <c r="EC30" s="720"/>
      <c r="ED30" s="45"/>
      <c r="EE30" s="59"/>
      <c r="EF30" s="64"/>
      <c r="EG30" s="20"/>
      <c r="EH30" s="711"/>
      <c r="EI30" s="720"/>
      <c r="EJ30" s="45"/>
      <c r="EK30" s="59"/>
      <c r="EL30" s="64"/>
      <c r="EM30" s="20"/>
      <c r="EN30" s="717"/>
    </row>
    <row r="31" spans="2:144" ht="30.75" customHeight="1" thickTop="1" thickBot="1" x14ac:dyDescent="0.25">
      <c r="B31" s="972">
        <f>B26+1</f>
        <v>39</v>
      </c>
      <c r="C31" s="89">
        <f>C26+7</f>
        <v>45922</v>
      </c>
      <c r="D31" s="4"/>
      <c r="E31" s="24"/>
      <c r="F31" s="525"/>
      <c r="G31" s="800"/>
      <c r="H31" s="4"/>
      <c r="I31" s="708"/>
      <c r="J31" s="672"/>
      <c r="K31" s="1018">
        <v>1</v>
      </c>
      <c r="L31" s="701" t="s">
        <v>41</v>
      </c>
      <c r="M31" s="56"/>
      <c r="N31" s="57"/>
      <c r="O31" s="23"/>
      <c r="P31" s="708"/>
      <c r="Q31" s="672"/>
      <c r="R31" s="56"/>
      <c r="S31" s="672"/>
      <c r="T31" s="56"/>
      <c r="U31" s="1018">
        <v>1</v>
      </c>
      <c r="V31" s="701" t="s">
        <v>41</v>
      </c>
      <c r="W31" s="23"/>
      <c r="X31" s="707" t="s">
        <v>30</v>
      </c>
      <c r="Y31" s="672" t="s">
        <v>349</v>
      </c>
      <c r="Z31" s="744">
        <v>1</v>
      </c>
      <c r="AA31" s="694" t="s">
        <v>37</v>
      </c>
      <c r="AB31" s="308"/>
      <c r="AC31" s="57"/>
      <c r="AD31" s="21"/>
      <c r="AE31" s="707" t="s">
        <v>30</v>
      </c>
      <c r="AF31" s="998" t="s">
        <v>347</v>
      </c>
      <c r="AG31" s="999"/>
      <c r="AH31" s="672" t="s">
        <v>348</v>
      </c>
      <c r="AI31" s="672" t="s">
        <v>349</v>
      </c>
      <c r="AJ31" s="744">
        <v>1</v>
      </c>
      <c r="AK31" s="694" t="s">
        <v>37</v>
      </c>
      <c r="AL31" s="39"/>
      <c r="AM31" s="57"/>
      <c r="AN31" s="21"/>
      <c r="AO31" s="717"/>
      <c r="AP31" s="812" t="s">
        <v>360</v>
      </c>
      <c r="AQ31" s="950">
        <v>1</v>
      </c>
      <c r="AR31" s="308"/>
      <c r="AS31" s="308"/>
      <c r="AT31" s="306"/>
      <c r="AU31" s="21"/>
      <c r="AV31" s="717"/>
      <c r="AW31" s="687" t="s">
        <v>287</v>
      </c>
      <c r="AX31" s="37"/>
      <c r="AY31" s="51"/>
      <c r="AZ31" s="39"/>
      <c r="BA31" s="57"/>
      <c r="BB31" s="21"/>
      <c r="BC31" s="687" t="s">
        <v>287</v>
      </c>
      <c r="BD31" s="314"/>
      <c r="BE31" s="308"/>
      <c r="BF31" s="306"/>
      <c r="BG31" s="21"/>
      <c r="BH31" s="717"/>
      <c r="BI31" s="845"/>
      <c r="BJ31" s="61"/>
      <c r="BK31" s="39"/>
      <c r="BL31" s="35"/>
      <c r="BM31" s="21"/>
      <c r="BN31" s="717"/>
      <c r="BO31" s="845"/>
      <c r="BP31" s="314"/>
      <c r="BQ31" s="845"/>
      <c r="BR31" s="314"/>
      <c r="BS31" s="308"/>
      <c r="BT31" s="306"/>
      <c r="BU31" s="21"/>
      <c r="BV31" s="716" t="s">
        <v>30</v>
      </c>
      <c r="BW31" s="933" t="s">
        <v>38</v>
      </c>
      <c r="BX31" s="900" t="s">
        <v>271</v>
      </c>
      <c r="BY31" s="184"/>
      <c r="BZ31" s="185"/>
      <c r="CA31" s="21"/>
      <c r="CB31" s="711"/>
      <c r="CC31" s="762" t="s">
        <v>38</v>
      </c>
      <c r="CD31" s="900" t="s">
        <v>271</v>
      </c>
      <c r="CE31" s="39"/>
      <c r="CF31" s="35"/>
      <c r="CG31" s="21"/>
      <c r="CH31" s="710" t="s">
        <v>33</v>
      </c>
      <c r="CI31" s="573"/>
      <c r="CJ31" s="103"/>
      <c r="CK31" s="103"/>
      <c r="CL31" s="104"/>
      <c r="CM31" s="21"/>
      <c r="CN31" s="711"/>
      <c r="CO31" s="760"/>
      <c r="CP31" s="61"/>
      <c r="CQ31" s="39"/>
      <c r="CR31" s="35"/>
      <c r="CS31" s="21"/>
      <c r="CT31" s="711"/>
      <c r="CU31" s="720"/>
      <c r="CV31" s="61"/>
      <c r="CW31" s="39"/>
      <c r="CX31" s="35"/>
      <c r="CY31" s="566"/>
      <c r="CZ31" s="720"/>
      <c r="DA31" s="21"/>
      <c r="DB31" s="1037" t="s">
        <v>33</v>
      </c>
      <c r="DC31" s="573"/>
      <c r="DD31" s="133"/>
      <c r="DE31" s="103"/>
      <c r="DF31" s="103"/>
      <c r="DG31" s="104"/>
      <c r="DH31" s="20"/>
      <c r="DI31" s="711"/>
      <c r="DJ31" s="720"/>
      <c r="DK31" s="61"/>
      <c r="DL31" s="39"/>
      <c r="DM31" s="35"/>
      <c r="DN31" s="20"/>
      <c r="DO31" s="711"/>
      <c r="DP31" s="720"/>
      <c r="DQ31" s="61"/>
      <c r="DR31" s="39"/>
      <c r="DS31" s="35"/>
      <c r="DT31" s="20"/>
      <c r="DU31" s="711"/>
      <c r="DV31" s="931"/>
      <c r="DW31" s="253"/>
      <c r="DX31" s="254"/>
      <c r="DY31" s="254"/>
      <c r="DZ31" s="255"/>
      <c r="EA31" s="20"/>
      <c r="EB31" s="711"/>
      <c r="EC31" s="720"/>
      <c r="ED31" s="61"/>
      <c r="EE31" s="39"/>
      <c r="EF31" s="35"/>
      <c r="EG31" s="20"/>
      <c r="EH31" s="711"/>
      <c r="EI31" s="720"/>
      <c r="EJ31" s="61"/>
      <c r="EK31" s="39"/>
      <c r="EL31" s="35"/>
      <c r="EM31" s="20"/>
      <c r="EN31" s="717"/>
    </row>
    <row r="32" spans="2:144" ht="17.25" customHeight="1" thickBot="1" x14ac:dyDescent="0.25">
      <c r="B32" s="972"/>
      <c r="C32" s="33">
        <f>C31+1</f>
        <v>45923</v>
      </c>
      <c r="D32" s="1"/>
      <c r="E32" s="23"/>
      <c r="F32" s="526"/>
      <c r="G32" s="800"/>
      <c r="H32" s="1"/>
      <c r="I32" s="708"/>
      <c r="J32" s="672"/>
      <c r="K32" s="1019"/>
      <c r="L32" s="702"/>
      <c r="M32" s="42"/>
      <c r="N32" s="43"/>
      <c r="O32" s="23"/>
      <c r="P32" s="708"/>
      <c r="Q32" s="672"/>
      <c r="R32" s="42"/>
      <c r="S32" s="672"/>
      <c r="T32" s="42"/>
      <c r="U32" s="1019"/>
      <c r="V32" s="702"/>
      <c r="W32" s="23"/>
      <c r="X32" s="708"/>
      <c r="Y32" s="672"/>
      <c r="Z32" s="745"/>
      <c r="AA32" s="695"/>
      <c r="AB32" s="42"/>
      <c r="AC32" s="43"/>
      <c r="AD32" s="21"/>
      <c r="AE32" s="708"/>
      <c r="AF32" s="825"/>
      <c r="AG32" s="826"/>
      <c r="AH32" s="672"/>
      <c r="AI32" s="672"/>
      <c r="AJ32" s="745"/>
      <c r="AK32" s="695"/>
      <c r="AL32" s="42"/>
      <c r="AM32" s="43"/>
      <c r="AN32" s="21"/>
      <c r="AO32" s="717"/>
      <c r="AP32" s="813"/>
      <c r="AQ32" s="951"/>
      <c r="AR32" s="310"/>
      <c r="AS32" s="310"/>
      <c r="AT32" s="307"/>
      <c r="AU32" s="21"/>
      <c r="AV32" s="717"/>
      <c r="AW32" s="688"/>
      <c r="AX32" s="40"/>
      <c r="AY32" s="52"/>
      <c r="AZ32" s="42"/>
      <c r="BA32" s="43"/>
      <c r="BB32" s="21"/>
      <c r="BC32" s="688"/>
      <c r="BD32" s="73"/>
      <c r="BE32" s="42"/>
      <c r="BF32" s="43"/>
      <c r="BG32" s="21"/>
      <c r="BH32" s="717"/>
      <c r="BI32" s="845"/>
      <c r="BJ32" s="73"/>
      <c r="BK32" s="42"/>
      <c r="BL32" s="43"/>
      <c r="BM32" s="21"/>
      <c r="BN32" s="717"/>
      <c r="BO32" s="845"/>
      <c r="BP32" s="73"/>
      <c r="BQ32" s="845"/>
      <c r="BR32" s="73"/>
      <c r="BS32" s="42"/>
      <c r="BT32" s="43"/>
      <c r="BU32" s="21"/>
      <c r="BV32" s="717"/>
      <c r="BW32" s="933"/>
      <c r="BX32" s="901"/>
      <c r="BY32" s="186"/>
      <c r="BZ32" s="187"/>
      <c r="CA32" s="21"/>
      <c r="CB32" s="711"/>
      <c r="CC32" s="813"/>
      <c r="CD32" s="901"/>
      <c r="CE32" s="44"/>
      <c r="CF32" s="91"/>
      <c r="CG32" s="21"/>
      <c r="CH32" s="711"/>
      <c r="CI32" s="573"/>
      <c r="CJ32" s="126"/>
      <c r="CK32" s="126"/>
      <c r="CL32" s="127"/>
      <c r="CM32" s="21"/>
      <c r="CN32" s="711"/>
      <c r="CO32" s="760"/>
      <c r="CP32" s="40"/>
      <c r="CQ32" s="44"/>
      <c r="CR32" s="36"/>
      <c r="CS32" s="21"/>
      <c r="CT32" s="711"/>
      <c r="CU32" s="720"/>
      <c r="CV32" s="40"/>
      <c r="CW32" s="44"/>
      <c r="CX32" s="36"/>
      <c r="CY32" s="566"/>
      <c r="CZ32" s="720"/>
      <c r="DA32" s="21"/>
      <c r="DB32" s="1037"/>
      <c r="DC32" s="573"/>
      <c r="DD32" s="124"/>
      <c r="DE32" s="126"/>
      <c r="DF32" s="126"/>
      <c r="DG32" s="127"/>
      <c r="DH32" s="20"/>
      <c r="DI32" s="711"/>
      <c r="DJ32" s="720"/>
      <c r="DK32" s="40"/>
      <c r="DL32" s="44"/>
      <c r="DM32" s="36"/>
      <c r="DN32" s="20"/>
      <c r="DO32" s="711"/>
      <c r="DP32" s="720"/>
      <c r="DQ32" s="40"/>
      <c r="DR32" s="44"/>
      <c r="DS32" s="36"/>
      <c r="DT32" s="20"/>
      <c r="DU32" s="711"/>
      <c r="DV32" s="931"/>
      <c r="DW32" s="238"/>
      <c r="DX32" s="239"/>
      <c r="DY32" s="239"/>
      <c r="DZ32" s="240"/>
      <c r="EA32" s="20"/>
      <c r="EB32" s="711"/>
      <c r="EC32" s="720"/>
      <c r="ED32" s="40"/>
      <c r="EE32" s="44"/>
      <c r="EF32" s="36"/>
      <c r="EG32" s="20"/>
      <c r="EH32" s="711"/>
      <c r="EI32" s="720"/>
      <c r="EJ32" s="40"/>
      <c r="EK32" s="44"/>
      <c r="EL32" s="36"/>
      <c r="EM32" s="20"/>
      <c r="EN32" s="717"/>
    </row>
    <row r="33" spans="2:144" ht="17.25" customHeight="1" thickBot="1" x14ac:dyDescent="0.25">
      <c r="B33" s="972"/>
      <c r="C33" s="33">
        <f>C32+1</f>
        <v>45924</v>
      </c>
      <c r="D33" s="1"/>
      <c r="E33" s="23"/>
      <c r="F33" s="526"/>
      <c r="G33" s="800"/>
      <c r="H33" s="1"/>
      <c r="I33" s="708"/>
      <c r="J33" s="672"/>
      <c r="K33" s="1019"/>
      <c r="L33" s="702"/>
      <c r="M33" s="310"/>
      <c r="N33" s="307"/>
      <c r="O33" s="23"/>
      <c r="P33" s="708"/>
      <c r="Q33" s="672"/>
      <c r="R33" s="310"/>
      <c r="S33" s="672"/>
      <c r="T33" s="310"/>
      <c r="U33" s="1019"/>
      <c r="V33" s="702"/>
      <c r="W33" s="23"/>
      <c r="X33" s="708"/>
      <c r="Y33" s="672"/>
      <c r="Z33" s="745"/>
      <c r="AA33" s="695"/>
      <c r="AB33" s="49"/>
      <c r="AC33" s="307"/>
      <c r="AD33" s="21"/>
      <c r="AE33" s="708"/>
      <c r="AF33" s="825"/>
      <c r="AG33" s="826"/>
      <c r="AH33" s="672"/>
      <c r="AI33" s="672"/>
      <c r="AJ33" s="745"/>
      <c r="AK33" s="695"/>
      <c r="AL33" s="49"/>
      <c r="AM33" s="307"/>
      <c r="AN33" s="21"/>
      <c r="AO33" s="717"/>
      <c r="AP33" s="813"/>
      <c r="AQ33" s="951"/>
      <c r="AR33" s="310"/>
      <c r="AS33" s="310"/>
      <c r="AT33" s="307"/>
      <c r="AU33" s="21"/>
      <c r="AV33" s="717"/>
      <c r="AW33" s="688"/>
      <c r="AX33" s="40"/>
      <c r="AY33" s="53"/>
      <c r="AZ33" s="49"/>
      <c r="BA33" s="307"/>
      <c r="BB33" s="21"/>
      <c r="BC33" s="688"/>
      <c r="BD33" s="309"/>
      <c r="BE33" s="49"/>
      <c r="BF33" s="307"/>
      <c r="BG33" s="21"/>
      <c r="BH33" s="717"/>
      <c r="BI33" s="845"/>
      <c r="BJ33" s="40"/>
      <c r="BK33" s="49"/>
      <c r="BL33" s="36"/>
      <c r="BM33" s="21"/>
      <c r="BN33" s="717"/>
      <c r="BO33" s="845"/>
      <c r="BP33" s="309"/>
      <c r="BQ33" s="845"/>
      <c r="BR33" s="68"/>
      <c r="BS33" s="310"/>
      <c r="BT33" s="307"/>
      <c r="BU33" s="21"/>
      <c r="BV33" s="717"/>
      <c r="BW33" s="933"/>
      <c r="BX33" s="901"/>
      <c r="BY33" s="188"/>
      <c r="BZ33" s="189"/>
      <c r="CA33" s="21"/>
      <c r="CB33" s="711"/>
      <c r="CC33" s="813"/>
      <c r="CD33" s="901"/>
      <c r="CE33" s="44"/>
      <c r="CF33" s="92"/>
      <c r="CG33" s="21"/>
      <c r="CH33" s="711"/>
      <c r="CI33" s="573"/>
      <c r="CJ33" s="126"/>
      <c r="CK33" s="126"/>
      <c r="CL33" s="127"/>
      <c r="CM33" s="21"/>
      <c r="CN33" s="711"/>
      <c r="CO33" s="760"/>
      <c r="CP33" s="40"/>
      <c r="CQ33" s="44"/>
      <c r="CR33" s="36"/>
      <c r="CS33" s="21"/>
      <c r="CT33" s="711"/>
      <c r="CU33" s="720"/>
      <c r="CV33" s="40"/>
      <c r="CW33" s="44"/>
      <c r="CX33" s="36"/>
      <c r="CY33" s="566"/>
      <c r="CZ33" s="720"/>
      <c r="DA33" s="21"/>
      <c r="DB33" s="1037"/>
      <c r="DC33" s="573"/>
      <c r="DD33" s="124"/>
      <c r="DE33" s="126"/>
      <c r="DF33" s="126"/>
      <c r="DG33" s="127"/>
      <c r="DH33" s="20"/>
      <c r="DI33" s="711"/>
      <c r="DJ33" s="720"/>
      <c r="DK33" s="40"/>
      <c r="DL33" s="44"/>
      <c r="DM33" s="36"/>
      <c r="DN33" s="20"/>
      <c r="DO33" s="711"/>
      <c r="DP33" s="720"/>
      <c r="DQ33" s="40"/>
      <c r="DR33" s="44"/>
      <c r="DS33" s="36"/>
      <c r="DT33" s="20"/>
      <c r="DU33" s="711"/>
      <c r="DV33" s="931"/>
      <c r="DW33" s="238"/>
      <c r="DX33" s="239"/>
      <c r="DY33" s="239"/>
      <c r="DZ33" s="240"/>
      <c r="EA33" s="20"/>
      <c r="EB33" s="711"/>
      <c r="EC33" s="720"/>
      <c r="ED33" s="40"/>
      <c r="EE33" s="44"/>
      <c r="EF33" s="36"/>
      <c r="EG33" s="20"/>
      <c r="EH33" s="711"/>
      <c r="EI33" s="720"/>
      <c r="EJ33" s="40"/>
      <c r="EK33" s="44"/>
      <c r="EL33" s="36"/>
      <c r="EM33" s="20"/>
      <c r="EN33" s="717"/>
    </row>
    <row r="34" spans="2:144" ht="16.5" thickBot="1" x14ac:dyDescent="0.25">
      <c r="B34" s="972"/>
      <c r="C34" s="33">
        <f>C33+1</f>
        <v>45925</v>
      </c>
      <c r="D34" s="1"/>
      <c r="E34" s="23" t="s">
        <v>403</v>
      </c>
      <c r="F34" s="526"/>
      <c r="G34" s="800"/>
      <c r="H34" s="1"/>
      <c r="I34" s="708"/>
      <c r="J34" s="672"/>
      <c r="K34" s="1019"/>
      <c r="L34" s="702"/>
      <c r="M34" s="310"/>
      <c r="N34" s="307"/>
      <c r="O34" s="23"/>
      <c r="P34" s="708"/>
      <c r="Q34" s="672"/>
      <c r="R34" s="310"/>
      <c r="S34" s="672"/>
      <c r="T34" s="310"/>
      <c r="U34" s="1019"/>
      <c r="V34" s="702"/>
      <c r="W34" s="23"/>
      <c r="X34" s="708"/>
      <c r="Y34" s="672"/>
      <c r="Z34" s="745"/>
      <c r="AA34" s="695"/>
      <c r="AB34" s="50"/>
      <c r="AC34" s="307"/>
      <c r="AD34" s="21"/>
      <c r="AE34" s="708"/>
      <c r="AF34" s="825"/>
      <c r="AG34" s="826"/>
      <c r="AH34" s="672"/>
      <c r="AI34" s="672"/>
      <c r="AJ34" s="745"/>
      <c r="AK34" s="695"/>
      <c r="AL34" s="50"/>
      <c r="AM34" s="307"/>
      <c r="AN34" s="21"/>
      <c r="AO34" s="717"/>
      <c r="AP34" s="813"/>
      <c r="AQ34" s="951"/>
      <c r="AR34" s="310"/>
      <c r="AS34" s="310"/>
      <c r="AT34" s="307"/>
      <c r="AU34" s="21"/>
      <c r="AV34" s="717"/>
      <c r="AW34" s="688"/>
      <c r="AX34" s="40"/>
      <c r="AY34" s="54"/>
      <c r="AZ34" s="50"/>
      <c r="BA34" s="307"/>
      <c r="BB34" s="21"/>
      <c r="BC34" s="688"/>
      <c r="BD34" s="309"/>
      <c r="BE34" s="50"/>
      <c r="BF34" s="307"/>
      <c r="BG34" s="21"/>
      <c r="BH34" s="717"/>
      <c r="BI34" s="845"/>
      <c r="BJ34" s="40"/>
      <c r="BK34" s="50"/>
      <c r="BL34" s="36"/>
      <c r="BM34" s="21"/>
      <c r="BN34" s="717"/>
      <c r="BO34" s="845"/>
      <c r="BP34" s="309"/>
      <c r="BQ34" s="845"/>
      <c r="BR34" s="63"/>
      <c r="BS34" s="310"/>
      <c r="BT34" s="307"/>
      <c r="BU34" s="21"/>
      <c r="BV34" s="717"/>
      <c r="BW34" s="933"/>
      <c r="BX34" s="901"/>
      <c r="BY34" s="190"/>
      <c r="BZ34" s="189"/>
      <c r="CA34" s="21"/>
      <c r="CB34" s="711"/>
      <c r="CC34" s="813"/>
      <c r="CD34" s="901"/>
      <c r="CE34" s="44"/>
      <c r="CF34" s="92"/>
      <c r="CG34" s="21"/>
      <c r="CH34" s="711"/>
      <c r="CI34" s="573"/>
      <c r="CJ34" s="126"/>
      <c r="CK34" s="126"/>
      <c r="CL34" s="127"/>
      <c r="CM34" s="21"/>
      <c r="CN34" s="711"/>
      <c r="CO34" s="760"/>
      <c r="CP34" s="40"/>
      <c r="CQ34" s="44"/>
      <c r="CR34" s="36"/>
      <c r="CS34" s="21"/>
      <c r="CT34" s="711"/>
      <c r="CU34" s="720"/>
      <c r="CV34" s="40"/>
      <c r="CW34" s="44"/>
      <c r="CX34" s="36"/>
      <c r="CY34" s="566"/>
      <c r="CZ34" s="720"/>
      <c r="DA34" s="21"/>
      <c r="DB34" s="1037"/>
      <c r="DC34" s="573"/>
      <c r="DD34" s="124"/>
      <c r="DE34" s="126"/>
      <c r="DF34" s="126"/>
      <c r="DG34" s="127"/>
      <c r="DH34" s="20"/>
      <c r="DI34" s="711"/>
      <c r="DJ34" s="720"/>
      <c r="DK34" s="40"/>
      <c r="DL34" s="44"/>
      <c r="DM34" s="36"/>
      <c r="DN34" s="20"/>
      <c r="DO34" s="711"/>
      <c r="DP34" s="720"/>
      <c r="DQ34" s="40"/>
      <c r="DR34" s="44"/>
      <c r="DS34" s="36"/>
      <c r="DT34" s="20"/>
      <c r="DU34" s="711"/>
      <c r="DV34" s="931"/>
      <c r="DW34" s="238"/>
      <c r="DX34" s="239"/>
      <c r="DY34" s="239"/>
      <c r="DZ34" s="240"/>
      <c r="EA34" s="20"/>
      <c r="EB34" s="711"/>
      <c r="EC34" s="720"/>
      <c r="ED34" s="40"/>
      <c r="EE34" s="44"/>
      <c r="EF34" s="36"/>
      <c r="EG34" s="20"/>
      <c r="EH34" s="711"/>
      <c r="EI34" s="720"/>
      <c r="EJ34" s="40"/>
      <c r="EK34" s="44"/>
      <c r="EL34" s="36"/>
      <c r="EM34" s="20"/>
      <c r="EN34" s="717"/>
    </row>
    <row r="35" spans="2:144" ht="17.25" customHeight="1" thickBot="1" x14ac:dyDescent="0.25">
      <c r="B35" s="972"/>
      <c r="C35" s="34">
        <f>C34+1</f>
        <v>45926</v>
      </c>
      <c r="D35" s="1"/>
      <c r="E35" s="23"/>
      <c r="F35" s="526"/>
      <c r="G35" s="800"/>
      <c r="H35" s="1"/>
      <c r="I35" s="709"/>
      <c r="J35" s="673"/>
      <c r="K35" s="1020"/>
      <c r="L35" s="703"/>
      <c r="M35" s="312"/>
      <c r="N35" s="48"/>
      <c r="O35" s="23"/>
      <c r="P35" s="709"/>
      <c r="Q35" s="735"/>
      <c r="R35" s="312"/>
      <c r="S35" s="735"/>
      <c r="T35" s="312"/>
      <c r="U35" s="1020"/>
      <c r="V35" s="703"/>
      <c r="W35" s="23"/>
      <c r="X35" s="708"/>
      <c r="Y35" s="672"/>
      <c r="Z35" s="746"/>
      <c r="AA35" s="696"/>
      <c r="AB35" s="312"/>
      <c r="AC35" s="48"/>
      <c r="AD35" s="21"/>
      <c r="AE35" s="708"/>
      <c r="AF35" s="825"/>
      <c r="AG35" s="826"/>
      <c r="AH35" s="672"/>
      <c r="AI35" s="672"/>
      <c r="AJ35" s="746"/>
      <c r="AK35" s="696"/>
      <c r="AL35" s="47"/>
      <c r="AM35" s="48"/>
      <c r="AN35" s="21"/>
      <c r="AO35" s="718"/>
      <c r="AP35" s="813"/>
      <c r="AQ35" s="952"/>
      <c r="AR35" s="313"/>
      <c r="AS35" s="313"/>
      <c r="AT35" s="315"/>
      <c r="AU35" s="21"/>
      <c r="AV35" s="718"/>
      <c r="AW35" s="688"/>
      <c r="AX35" s="45"/>
      <c r="AY35" s="55"/>
      <c r="AZ35" s="47"/>
      <c r="BA35" s="48"/>
      <c r="BB35" s="21"/>
      <c r="BC35" s="688"/>
      <c r="BD35" s="67"/>
      <c r="BE35" s="312"/>
      <c r="BF35" s="48"/>
      <c r="BG35" s="21"/>
      <c r="BH35" s="718"/>
      <c r="BI35" s="845"/>
      <c r="BJ35" s="67"/>
      <c r="BK35" s="47"/>
      <c r="BL35" s="48"/>
      <c r="BM35" s="21"/>
      <c r="BN35" s="718"/>
      <c r="BO35" s="845"/>
      <c r="BP35" s="67"/>
      <c r="BQ35" s="845"/>
      <c r="BR35" s="67"/>
      <c r="BS35" s="312"/>
      <c r="BT35" s="48"/>
      <c r="BU35" s="21"/>
      <c r="BV35" s="717"/>
      <c r="BW35" s="933"/>
      <c r="BX35" s="902"/>
      <c r="BY35" s="191"/>
      <c r="BZ35" s="192"/>
      <c r="CA35" s="21"/>
      <c r="CB35" s="712"/>
      <c r="CC35" s="813"/>
      <c r="CD35" s="902"/>
      <c r="CE35" s="59"/>
      <c r="CF35" s="93"/>
      <c r="CG35" s="21"/>
      <c r="CH35" s="711"/>
      <c r="CI35" s="573"/>
      <c r="CJ35" s="109"/>
      <c r="CK35" s="109"/>
      <c r="CL35" s="110"/>
      <c r="CM35" s="21"/>
      <c r="CN35" s="712"/>
      <c r="CO35" s="760"/>
      <c r="CP35" s="45"/>
      <c r="CQ35" s="59"/>
      <c r="CR35" s="64"/>
      <c r="CS35" s="21"/>
      <c r="CT35" s="712"/>
      <c r="CU35" s="720"/>
      <c r="CV35" s="45"/>
      <c r="CW35" s="59"/>
      <c r="CX35" s="64"/>
      <c r="CY35" s="566"/>
      <c r="CZ35" s="720"/>
      <c r="DA35" s="21"/>
      <c r="DB35" s="1037"/>
      <c r="DC35" s="575"/>
      <c r="DD35" s="111"/>
      <c r="DE35" s="109"/>
      <c r="DF35" s="109"/>
      <c r="DG35" s="110"/>
      <c r="DH35" s="20"/>
      <c r="DI35" s="712"/>
      <c r="DJ35" s="720"/>
      <c r="DK35" s="45"/>
      <c r="DL35" s="59"/>
      <c r="DM35" s="64"/>
      <c r="DN35" s="20"/>
      <c r="DO35" s="712"/>
      <c r="DP35" s="720"/>
      <c r="DQ35" s="45"/>
      <c r="DR35" s="59"/>
      <c r="DS35" s="64"/>
      <c r="DT35" s="20"/>
      <c r="DU35" s="712"/>
      <c r="DV35" s="931"/>
      <c r="DW35" s="256"/>
      <c r="DX35" s="257"/>
      <c r="DY35" s="257"/>
      <c r="DZ35" s="258"/>
      <c r="EA35" s="20"/>
      <c r="EB35" s="712"/>
      <c r="EC35" s="720"/>
      <c r="ED35" s="45"/>
      <c r="EE35" s="59"/>
      <c r="EF35" s="64"/>
      <c r="EG35" s="20"/>
      <c r="EH35" s="712"/>
      <c r="EI35" s="720"/>
      <c r="EJ35" s="45"/>
      <c r="EK35" s="59"/>
      <c r="EL35" s="64"/>
      <c r="EM35" s="20"/>
      <c r="EN35" s="718"/>
    </row>
    <row r="36" spans="2:144" ht="31.9" customHeight="1" thickBot="1" x14ac:dyDescent="0.25">
      <c r="B36" s="976">
        <f>B31+1</f>
        <v>40</v>
      </c>
      <c r="C36" s="89">
        <f>C31+7</f>
        <v>45929</v>
      </c>
      <c r="D36" s="4"/>
      <c r="E36" s="24"/>
      <c r="F36" s="525"/>
      <c r="G36" s="800"/>
      <c r="H36" s="4"/>
      <c r="I36" s="707" t="s">
        <v>44</v>
      </c>
      <c r="J36" s="672" t="s">
        <v>73</v>
      </c>
      <c r="K36" s="744">
        <v>1</v>
      </c>
      <c r="L36" s="973" t="s">
        <v>49</v>
      </c>
      <c r="M36" s="39"/>
      <c r="N36" s="35"/>
      <c r="O36" s="24"/>
      <c r="P36" s="707" t="s">
        <v>44</v>
      </c>
      <c r="Q36" s="671" t="s">
        <v>73</v>
      </c>
      <c r="R36" s="308"/>
      <c r="S36" s="671" t="s">
        <v>255</v>
      </c>
      <c r="T36" s="308"/>
      <c r="U36" s="744">
        <v>1</v>
      </c>
      <c r="V36" s="973" t="s">
        <v>49</v>
      </c>
      <c r="W36" s="24"/>
      <c r="X36" s="708"/>
      <c r="Y36" s="672"/>
      <c r="Z36" s="889">
        <v>1</v>
      </c>
      <c r="AA36" s="690" t="s">
        <v>42</v>
      </c>
      <c r="AB36" s="56"/>
      <c r="AC36" s="57"/>
      <c r="AD36" s="21"/>
      <c r="AE36" s="708"/>
      <c r="AF36" s="825"/>
      <c r="AG36" s="826"/>
      <c r="AH36" s="672"/>
      <c r="AI36" s="672"/>
      <c r="AJ36" s="889">
        <v>1</v>
      </c>
      <c r="AK36" s="690" t="s">
        <v>42</v>
      </c>
      <c r="AL36" s="56"/>
      <c r="AM36" s="57"/>
      <c r="AN36" s="21"/>
      <c r="AO36" s="273"/>
      <c r="AP36" s="813"/>
      <c r="AQ36" s="314"/>
      <c r="AR36" s="690" t="s">
        <v>43</v>
      </c>
      <c r="AS36" s="308"/>
      <c r="AT36" s="306"/>
      <c r="AU36" s="21"/>
      <c r="AV36" s="273"/>
      <c r="AW36" s="688"/>
      <c r="AX36" s="37"/>
      <c r="AY36" s="690" t="s">
        <v>43</v>
      </c>
      <c r="AZ36" s="56"/>
      <c r="BA36" s="57"/>
      <c r="BB36" s="21"/>
      <c r="BC36" s="688"/>
      <c r="BD36" s="690" t="s">
        <v>43</v>
      </c>
      <c r="BE36" s="56"/>
      <c r="BF36" s="57"/>
      <c r="BG36" s="21"/>
      <c r="BH36" s="270"/>
      <c r="BI36" s="845"/>
      <c r="BJ36" s="61"/>
      <c r="BK36" s="56"/>
      <c r="BL36" s="57"/>
      <c r="BM36" s="21"/>
      <c r="BN36" s="270"/>
      <c r="BO36" s="845"/>
      <c r="BP36" s="314"/>
      <c r="BQ36" s="845"/>
      <c r="BR36" s="132"/>
      <c r="BS36" s="308"/>
      <c r="BT36" s="57"/>
      <c r="BU36" s="21"/>
      <c r="BV36" s="717"/>
      <c r="BW36" s="933"/>
      <c r="BX36" s="900" t="s">
        <v>275</v>
      </c>
      <c r="BY36" s="56"/>
      <c r="BZ36" s="57"/>
      <c r="CA36" s="21"/>
      <c r="CB36" s="271"/>
      <c r="CC36" s="813"/>
      <c r="CD36" s="900" t="s">
        <v>275</v>
      </c>
      <c r="CE36" s="39"/>
      <c r="CF36" s="35"/>
      <c r="CG36" s="21"/>
      <c r="CH36" s="711"/>
      <c r="CI36" s="573"/>
      <c r="CJ36" s="103"/>
      <c r="CK36" s="103"/>
      <c r="CL36" s="104"/>
      <c r="CM36" s="21"/>
      <c r="CN36" s="270"/>
      <c r="CO36" s="760"/>
      <c r="CP36" s="61"/>
      <c r="CQ36" s="39"/>
      <c r="CR36" s="35"/>
      <c r="CS36" s="21"/>
      <c r="CT36" s="273"/>
      <c r="CU36" s="720"/>
      <c r="CV36" s="61"/>
      <c r="CW36" s="39"/>
      <c r="CX36" s="35"/>
      <c r="CY36" s="566"/>
      <c r="CZ36" s="720"/>
      <c r="DA36" s="21"/>
      <c r="DB36" s="1037"/>
      <c r="DC36" s="573"/>
      <c r="DD36" s="133"/>
      <c r="DE36" s="103"/>
      <c r="DF36" s="103"/>
      <c r="DG36" s="104"/>
      <c r="DH36" s="20"/>
      <c r="DI36" s="270"/>
      <c r="DJ36" s="720"/>
      <c r="DK36" s="61"/>
      <c r="DL36" s="39"/>
      <c r="DM36" s="35"/>
      <c r="DN36" s="20"/>
      <c r="DO36" s="273"/>
      <c r="DP36" s="720"/>
      <c r="DQ36" s="61"/>
      <c r="DR36" s="39"/>
      <c r="DS36" s="35"/>
      <c r="DT36" s="20"/>
      <c r="DU36" s="716" t="s">
        <v>45</v>
      </c>
      <c r="DV36" s="865"/>
      <c r="DW36" s="253"/>
      <c r="DX36" s="254"/>
      <c r="DY36" s="254"/>
      <c r="DZ36" s="255"/>
      <c r="EA36" s="20"/>
      <c r="EB36" s="270"/>
      <c r="EC36" s="720"/>
      <c r="ED36" s="61"/>
      <c r="EE36" s="39"/>
      <c r="EF36" s="35"/>
      <c r="EG36" s="20"/>
      <c r="EH36" s="273"/>
      <c r="EI36" s="720"/>
      <c r="EJ36" s="61"/>
      <c r="EK36" s="39"/>
      <c r="EL36" s="35"/>
      <c r="EM36" s="20"/>
      <c r="EN36" s="270"/>
    </row>
    <row r="37" spans="2:144" ht="19.899999999999999" customHeight="1" thickBot="1" x14ac:dyDescent="0.25">
      <c r="B37" s="976"/>
      <c r="C37" s="33">
        <f>C36+1</f>
        <v>45930</v>
      </c>
      <c r="D37" s="1"/>
      <c r="E37" s="23"/>
      <c r="F37" s="526"/>
      <c r="G37" s="800"/>
      <c r="H37" s="1"/>
      <c r="I37" s="708"/>
      <c r="J37" s="672"/>
      <c r="K37" s="745"/>
      <c r="L37" s="974"/>
      <c r="M37" s="42"/>
      <c r="N37" s="43"/>
      <c r="O37" s="23"/>
      <c r="P37" s="708"/>
      <c r="Q37" s="672"/>
      <c r="R37" s="42"/>
      <c r="S37" s="672"/>
      <c r="T37" s="42"/>
      <c r="U37" s="745"/>
      <c r="V37" s="974"/>
      <c r="W37" s="23"/>
      <c r="X37" s="708"/>
      <c r="Y37" s="672"/>
      <c r="Z37" s="890"/>
      <c r="AA37" s="691"/>
      <c r="AB37" s="42"/>
      <c r="AC37" s="43"/>
      <c r="AD37" s="21"/>
      <c r="AE37" s="708"/>
      <c r="AF37" s="825"/>
      <c r="AG37" s="826"/>
      <c r="AH37" s="672"/>
      <c r="AI37" s="672"/>
      <c r="AJ37" s="890"/>
      <c r="AK37" s="691"/>
      <c r="AL37" s="42"/>
      <c r="AM37" s="43"/>
      <c r="AN37" s="21"/>
      <c r="AO37" s="274"/>
      <c r="AP37" s="813"/>
      <c r="AQ37" s="147"/>
      <c r="AR37" s="691"/>
      <c r="AS37" s="310"/>
      <c r="AT37" s="307"/>
      <c r="AU37" s="21"/>
      <c r="AV37" s="274"/>
      <c r="AW37" s="688"/>
      <c r="AX37" s="40"/>
      <c r="AY37" s="691"/>
      <c r="AZ37" s="42"/>
      <c r="BA37" s="43"/>
      <c r="BB37" s="21"/>
      <c r="BC37" s="688"/>
      <c r="BD37" s="691"/>
      <c r="BE37" s="42"/>
      <c r="BF37" s="43"/>
      <c r="BG37" s="21"/>
      <c r="BH37" s="270"/>
      <c r="BI37" s="845"/>
      <c r="BJ37" s="73"/>
      <c r="BK37" s="42"/>
      <c r="BL37" s="43"/>
      <c r="BM37" s="21"/>
      <c r="BN37" s="270"/>
      <c r="BO37" s="845"/>
      <c r="BP37" s="73"/>
      <c r="BQ37" s="845"/>
      <c r="BR37" s="73"/>
      <c r="BS37" s="42"/>
      <c r="BT37" s="43"/>
      <c r="BU37" s="21"/>
      <c r="BV37" s="717"/>
      <c r="BW37" s="933"/>
      <c r="BX37" s="901"/>
      <c r="BY37" s="42"/>
      <c r="BZ37" s="43"/>
      <c r="CA37" s="21"/>
      <c r="CB37" s="271"/>
      <c r="CC37" s="813"/>
      <c r="CD37" s="901"/>
      <c r="CE37" s="44"/>
      <c r="CF37" s="36"/>
      <c r="CG37" s="21"/>
      <c r="CH37" s="711"/>
      <c r="CI37" s="573"/>
      <c r="CJ37" s="126"/>
      <c r="CK37" s="126"/>
      <c r="CL37" s="127"/>
      <c r="CM37" s="21"/>
      <c r="CN37" s="270"/>
      <c r="CO37" s="760"/>
      <c r="CP37" s="40"/>
      <c r="CQ37" s="44"/>
      <c r="CR37" s="36"/>
      <c r="CS37" s="21"/>
      <c r="CT37" s="268"/>
      <c r="CU37" s="720"/>
      <c r="CV37" s="40"/>
      <c r="CW37" s="44"/>
      <c r="CX37" s="36"/>
      <c r="CY37" s="566"/>
      <c r="CZ37" s="720"/>
      <c r="DA37" s="21"/>
      <c r="DB37" s="1037"/>
      <c r="DC37" s="573"/>
      <c r="DD37" s="124"/>
      <c r="DE37" s="126"/>
      <c r="DF37" s="126"/>
      <c r="DG37" s="127"/>
      <c r="DH37" s="20"/>
      <c r="DI37" s="270"/>
      <c r="DJ37" s="720"/>
      <c r="DK37" s="40"/>
      <c r="DL37" s="44"/>
      <c r="DM37" s="36"/>
      <c r="DN37" s="20"/>
      <c r="DO37" s="268"/>
      <c r="DP37" s="720"/>
      <c r="DQ37" s="40"/>
      <c r="DR37" s="44"/>
      <c r="DS37" s="36"/>
      <c r="DT37" s="20"/>
      <c r="DU37" s="717"/>
      <c r="DV37" s="866"/>
      <c r="DW37" s="238"/>
      <c r="DX37" s="239"/>
      <c r="DY37" s="239"/>
      <c r="DZ37" s="240"/>
      <c r="EA37" s="20"/>
      <c r="EB37" s="270"/>
      <c r="EC37" s="720"/>
      <c r="ED37" s="40"/>
      <c r="EE37" s="44"/>
      <c r="EF37" s="36"/>
      <c r="EG37" s="20"/>
      <c r="EH37" s="268"/>
      <c r="EI37" s="720"/>
      <c r="EJ37" s="40"/>
      <c r="EK37" s="44"/>
      <c r="EL37" s="36"/>
      <c r="EM37" s="20"/>
      <c r="EN37" s="270"/>
    </row>
    <row r="38" spans="2:144" ht="17.25" customHeight="1" thickBot="1" x14ac:dyDescent="0.25">
      <c r="B38" s="976"/>
      <c r="C38" s="33">
        <f>C37+1</f>
        <v>45931</v>
      </c>
      <c r="D38" s="1"/>
      <c r="E38" s="23"/>
      <c r="F38" s="526"/>
      <c r="G38" s="800"/>
      <c r="H38" s="1"/>
      <c r="I38" s="708"/>
      <c r="J38" s="672"/>
      <c r="K38" s="745"/>
      <c r="L38" s="974"/>
      <c r="M38" s="44"/>
      <c r="N38" s="36"/>
      <c r="O38" s="24"/>
      <c r="P38" s="708"/>
      <c r="Q38" s="672"/>
      <c r="R38" s="310"/>
      <c r="S38" s="672"/>
      <c r="T38" s="310"/>
      <c r="U38" s="745"/>
      <c r="V38" s="974"/>
      <c r="W38" s="24"/>
      <c r="X38" s="708"/>
      <c r="Y38" s="672"/>
      <c r="Z38" s="890"/>
      <c r="AA38" s="691"/>
      <c r="AB38" s="310"/>
      <c r="AC38" s="307"/>
      <c r="AD38" s="21"/>
      <c r="AE38" s="708"/>
      <c r="AF38" s="825"/>
      <c r="AG38" s="826"/>
      <c r="AH38" s="672"/>
      <c r="AI38" s="672"/>
      <c r="AJ38" s="890"/>
      <c r="AK38" s="691"/>
      <c r="AL38" s="44"/>
      <c r="AM38" s="36"/>
      <c r="AN38" s="21"/>
      <c r="AO38" s="274"/>
      <c r="AP38" s="813"/>
      <c r="AQ38" s="147"/>
      <c r="AR38" s="691"/>
      <c r="AS38" s="310"/>
      <c r="AT38" s="307"/>
      <c r="AU38" s="21"/>
      <c r="AV38" s="274"/>
      <c r="AW38" s="688"/>
      <c r="AX38" s="40"/>
      <c r="AY38" s="691"/>
      <c r="AZ38" s="44"/>
      <c r="BA38" s="36"/>
      <c r="BB38" s="21"/>
      <c r="BC38" s="688"/>
      <c r="BD38" s="691"/>
      <c r="BE38" s="310"/>
      <c r="BF38" s="307"/>
      <c r="BG38" s="21"/>
      <c r="BH38" s="270"/>
      <c r="BI38" s="845"/>
      <c r="BJ38" s="40"/>
      <c r="BK38" s="44"/>
      <c r="BL38" s="36"/>
      <c r="BM38" s="21"/>
      <c r="BN38" s="270"/>
      <c r="BO38" s="845"/>
      <c r="BP38" s="309"/>
      <c r="BQ38" s="845"/>
      <c r="BR38" s="309"/>
      <c r="BS38" s="310"/>
      <c r="BT38" s="307"/>
      <c r="BU38" s="21"/>
      <c r="BV38" s="717"/>
      <c r="BW38" s="933"/>
      <c r="BX38" s="901"/>
      <c r="BY38" s="44"/>
      <c r="BZ38" s="36"/>
      <c r="CA38" s="21"/>
      <c r="CB38" s="271"/>
      <c r="CC38" s="813"/>
      <c r="CD38" s="901"/>
      <c r="CE38" s="44"/>
      <c r="CF38" s="36"/>
      <c r="CG38" s="21"/>
      <c r="CH38" s="711"/>
      <c r="CI38" s="573"/>
      <c r="CJ38" s="126"/>
      <c r="CK38" s="126"/>
      <c r="CL38" s="127"/>
      <c r="CM38" s="21"/>
      <c r="CN38" s="270"/>
      <c r="CO38" s="760"/>
      <c r="CP38" s="40"/>
      <c r="CQ38" s="44"/>
      <c r="CR38" s="36"/>
      <c r="CS38" s="21"/>
      <c r="CT38" s="268"/>
      <c r="CU38" s="720"/>
      <c r="CV38" s="40"/>
      <c r="CW38" s="44"/>
      <c r="CX38" s="36"/>
      <c r="CY38" s="566"/>
      <c r="CZ38" s="720"/>
      <c r="DA38" s="21"/>
      <c r="DB38" s="1037"/>
      <c r="DC38" s="573"/>
      <c r="DD38" s="124"/>
      <c r="DE38" s="126"/>
      <c r="DF38" s="126"/>
      <c r="DG38" s="127"/>
      <c r="DH38" s="20"/>
      <c r="DI38" s="270"/>
      <c r="DJ38" s="720"/>
      <c r="DK38" s="40"/>
      <c r="DL38" s="44"/>
      <c r="DM38" s="36"/>
      <c r="DN38" s="20"/>
      <c r="DO38" s="268"/>
      <c r="DP38" s="720"/>
      <c r="DQ38" s="40"/>
      <c r="DR38" s="44"/>
      <c r="DS38" s="36"/>
      <c r="DT38" s="20"/>
      <c r="DU38" s="717"/>
      <c r="DV38" s="866"/>
      <c r="DW38" s="238"/>
      <c r="DX38" s="239"/>
      <c r="DY38" s="239"/>
      <c r="DZ38" s="240"/>
      <c r="EA38" s="20"/>
      <c r="EB38" s="270"/>
      <c r="EC38" s="720"/>
      <c r="ED38" s="40"/>
      <c r="EE38" s="44"/>
      <c r="EF38" s="36"/>
      <c r="EG38" s="20"/>
      <c r="EH38" s="268"/>
      <c r="EI38" s="720"/>
      <c r="EJ38" s="40"/>
      <c r="EK38" s="44"/>
      <c r="EL38" s="36"/>
      <c r="EM38" s="20"/>
      <c r="EN38" s="270"/>
    </row>
    <row r="39" spans="2:144" ht="17.25" customHeight="1" thickBot="1" x14ac:dyDescent="0.25">
      <c r="B39" s="976"/>
      <c r="C39" s="33">
        <f>C38+1</f>
        <v>45932</v>
      </c>
      <c r="D39" s="1"/>
      <c r="F39" s="526"/>
      <c r="G39" s="800"/>
      <c r="H39" s="1"/>
      <c r="I39" s="708"/>
      <c r="J39" s="672"/>
      <c r="K39" s="745"/>
      <c r="L39" s="974"/>
      <c r="M39" s="44"/>
      <c r="N39" s="36"/>
      <c r="O39" s="24"/>
      <c r="P39" s="708"/>
      <c r="Q39" s="672"/>
      <c r="R39" s="310"/>
      <c r="S39" s="672"/>
      <c r="T39" s="310"/>
      <c r="U39" s="745"/>
      <c r="V39" s="974"/>
      <c r="W39" s="24"/>
      <c r="X39" s="708"/>
      <c r="Y39" s="672"/>
      <c r="Z39" s="890"/>
      <c r="AA39" s="691"/>
      <c r="AB39" s="310"/>
      <c r="AC39" s="307"/>
      <c r="AD39" s="21"/>
      <c r="AE39" s="708"/>
      <c r="AF39" s="825"/>
      <c r="AG39" s="826"/>
      <c r="AH39" s="672"/>
      <c r="AI39" s="672"/>
      <c r="AJ39" s="890"/>
      <c r="AK39" s="691"/>
      <c r="AL39" s="44"/>
      <c r="AM39" s="36"/>
      <c r="AN39" s="21"/>
      <c r="AO39" s="274"/>
      <c r="AP39" s="813"/>
      <c r="AQ39" s="147"/>
      <c r="AR39" s="691"/>
      <c r="AS39" s="116" t="s">
        <v>61</v>
      </c>
      <c r="AT39" s="307"/>
      <c r="AU39" s="21"/>
      <c r="AV39" s="274"/>
      <c r="AW39" s="688"/>
      <c r="AX39" s="40"/>
      <c r="AY39" s="691"/>
      <c r="AZ39" s="44"/>
      <c r="BA39" s="36"/>
      <c r="BB39" s="21"/>
      <c r="BC39" s="688"/>
      <c r="BD39" s="691"/>
      <c r="BE39" s="310"/>
      <c r="BF39" s="307"/>
      <c r="BG39" s="21"/>
      <c r="BH39" s="270"/>
      <c r="BI39" s="845"/>
      <c r="BJ39" s="40"/>
      <c r="BK39" s="44"/>
      <c r="BL39" s="36"/>
      <c r="BM39" s="21"/>
      <c r="BN39" s="270"/>
      <c r="BO39" s="845"/>
      <c r="BP39" s="309"/>
      <c r="BQ39" s="845"/>
      <c r="BR39" s="309"/>
      <c r="BS39" s="310"/>
      <c r="BT39" s="307"/>
      <c r="BU39" s="21"/>
      <c r="BV39" s="717"/>
      <c r="BW39" s="933"/>
      <c r="BX39" s="901"/>
      <c r="BY39" s="44"/>
      <c r="BZ39" s="36"/>
      <c r="CA39" s="21"/>
      <c r="CB39" s="271"/>
      <c r="CC39" s="813"/>
      <c r="CD39" s="901"/>
      <c r="CE39" s="44"/>
      <c r="CF39" s="36"/>
      <c r="CG39" s="21"/>
      <c r="CH39" s="711"/>
      <c r="CI39" s="573"/>
      <c r="CJ39" s="126"/>
      <c r="CK39" s="126"/>
      <c r="CL39" s="127"/>
      <c r="CM39" s="21"/>
      <c r="CN39" s="270"/>
      <c r="CO39" s="760"/>
      <c r="CP39" s="40"/>
      <c r="CQ39" s="44"/>
      <c r="CR39" s="36"/>
      <c r="CS39" s="21"/>
      <c r="CT39" s="268"/>
      <c r="CU39" s="720"/>
      <c r="CV39" s="40"/>
      <c r="CW39" s="44"/>
      <c r="CX39" s="36"/>
      <c r="CY39" s="566"/>
      <c r="CZ39" s="720"/>
      <c r="DA39" s="21"/>
      <c r="DB39" s="1037"/>
      <c r="DC39" s="573"/>
      <c r="DD39" s="124"/>
      <c r="DE39" s="126"/>
      <c r="DF39" s="126"/>
      <c r="DG39" s="127"/>
      <c r="DH39" s="20"/>
      <c r="DI39" s="270"/>
      <c r="DJ39" s="720"/>
      <c r="DK39" s="40"/>
      <c r="DL39" s="44"/>
      <c r="DM39" s="36"/>
      <c r="DN39" s="20"/>
      <c r="DO39" s="268"/>
      <c r="DP39" s="720"/>
      <c r="DQ39" s="40"/>
      <c r="DR39" s="44"/>
      <c r="DS39" s="36"/>
      <c r="DT39" s="20"/>
      <c r="DU39" s="717"/>
      <c r="DV39" s="866"/>
      <c r="DW39" s="238"/>
      <c r="DX39" s="239"/>
      <c r="DY39" s="239"/>
      <c r="DZ39" s="240"/>
      <c r="EA39" s="20"/>
      <c r="EB39" s="270"/>
      <c r="EC39" s="720"/>
      <c r="ED39" s="40"/>
      <c r="EE39" s="44"/>
      <c r="EF39" s="36"/>
      <c r="EG39" s="20"/>
      <c r="EH39" s="268"/>
      <c r="EI39" s="720"/>
      <c r="EJ39" s="40"/>
      <c r="EK39" s="44"/>
      <c r="EL39" s="36"/>
      <c r="EM39" s="20"/>
      <c r="EN39" s="270"/>
    </row>
    <row r="40" spans="2:144" ht="17.25" customHeight="1" thickBot="1" x14ac:dyDescent="0.25">
      <c r="B40" s="976"/>
      <c r="C40" s="34">
        <f>C39+1</f>
        <v>45933</v>
      </c>
      <c r="D40" s="1"/>
      <c r="E40" s="23"/>
      <c r="F40" s="526"/>
      <c r="G40" s="800"/>
      <c r="H40" s="1"/>
      <c r="I40" s="709"/>
      <c r="J40" s="672"/>
      <c r="K40" s="746"/>
      <c r="L40" s="975"/>
      <c r="M40" s="47"/>
      <c r="N40" s="48"/>
      <c r="O40" s="23"/>
      <c r="P40" s="709"/>
      <c r="Q40" s="672"/>
      <c r="R40" s="312"/>
      <c r="S40" s="672"/>
      <c r="T40" s="312"/>
      <c r="U40" s="746"/>
      <c r="V40" s="975"/>
      <c r="W40" s="23"/>
      <c r="X40" s="709"/>
      <c r="Y40" s="672"/>
      <c r="Z40" s="891"/>
      <c r="AA40" s="692"/>
      <c r="AB40" s="312"/>
      <c r="AC40" s="48"/>
      <c r="AD40" s="21"/>
      <c r="AE40" s="709"/>
      <c r="AF40" s="825"/>
      <c r="AG40" s="826"/>
      <c r="AH40" s="672"/>
      <c r="AI40" s="672"/>
      <c r="AJ40" s="891"/>
      <c r="AK40" s="692"/>
      <c r="AL40" s="47"/>
      <c r="AM40" s="48"/>
      <c r="AN40" s="21"/>
      <c r="AO40" s="275"/>
      <c r="AP40" s="814"/>
      <c r="AQ40" s="311"/>
      <c r="AR40" s="692"/>
      <c r="AS40" s="152" t="s">
        <v>48</v>
      </c>
      <c r="AT40" s="315"/>
      <c r="AU40" s="21"/>
      <c r="AV40" s="275"/>
      <c r="AW40" s="689"/>
      <c r="AX40" s="45"/>
      <c r="AY40" s="692"/>
      <c r="AZ40" s="47"/>
      <c r="BA40" s="48"/>
      <c r="BB40" s="21"/>
      <c r="BC40" s="689"/>
      <c r="BD40" s="692"/>
      <c r="BE40" s="312"/>
      <c r="BF40" s="48"/>
      <c r="BG40" s="21"/>
      <c r="BH40" s="270"/>
      <c r="BI40" s="845"/>
      <c r="BJ40" s="67"/>
      <c r="BK40" s="47"/>
      <c r="BL40" s="48"/>
      <c r="BM40" s="21"/>
      <c r="BN40" s="270"/>
      <c r="BO40" s="845"/>
      <c r="BP40" s="67"/>
      <c r="BQ40" s="845"/>
      <c r="BR40" s="67"/>
      <c r="BS40" s="312"/>
      <c r="BT40" s="48"/>
      <c r="BU40" s="21"/>
      <c r="BV40" s="718"/>
      <c r="BW40" s="933"/>
      <c r="BX40" s="902"/>
      <c r="BY40" s="47"/>
      <c r="BZ40" s="48"/>
      <c r="CA40" s="21"/>
      <c r="CB40" s="271"/>
      <c r="CC40" s="813"/>
      <c r="CD40" s="902"/>
      <c r="CE40" s="59"/>
      <c r="CF40" s="64"/>
      <c r="CG40" s="21"/>
      <c r="CH40" s="712"/>
      <c r="CI40" s="574"/>
      <c r="CJ40" s="109"/>
      <c r="CK40" s="109"/>
      <c r="CL40" s="110"/>
      <c r="CM40" s="21"/>
      <c r="CN40" s="270"/>
      <c r="CO40" s="871"/>
      <c r="CP40" s="45"/>
      <c r="CQ40" s="59"/>
      <c r="CR40" s="64"/>
      <c r="CS40" s="21"/>
      <c r="CT40" s="269"/>
      <c r="CU40" s="720"/>
      <c r="CV40" s="45"/>
      <c r="CW40" s="59"/>
      <c r="CX40" s="64"/>
      <c r="CY40" s="566"/>
      <c r="CZ40" s="720"/>
      <c r="DA40" s="21"/>
      <c r="DB40" s="1037"/>
      <c r="DC40" s="575"/>
      <c r="DD40" s="111"/>
      <c r="DE40" s="109"/>
      <c r="DF40" s="109"/>
      <c r="DG40" s="110"/>
      <c r="DH40" s="20"/>
      <c r="DI40" s="270"/>
      <c r="DJ40" s="720"/>
      <c r="DK40" s="45"/>
      <c r="DL40" s="59"/>
      <c r="DM40" s="64"/>
      <c r="DN40" s="20"/>
      <c r="DO40" s="269"/>
      <c r="DP40" s="720"/>
      <c r="DQ40" s="45"/>
      <c r="DR40" s="59"/>
      <c r="DS40" s="64"/>
      <c r="DT40" s="20"/>
      <c r="DU40" s="717"/>
      <c r="DV40" s="867"/>
      <c r="DW40" s="256"/>
      <c r="DX40" s="257"/>
      <c r="DY40" s="257"/>
      <c r="DZ40" s="258"/>
      <c r="EA40" s="20"/>
      <c r="EB40" s="270"/>
      <c r="EC40" s="721"/>
      <c r="ED40" s="45"/>
      <c r="EE40" s="59"/>
      <c r="EF40" s="64"/>
      <c r="EG40" s="20"/>
      <c r="EH40" s="269"/>
      <c r="EI40" s="720"/>
      <c r="EJ40" s="45"/>
      <c r="EK40" s="59"/>
      <c r="EL40" s="64"/>
      <c r="EM40" s="20"/>
      <c r="EN40" s="270"/>
    </row>
    <row r="41" spans="2:144" ht="16.5" customHeight="1" thickTop="1" thickBot="1" x14ac:dyDescent="0.25">
      <c r="B41" s="972">
        <f>B36+1</f>
        <v>41</v>
      </c>
      <c r="C41" s="89">
        <f>C36+7</f>
        <v>45936</v>
      </c>
      <c r="D41" s="4"/>
      <c r="G41" s="800"/>
      <c r="H41" s="4"/>
      <c r="I41" s="264"/>
      <c r="J41" s="672"/>
      <c r="K41" s="744">
        <v>1</v>
      </c>
      <c r="L41" s="694" t="s">
        <v>55</v>
      </c>
      <c r="M41" s="39"/>
      <c r="N41" s="35"/>
      <c r="O41" s="24"/>
      <c r="P41" s="623"/>
      <c r="Q41" s="672"/>
      <c r="R41" s="308"/>
      <c r="S41" s="672"/>
      <c r="T41" s="308"/>
      <c r="U41" s="744">
        <v>1</v>
      </c>
      <c r="V41" s="694" t="s">
        <v>55</v>
      </c>
      <c r="W41" s="24"/>
      <c r="X41" s="270"/>
      <c r="Y41" s="672"/>
      <c r="Z41" s="744">
        <v>1</v>
      </c>
      <c r="AA41" s="694" t="s">
        <v>50</v>
      </c>
      <c r="AB41" s="308"/>
      <c r="AC41" s="785" t="s">
        <v>395</v>
      </c>
      <c r="AD41" s="21"/>
      <c r="AE41" s="270"/>
      <c r="AF41" s="825"/>
      <c r="AG41" s="826"/>
      <c r="AH41" s="672"/>
      <c r="AI41" s="672"/>
      <c r="AJ41" s="744">
        <v>1</v>
      </c>
      <c r="AK41" s="694" t="s">
        <v>50</v>
      </c>
      <c r="AL41" s="39"/>
      <c r="AM41" s="785" t="s">
        <v>395</v>
      </c>
      <c r="AN41" s="21"/>
      <c r="AO41" s="707" t="s">
        <v>44</v>
      </c>
      <c r="AP41" s="788" t="s">
        <v>88</v>
      </c>
      <c r="AQ41" s="950">
        <v>1</v>
      </c>
      <c r="AR41" s="690" t="s">
        <v>51</v>
      </c>
      <c r="AS41" s="308"/>
      <c r="AT41" s="306"/>
      <c r="AU41" s="21"/>
      <c r="AV41" s="707" t="s">
        <v>44</v>
      </c>
      <c r="AW41" s="659" t="s">
        <v>256</v>
      </c>
      <c r="AX41" s="37"/>
      <c r="AY41" s="694" t="s">
        <v>51</v>
      </c>
      <c r="AZ41" s="39"/>
      <c r="BA41" s="35"/>
      <c r="BB41" s="21"/>
      <c r="BC41" s="659" t="s">
        <v>256</v>
      </c>
      <c r="BD41" s="694" t="s">
        <v>51</v>
      </c>
      <c r="BE41" s="308"/>
      <c r="BF41" s="306"/>
      <c r="BG41" s="21"/>
      <c r="BH41" s="270"/>
      <c r="BI41" s="845"/>
      <c r="BJ41" s="61"/>
      <c r="BK41" s="39"/>
      <c r="BL41" s="35"/>
      <c r="BM41" s="21"/>
      <c r="BN41" s="270"/>
      <c r="BO41" s="845"/>
      <c r="BP41" s="314"/>
      <c r="BQ41" s="845"/>
      <c r="BR41" s="314"/>
      <c r="BS41" s="308"/>
      <c r="BT41" s="306"/>
      <c r="BU41" s="21"/>
      <c r="BV41" s="271"/>
      <c r="BW41" s="933"/>
      <c r="BX41" s="900" t="s">
        <v>276</v>
      </c>
      <c r="BY41" s="39"/>
      <c r="BZ41" s="35"/>
      <c r="CA41" s="21"/>
      <c r="CB41" s="271"/>
      <c r="CC41" s="813"/>
      <c r="CD41" s="900" t="s">
        <v>276</v>
      </c>
      <c r="CE41" s="39"/>
      <c r="CF41" s="35"/>
      <c r="CG41" s="21"/>
      <c r="CH41" s="716" t="s">
        <v>329</v>
      </c>
      <c r="CI41" s="329" t="s">
        <v>46</v>
      </c>
      <c r="CJ41" s="308"/>
      <c r="CK41" s="39"/>
      <c r="CL41" s="649" t="s">
        <v>391</v>
      </c>
      <c r="CM41" s="21"/>
      <c r="CN41" s="270"/>
      <c r="CO41" s="762" t="s">
        <v>260</v>
      </c>
      <c r="CP41" s="61"/>
      <c r="CQ41" s="39"/>
      <c r="CR41" s="770" t="s">
        <v>122</v>
      </c>
      <c r="CS41" s="21"/>
      <c r="CT41" s="707" t="s">
        <v>445</v>
      </c>
      <c r="CU41" s="720"/>
      <c r="CV41" s="61"/>
      <c r="CW41" s="39"/>
      <c r="CX41" s="35"/>
      <c r="CY41" s="566"/>
      <c r="CZ41" s="720"/>
      <c r="DA41" s="21"/>
      <c r="DB41" s="1038" t="s">
        <v>329</v>
      </c>
      <c r="DC41" s="329" t="s">
        <v>46</v>
      </c>
      <c r="DD41" s="314"/>
      <c r="DE41" s="308"/>
      <c r="DF41" s="308"/>
      <c r="DG41" s="649" t="s">
        <v>391</v>
      </c>
      <c r="DH41" s="20"/>
      <c r="DI41" s="270"/>
      <c r="DJ41" s="720"/>
      <c r="DK41" s="61"/>
      <c r="DL41" s="39"/>
      <c r="DM41" s="35"/>
      <c r="DN41" s="20"/>
      <c r="DO41" s="707" t="s">
        <v>445</v>
      </c>
      <c r="DP41" s="720"/>
      <c r="DQ41" s="61"/>
      <c r="DR41" s="39"/>
      <c r="DS41" s="35"/>
      <c r="DT41" s="20"/>
      <c r="DU41" s="717"/>
      <c r="DV41" s="329" t="s">
        <v>46</v>
      </c>
      <c r="DW41" s="314"/>
      <c r="DX41" s="308"/>
      <c r="DY41" s="308"/>
      <c r="DZ41" s="649" t="s">
        <v>391</v>
      </c>
      <c r="EA41" s="20"/>
      <c r="EB41" s="270"/>
      <c r="EC41" s="788" t="s">
        <v>338</v>
      </c>
      <c r="ED41" s="763" t="s">
        <v>53</v>
      </c>
      <c r="EE41" s="39"/>
      <c r="EF41" s="770" t="s">
        <v>54</v>
      </c>
      <c r="EG41" s="20"/>
      <c r="EH41" s="707" t="s">
        <v>444</v>
      </c>
      <c r="EI41" s="720"/>
      <c r="EJ41" s="61"/>
      <c r="EK41" s="39"/>
      <c r="EL41" s="35"/>
      <c r="EM41" s="20"/>
      <c r="EN41" s="270"/>
    </row>
    <row r="42" spans="2:144" ht="19.899999999999999" customHeight="1" thickBot="1" x14ac:dyDescent="0.25">
      <c r="B42" s="972"/>
      <c r="C42" s="33">
        <f>C41+1</f>
        <v>45937</v>
      </c>
      <c r="D42" s="1"/>
      <c r="G42" s="800"/>
      <c r="H42" s="1"/>
      <c r="I42" s="264"/>
      <c r="J42" s="672"/>
      <c r="K42" s="745"/>
      <c r="L42" s="695"/>
      <c r="M42" s="42"/>
      <c r="N42" s="43"/>
      <c r="O42" s="23"/>
      <c r="P42" s="623"/>
      <c r="Q42" s="672"/>
      <c r="R42" s="42"/>
      <c r="S42" s="672"/>
      <c r="T42" s="42"/>
      <c r="U42" s="745"/>
      <c r="V42" s="695"/>
      <c r="W42" s="23"/>
      <c r="X42" s="270"/>
      <c r="Y42" s="672"/>
      <c r="Z42" s="745"/>
      <c r="AA42" s="695"/>
      <c r="AB42" s="42"/>
      <c r="AC42" s="786"/>
      <c r="AD42" s="21"/>
      <c r="AE42" s="270"/>
      <c r="AF42" s="825"/>
      <c r="AG42" s="826"/>
      <c r="AH42" s="672"/>
      <c r="AI42" s="672"/>
      <c r="AJ42" s="745"/>
      <c r="AK42" s="695"/>
      <c r="AL42" s="42"/>
      <c r="AM42" s="786"/>
      <c r="AN42" s="21"/>
      <c r="AO42" s="708"/>
      <c r="AP42" s="789"/>
      <c r="AQ42" s="951"/>
      <c r="AR42" s="691"/>
      <c r="AT42" s="307"/>
      <c r="AU42" s="21"/>
      <c r="AV42" s="708"/>
      <c r="AW42" s="660"/>
      <c r="AX42" s="40"/>
      <c r="AY42" s="695"/>
      <c r="AZ42" s="42"/>
      <c r="BA42" s="43"/>
      <c r="BB42" s="21"/>
      <c r="BC42" s="660"/>
      <c r="BD42" s="695"/>
      <c r="BE42" s="42"/>
      <c r="BF42" s="43"/>
      <c r="BG42" s="21"/>
      <c r="BH42" s="270"/>
      <c r="BI42" s="845"/>
      <c r="BJ42" s="73"/>
      <c r="BK42" s="42"/>
      <c r="BL42" s="43"/>
      <c r="BM42" s="21"/>
      <c r="BN42" s="270"/>
      <c r="BO42" s="845"/>
      <c r="BP42" s="73"/>
      <c r="BQ42" s="845"/>
      <c r="BR42" s="73"/>
      <c r="BS42" s="42"/>
      <c r="BT42" s="43"/>
      <c r="BU42" s="21"/>
      <c r="BV42" s="271"/>
      <c r="BW42" s="933"/>
      <c r="BX42" s="901"/>
      <c r="BY42" s="42"/>
      <c r="BZ42" s="43"/>
      <c r="CA42" s="21"/>
      <c r="CB42" s="271"/>
      <c r="CC42" s="813"/>
      <c r="CD42" s="901"/>
      <c r="CE42" s="44"/>
      <c r="CF42" s="36"/>
      <c r="CG42" s="21"/>
      <c r="CH42" s="717"/>
      <c r="CI42" s="755" t="s">
        <v>47</v>
      </c>
      <c r="CJ42" s="310"/>
      <c r="CK42" s="44"/>
      <c r="CL42" s="650"/>
      <c r="CM42" s="21"/>
      <c r="CN42" s="270"/>
      <c r="CO42" s="813"/>
      <c r="CP42" s="40"/>
      <c r="CQ42" s="44"/>
      <c r="CR42" s="771"/>
      <c r="CS42" s="21"/>
      <c r="CT42" s="711"/>
      <c r="CU42" s="720"/>
      <c r="CV42" s="40"/>
      <c r="CW42" s="44"/>
      <c r="CX42" s="36"/>
      <c r="CY42" s="566"/>
      <c r="CZ42" s="720"/>
      <c r="DA42" s="21"/>
      <c r="DB42" s="1038"/>
      <c r="DC42" s="755" t="s">
        <v>47</v>
      </c>
      <c r="DD42" s="309"/>
      <c r="DE42" s="310"/>
      <c r="DF42" s="310"/>
      <c r="DG42" s="650"/>
      <c r="DH42" s="20"/>
      <c r="DI42" s="270"/>
      <c r="DJ42" s="720"/>
      <c r="DK42" s="40"/>
      <c r="DL42" s="44"/>
      <c r="DM42" s="36"/>
      <c r="DN42" s="20"/>
      <c r="DO42" s="711"/>
      <c r="DP42" s="720"/>
      <c r="DQ42" s="40"/>
      <c r="DR42" s="44"/>
      <c r="DS42" s="36"/>
      <c r="DT42" s="20"/>
      <c r="DU42" s="717"/>
      <c r="DV42" s="755" t="s">
        <v>47</v>
      </c>
      <c r="DW42" s="309"/>
      <c r="DX42" s="310"/>
      <c r="DY42" s="310"/>
      <c r="DZ42" s="650"/>
      <c r="EA42" s="20"/>
      <c r="EB42" s="270"/>
      <c r="EC42" s="789"/>
      <c r="ED42" s="764"/>
      <c r="EE42" s="44"/>
      <c r="EF42" s="771"/>
      <c r="EG42" s="20"/>
      <c r="EH42" s="711"/>
      <c r="EI42" s="720"/>
      <c r="EJ42" s="40"/>
      <c r="EK42" s="44"/>
      <c r="EL42" s="36"/>
      <c r="EM42" s="20"/>
      <c r="EN42" s="270"/>
    </row>
    <row r="43" spans="2:144" ht="22.5" customHeight="1" thickBot="1" x14ac:dyDescent="0.25">
      <c r="B43" s="972"/>
      <c r="C43" s="33">
        <f>C42+1</f>
        <v>45938</v>
      </c>
      <c r="D43" s="1"/>
      <c r="G43" s="800"/>
      <c r="H43" s="1"/>
      <c r="I43" s="264"/>
      <c r="J43" s="672"/>
      <c r="K43" s="745"/>
      <c r="L43" s="695"/>
      <c r="M43" s="44"/>
      <c r="N43" s="36"/>
      <c r="O43" s="24"/>
      <c r="P43" s="623"/>
      <c r="Q43" s="672"/>
      <c r="R43" s="310"/>
      <c r="S43" s="672"/>
      <c r="T43" s="310"/>
      <c r="U43" s="745"/>
      <c r="V43" s="695"/>
      <c r="W43" s="24"/>
      <c r="X43" s="270"/>
      <c r="Y43" s="672"/>
      <c r="Z43" s="745"/>
      <c r="AA43" s="695"/>
      <c r="AB43" s="310"/>
      <c r="AC43" s="786"/>
      <c r="AD43" s="21"/>
      <c r="AE43" s="270"/>
      <c r="AF43" s="825"/>
      <c r="AG43" s="826"/>
      <c r="AH43" s="672"/>
      <c r="AI43" s="672"/>
      <c r="AJ43" s="745"/>
      <c r="AK43" s="695"/>
      <c r="AL43" s="44"/>
      <c r="AM43" s="786"/>
      <c r="AN43" s="21"/>
      <c r="AO43" s="708"/>
      <c r="AP43" s="789"/>
      <c r="AQ43" s="951"/>
      <c r="AR43" s="691"/>
      <c r="AS43" s="310"/>
      <c r="AT43" s="307"/>
      <c r="AU43" s="21"/>
      <c r="AV43" s="708"/>
      <c r="AW43" s="660"/>
      <c r="AX43" s="40"/>
      <c r="AY43" s="695"/>
      <c r="AZ43" s="44"/>
      <c r="BA43" s="36"/>
      <c r="BB43" s="21"/>
      <c r="BC43" s="660"/>
      <c r="BD43" s="695"/>
      <c r="BE43" s="310"/>
      <c r="BF43" s="307"/>
      <c r="BG43" s="21"/>
      <c r="BH43" s="270"/>
      <c r="BI43" s="845"/>
      <c r="BJ43" s="40"/>
      <c r="BK43" s="44"/>
      <c r="BL43" s="36"/>
      <c r="BM43" s="21"/>
      <c r="BN43" s="270"/>
      <c r="BO43" s="845"/>
      <c r="BP43" s="309"/>
      <c r="BQ43" s="845"/>
      <c r="BR43" s="309"/>
      <c r="BS43" s="310"/>
      <c r="BT43" s="307"/>
      <c r="BU43" s="21"/>
      <c r="BV43" s="271"/>
      <c r="BW43" s="933"/>
      <c r="BX43" s="901"/>
      <c r="BY43" s="44"/>
      <c r="BZ43" s="36"/>
      <c r="CA43" s="21"/>
      <c r="CB43" s="271"/>
      <c r="CC43" s="813"/>
      <c r="CD43" s="901"/>
      <c r="CE43" s="44"/>
      <c r="CF43" s="36"/>
      <c r="CG43" s="21"/>
      <c r="CH43" s="717"/>
      <c r="CI43" s="756"/>
      <c r="CJ43" s="310"/>
      <c r="CK43" s="44"/>
      <c r="CL43" s="650"/>
      <c r="CM43" s="21"/>
      <c r="CN43" s="270"/>
      <c r="CO43" s="813"/>
      <c r="CP43" s="40"/>
      <c r="CQ43" s="44"/>
      <c r="CR43" s="771"/>
      <c r="CS43" s="21"/>
      <c r="CT43" s="711"/>
      <c r="CU43" s="720"/>
      <c r="CV43" s="40"/>
      <c r="CW43" s="44"/>
      <c r="CX43" s="36"/>
      <c r="CY43" s="566"/>
      <c r="CZ43" s="720"/>
      <c r="DA43" s="21"/>
      <c r="DB43" s="1038"/>
      <c r="DC43" s="756"/>
      <c r="DD43" s="309"/>
      <c r="DE43" s="310"/>
      <c r="DF43" s="310"/>
      <c r="DG43" s="650"/>
      <c r="DH43" s="20"/>
      <c r="DI43" s="270"/>
      <c r="DJ43" s="720"/>
      <c r="DK43" s="40"/>
      <c r="DL43" s="44"/>
      <c r="DM43" s="36"/>
      <c r="DN43" s="20"/>
      <c r="DO43" s="711"/>
      <c r="DP43" s="720"/>
      <c r="DQ43" s="40"/>
      <c r="DR43" s="44"/>
      <c r="DS43" s="36"/>
      <c r="DT43" s="20"/>
      <c r="DU43" s="717"/>
      <c r="DV43" s="756"/>
      <c r="DW43" s="309"/>
      <c r="DX43" s="310"/>
      <c r="DY43" s="310"/>
      <c r="DZ43" s="650"/>
      <c r="EA43" s="20"/>
      <c r="EB43" s="270"/>
      <c r="EC43" s="789"/>
      <c r="ED43" s="764"/>
      <c r="EE43" s="44"/>
      <c r="EF43" s="771"/>
      <c r="EG43" s="20"/>
      <c r="EH43" s="711"/>
      <c r="EI43" s="720"/>
      <c r="EJ43" s="40"/>
      <c r="EK43" s="44"/>
      <c r="EL43" s="36"/>
      <c r="EM43" s="20"/>
      <c r="EN43" s="270"/>
    </row>
    <row r="44" spans="2:144" ht="32.25" thickBot="1" x14ac:dyDescent="0.25">
      <c r="B44" s="972"/>
      <c r="C44" s="33">
        <f>C43+1</f>
        <v>45939</v>
      </c>
      <c r="D44" s="1"/>
      <c r="E44" s="210" t="s">
        <v>401</v>
      </c>
      <c r="F44" s="585"/>
      <c r="G44" s="800"/>
      <c r="H44" s="1"/>
      <c r="I44" s="264"/>
      <c r="J44" s="672"/>
      <c r="K44" s="745"/>
      <c r="L44" s="695"/>
      <c r="M44" s="44"/>
      <c r="N44" s="36"/>
      <c r="O44" s="23"/>
      <c r="P44" s="623"/>
      <c r="Q44" s="672"/>
      <c r="R44" s="310"/>
      <c r="S44" s="672"/>
      <c r="T44" s="310"/>
      <c r="U44" s="745"/>
      <c r="V44" s="695"/>
      <c r="W44" s="23"/>
      <c r="X44" s="270"/>
      <c r="Y44" s="672"/>
      <c r="Z44" s="745"/>
      <c r="AA44" s="695"/>
      <c r="AB44" s="310"/>
      <c r="AC44" s="786"/>
      <c r="AD44" s="21"/>
      <c r="AE44" s="270"/>
      <c r="AF44" s="825"/>
      <c r="AG44" s="826"/>
      <c r="AH44" s="672"/>
      <c r="AI44" s="672"/>
      <c r="AJ44" s="745"/>
      <c r="AK44" s="695"/>
      <c r="AL44" s="44"/>
      <c r="AM44" s="786"/>
      <c r="AN44" s="21"/>
      <c r="AO44" s="708"/>
      <c r="AP44" s="789"/>
      <c r="AQ44" s="951"/>
      <c r="AR44" s="691"/>
      <c r="AS44" s="310"/>
      <c r="AT44" s="307"/>
      <c r="AU44" s="21"/>
      <c r="AV44" s="708"/>
      <c r="AW44" s="660"/>
      <c r="AX44" s="40"/>
      <c r="AY44" s="695"/>
      <c r="AZ44" s="44"/>
      <c r="BA44" s="36"/>
      <c r="BB44" s="21"/>
      <c r="BC44" s="660"/>
      <c r="BD44" s="695"/>
      <c r="BE44" s="310"/>
      <c r="BF44" s="307"/>
      <c r="BG44" s="21"/>
      <c r="BH44" s="270"/>
      <c r="BI44" s="845"/>
      <c r="BJ44" s="40"/>
      <c r="BK44" s="44"/>
      <c r="BL44" s="36"/>
      <c r="BM44" s="21"/>
      <c r="BN44" s="270"/>
      <c r="BO44" s="845"/>
      <c r="BP44" s="309"/>
      <c r="BQ44" s="845"/>
      <c r="BR44" s="309"/>
      <c r="BS44" s="310"/>
      <c r="BT44" s="307"/>
      <c r="BU44" s="21"/>
      <c r="BV44" s="270"/>
      <c r="BW44" s="933"/>
      <c r="BX44" s="901"/>
      <c r="BY44" s="44"/>
      <c r="BZ44" s="36"/>
      <c r="CA44" s="21"/>
      <c r="CB44" s="270"/>
      <c r="CC44" s="813"/>
      <c r="CD44" s="901"/>
      <c r="CE44" s="44"/>
      <c r="CF44" s="36"/>
      <c r="CG44" s="21"/>
      <c r="CH44" s="717"/>
      <c r="CI44" s="756"/>
      <c r="CJ44" s="310"/>
      <c r="CK44" s="44"/>
      <c r="CL44" s="650"/>
      <c r="CM44" s="21"/>
      <c r="CN44" s="270"/>
      <c r="CO44" s="813"/>
      <c r="CP44" s="40"/>
      <c r="CQ44" s="44"/>
      <c r="CR44" s="771"/>
      <c r="CS44" s="21"/>
      <c r="CT44" s="711"/>
      <c r="CU44" s="720"/>
      <c r="CV44" s="40"/>
      <c r="CW44" s="44"/>
      <c r="CX44" s="36"/>
      <c r="CY44" s="566"/>
      <c r="CZ44" s="720"/>
      <c r="DA44" s="21"/>
      <c r="DB44" s="1038"/>
      <c r="DC44" s="756"/>
      <c r="DD44" s="309"/>
      <c r="DE44" s="310"/>
      <c r="DF44" s="310"/>
      <c r="DG44" s="650"/>
      <c r="DH44" s="20"/>
      <c r="DI44" s="270"/>
      <c r="DJ44" s="720"/>
      <c r="DK44" s="40"/>
      <c r="DL44" s="44"/>
      <c r="DM44" s="36"/>
      <c r="DN44" s="20"/>
      <c r="DO44" s="711"/>
      <c r="DP44" s="720"/>
      <c r="DQ44" s="40"/>
      <c r="DR44" s="44"/>
      <c r="DS44" s="36"/>
      <c r="DT44" s="20"/>
      <c r="DU44" s="717"/>
      <c r="DV44" s="756"/>
      <c r="DW44" s="309"/>
      <c r="DX44" s="310"/>
      <c r="DY44" s="310"/>
      <c r="DZ44" s="650"/>
      <c r="EA44" s="20"/>
      <c r="EB44" s="270"/>
      <c r="EC44" s="789"/>
      <c r="ED44" s="764"/>
      <c r="EE44" s="44"/>
      <c r="EF44" s="771"/>
      <c r="EG44" s="20"/>
      <c r="EH44" s="711"/>
      <c r="EI44" s="720"/>
      <c r="EJ44" s="40"/>
      <c r="EK44" s="44"/>
      <c r="EL44" s="36"/>
      <c r="EM44" s="20"/>
      <c r="EN44" s="270"/>
    </row>
    <row r="45" spans="2:144" ht="17.25" customHeight="1" thickBot="1" x14ac:dyDescent="0.25">
      <c r="B45" s="972"/>
      <c r="C45" s="34">
        <f>C44+1</f>
        <v>45940</v>
      </c>
      <c r="D45" s="1"/>
      <c r="G45" s="800"/>
      <c r="H45" s="1"/>
      <c r="I45" s="264"/>
      <c r="J45" s="672"/>
      <c r="K45" s="746"/>
      <c r="L45" s="696"/>
      <c r="M45" s="47"/>
      <c r="N45" s="48"/>
      <c r="O45" s="23"/>
      <c r="P45" s="623"/>
      <c r="Q45" s="672"/>
      <c r="R45" s="312"/>
      <c r="S45" s="672"/>
      <c r="T45" s="312"/>
      <c r="U45" s="746"/>
      <c r="V45" s="696"/>
      <c r="W45" s="23"/>
      <c r="X45" s="270"/>
      <c r="Y45" s="672"/>
      <c r="Z45" s="746"/>
      <c r="AA45" s="696"/>
      <c r="AB45" s="312"/>
      <c r="AC45" s="787"/>
      <c r="AD45" s="21"/>
      <c r="AE45" s="270"/>
      <c r="AF45" s="825"/>
      <c r="AG45" s="826"/>
      <c r="AH45" s="672"/>
      <c r="AI45" s="672"/>
      <c r="AJ45" s="746"/>
      <c r="AK45" s="696"/>
      <c r="AL45" s="47"/>
      <c r="AM45" s="787"/>
      <c r="AN45" s="21"/>
      <c r="AO45" s="709"/>
      <c r="AP45" s="789"/>
      <c r="AQ45" s="952"/>
      <c r="AR45" s="692"/>
      <c r="AS45" s="313"/>
      <c r="AT45" s="315"/>
      <c r="AU45" s="21"/>
      <c r="AV45" s="709"/>
      <c r="AW45" s="660"/>
      <c r="AX45" s="45"/>
      <c r="AY45" s="696"/>
      <c r="AZ45" s="47"/>
      <c r="BA45" s="48"/>
      <c r="BB45" s="21"/>
      <c r="BC45" s="660"/>
      <c r="BD45" s="696"/>
      <c r="BE45" s="312"/>
      <c r="BF45" s="48"/>
      <c r="BG45" s="21"/>
      <c r="BH45" s="270"/>
      <c r="BI45" s="845"/>
      <c r="BJ45" s="67"/>
      <c r="BK45" s="47"/>
      <c r="BL45" s="48"/>
      <c r="BM45" s="21"/>
      <c r="BN45" s="270"/>
      <c r="BO45" s="845"/>
      <c r="BP45" s="67"/>
      <c r="BQ45" s="845"/>
      <c r="BR45" s="67"/>
      <c r="BS45" s="312"/>
      <c r="BT45" s="48"/>
      <c r="BU45" s="21"/>
      <c r="BV45" s="270"/>
      <c r="BW45" s="933"/>
      <c r="BX45" s="902"/>
      <c r="BY45" s="47"/>
      <c r="BZ45" s="48"/>
      <c r="CA45" s="21"/>
      <c r="CB45" s="270"/>
      <c r="CC45" s="813"/>
      <c r="CD45" s="902"/>
      <c r="CE45" s="59"/>
      <c r="CF45" s="64"/>
      <c r="CG45" s="21"/>
      <c r="CH45" s="717"/>
      <c r="CI45" s="756"/>
      <c r="CJ45" s="313"/>
      <c r="CK45" s="59"/>
      <c r="CL45" s="651"/>
      <c r="CM45" s="21"/>
      <c r="CN45" s="270"/>
      <c r="CO45" s="813"/>
      <c r="CP45" s="45"/>
      <c r="CQ45" s="59"/>
      <c r="CR45" s="772"/>
      <c r="CS45" s="21"/>
      <c r="CT45" s="712"/>
      <c r="CU45" s="720"/>
      <c r="CV45" s="45"/>
      <c r="CW45" s="59"/>
      <c r="CX45" s="64"/>
      <c r="CY45" s="566"/>
      <c r="CZ45" s="720"/>
      <c r="DA45" s="21"/>
      <c r="DB45" s="1038"/>
      <c r="DC45" s="756"/>
      <c r="DD45" s="311"/>
      <c r="DE45" s="313"/>
      <c r="DF45" s="313"/>
      <c r="DG45" s="651"/>
      <c r="DH45" s="20"/>
      <c r="DI45" s="270"/>
      <c r="DJ45" s="720"/>
      <c r="DK45" s="45"/>
      <c r="DL45" s="59"/>
      <c r="DM45" s="64"/>
      <c r="DN45" s="20"/>
      <c r="DO45" s="712"/>
      <c r="DP45" s="720"/>
      <c r="DQ45" s="45"/>
      <c r="DR45" s="59"/>
      <c r="DS45" s="64"/>
      <c r="DT45" s="20"/>
      <c r="DU45" s="718"/>
      <c r="DV45" s="756"/>
      <c r="DW45" s="311"/>
      <c r="DX45" s="313"/>
      <c r="DY45" s="313"/>
      <c r="DZ45" s="651"/>
      <c r="EA45" s="20"/>
      <c r="EB45" s="270"/>
      <c r="EC45" s="789"/>
      <c r="ED45" s="765"/>
      <c r="EE45" s="59"/>
      <c r="EF45" s="772"/>
      <c r="EG45" s="20"/>
      <c r="EH45" s="712"/>
      <c r="EI45" s="720"/>
      <c r="EJ45" s="45"/>
      <c r="EK45" s="59"/>
      <c r="EL45" s="64"/>
      <c r="EM45" s="20"/>
      <c r="EN45" s="270"/>
    </row>
    <row r="46" spans="2:144" ht="30" customHeight="1" thickTop="1" thickBot="1" x14ac:dyDescent="0.25">
      <c r="B46" s="972">
        <f>B41+1</f>
        <v>42</v>
      </c>
      <c r="C46" s="89">
        <f>C41+7</f>
        <v>45943</v>
      </c>
      <c r="D46" s="4"/>
      <c r="E46" s="897" t="s">
        <v>288</v>
      </c>
      <c r="F46" s="586"/>
      <c r="G46" s="800"/>
      <c r="H46" s="4"/>
      <c r="I46" s="264"/>
      <c r="J46" s="672"/>
      <c r="K46" s="744">
        <v>1</v>
      </c>
      <c r="L46" s="973" t="s">
        <v>63</v>
      </c>
      <c r="M46" s="39"/>
      <c r="N46" s="35"/>
      <c r="O46" s="24"/>
      <c r="P46" s="623"/>
      <c r="Q46" s="672"/>
      <c r="R46" s="308"/>
      <c r="S46" s="672"/>
      <c r="T46" s="308"/>
      <c r="U46" s="744">
        <v>1</v>
      </c>
      <c r="V46" s="973" t="s">
        <v>63</v>
      </c>
      <c r="W46" s="24"/>
      <c r="X46" s="271"/>
      <c r="Y46" s="672"/>
      <c r="Z46" s="744">
        <v>1</v>
      </c>
      <c r="AA46" s="694" t="s">
        <v>56</v>
      </c>
      <c r="AB46" s="308"/>
      <c r="AC46" s="306"/>
      <c r="AD46" s="21"/>
      <c r="AE46" s="271"/>
      <c r="AF46" s="825"/>
      <c r="AG46" s="826"/>
      <c r="AH46" s="672"/>
      <c r="AI46" s="672"/>
      <c r="AJ46" s="744">
        <v>1</v>
      </c>
      <c r="AK46" s="694" t="s">
        <v>56</v>
      </c>
      <c r="AL46" s="39"/>
      <c r="AM46" s="35"/>
      <c r="AN46" s="21"/>
      <c r="AO46" s="271"/>
      <c r="AP46" s="789"/>
      <c r="AQ46" s="950">
        <v>1</v>
      </c>
      <c r="AR46" s="690" t="s">
        <v>57</v>
      </c>
      <c r="AS46" s="308"/>
      <c r="AT46" s="306"/>
      <c r="AU46" s="21"/>
      <c r="AV46" s="271"/>
      <c r="AW46" s="660"/>
      <c r="AX46" s="37"/>
      <c r="AY46" s="694" t="s">
        <v>57</v>
      </c>
      <c r="AZ46" s="39"/>
      <c r="BA46" s="35"/>
      <c r="BB46" s="21"/>
      <c r="BC46" s="660"/>
      <c r="BD46" s="694" t="s">
        <v>57</v>
      </c>
      <c r="BE46" s="308"/>
      <c r="BF46" s="306"/>
      <c r="BG46" s="21"/>
      <c r="BH46" s="271"/>
      <c r="BI46" s="845"/>
      <c r="BJ46" s="61"/>
      <c r="BK46" s="39"/>
      <c r="BL46" s="35"/>
      <c r="BM46" s="21"/>
      <c r="BN46" s="271"/>
      <c r="BO46" s="845"/>
      <c r="BP46" s="314"/>
      <c r="BQ46" s="845"/>
      <c r="BR46" s="314"/>
      <c r="BS46" s="308"/>
      <c r="BT46" s="306"/>
      <c r="BU46" s="21"/>
      <c r="BV46" s="271"/>
      <c r="BW46" s="933"/>
      <c r="BX46" s="900" t="s">
        <v>277</v>
      </c>
      <c r="BY46" s="39"/>
      <c r="BZ46" s="35"/>
      <c r="CA46" s="21"/>
      <c r="CB46" s="271"/>
      <c r="CC46" s="813"/>
      <c r="CD46" s="900" t="s">
        <v>277</v>
      </c>
      <c r="CE46" s="39"/>
      <c r="CF46" s="35"/>
      <c r="CG46" s="21"/>
      <c r="CH46" s="717"/>
      <c r="CI46" s="687" t="s">
        <v>261</v>
      </c>
      <c r="CJ46" s="694" t="s">
        <v>43</v>
      </c>
      <c r="CK46" s="39"/>
      <c r="CL46" s="35"/>
      <c r="CM46" s="21"/>
      <c r="CN46" s="270"/>
      <c r="CO46" s="813"/>
      <c r="CP46" s="643" t="s">
        <v>53</v>
      </c>
      <c r="CQ46" s="39"/>
      <c r="CR46" s="35"/>
      <c r="CS46" s="21"/>
      <c r="CT46" s="270"/>
      <c r="CU46" s="720"/>
      <c r="CV46" s="61"/>
      <c r="CW46" s="39"/>
      <c r="CX46" s="35"/>
      <c r="CY46" s="566"/>
      <c r="CZ46" s="720"/>
      <c r="DA46" s="21"/>
      <c r="DB46" s="1038"/>
      <c r="DC46" s="880" t="s">
        <v>52</v>
      </c>
      <c r="DD46" s="61"/>
      <c r="DE46" s="690" t="s">
        <v>43</v>
      </c>
      <c r="DF46" s="39"/>
      <c r="DG46" s="306"/>
      <c r="DH46" s="20"/>
      <c r="DI46" s="270"/>
      <c r="DJ46" s="720"/>
      <c r="DK46" s="61"/>
      <c r="DL46" s="39"/>
      <c r="DM46" s="35"/>
      <c r="DN46" s="20"/>
      <c r="DO46" s="270"/>
      <c r="DP46" s="720"/>
      <c r="DQ46" s="61"/>
      <c r="DR46" s="39"/>
      <c r="DS46" s="35"/>
      <c r="DT46" s="20" t="s">
        <v>59</v>
      </c>
      <c r="DU46" s="271"/>
      <c r="DV46" s="762" t="s">
        <v>339</v>
      </c>
      <c r="DW46" s="61"/>
      <c r="DX46" s="690" t="s">
        <v>43</v>
      </c>
      <c r="DY46" s="39"/>
      <c r="DZ46" s="35"/>
      <c r="EA46" s="20"/>
      <c r="EB46" s="270"/>
      <c r="EC46" s="789"/>
      <c r="ED46" s="763" t="s">
        <v>60</v>
      </c>
      <c r="EE46" s="39"/>
      <c r="EF46" s="35"/>
      <c r="EG46" s="20"/>
      <c r="EH46" s="270"/>
      <c r="EI46" s="720"/>
      <c r="EJ46" s="61"/>
      <c r="EK46" s="39"/>
      <c r="EL46" s="35"/>
      <c r="EM46" s="20"/>
      <c r="EN46" s="271"/>
    </row>
    <row r="47" spans="2:144" ht="17.25" customHeight="1" thickBot="1" x14ac:dyDescent="0.25">
      <c r="B47" s="972"/>
      <c r="C47" s="33">
        <f>C46+1</f>
        <v>45944</v>
      </c>
      <c r="D47" s="1"/>
      <c r="E47" s="898"/>
      <c r="F47" s="586"/>
      <c r="G47" s="800"/>
      <c r="H47" s="1"/>
      <c r="I47" s="264"/>
      <c r="J47" s="672"/>
      <c r="K47" s="745"/>
      <c r="L47" s="974"/>
      <c r="M47" s="42"/>
      <c r="N47" s="43"/>
      <c r="O47" s="23"/>
      <c r="P47" s="623"/>
      <c r="Q47" s="672"/>
      <c r="R47" s="42"/>
      <c r="S47" s="672"/>
      <c r="T47" s="42"/>
      <c r="U47" s="745"/>
      <c r="V47" s="974"/>
      <c r="W47" s="23"/>
      <c r="X47" s="270"/>
      <c r="Y47" s="672"/>
      <c r="Z47" s="745"/>
      <c r="AA47" s="695"/>
      <c r="AB47" s="42"/>
      <c r="AC47" s="43"/>
      <c r="AD47" s="21"/>
      <c r="AE47" s="270"/>
      <c r="AF47" s="825"/>
      <c r="AG47" s="826"/>
      <c r="AH47" s="672"/>
      <c r="AI47" s="672"/>
      <c r="AJ47" s="745"/>
      <c r="AK47" s="695"/>
      <c r="AL47" s="42"/>
      <c r="AM47" s="43"/>
      <c r="AN47" s="21"/>
      <c r="AO47" s="270"/>
      <c r="AP47" s="789"/>
      <c r="AQ47" s="951"/>
      <c r="AR47" s="691"/>
      <c r="AS47" s="310"/>
      <c r="AT47" s="307"/>
      <c r="AU47" s="21"/>
      <c r="AV47" s="270"/>
      <c r="AW47" s="660"/>
      <c r="AX47" s="40"/>
      <c r="AY47" s="695"/>
      <c r="AZ47" s="42"/>
      <c r="BA47" s="43"/>
      <c r="BB47" s="21"/>
      <c r="BC47" s="660"/>
      <c r="BD47" s="695"/>
      <c r="BE47" s="42"/>
      <c r="BF47" s="43"/>
      <c r="BG47" s="21"/>
      <c r="BH47" s="270"/>
      <c r="BI47" s="845"/>
      <c r="BJ47" s="73"/>
      <c r="BK47" s="42"/>
      <c r="BL47" s="43"/>
      <c r="BM47" s="21"/>
      <c r="BN47" s="270"/>
      <c r="BO47" s="845"/>
      <c r="BP47" s="73"/>
      <c r="BQ47" s="845"/>
      <c r="BR47" s="73"/>
      <c r="BS47" s="42"/>
      <c r="BT47" s="43"/>
      <c r="BU47" s="21"/>
      <c r="BV47" s="271"/>
      <c r="BW47" s="933"/>
      <c r="BX47" s="901"/>
      <c r="BY47" s="42"/>
      <c r="BZ47" s="43"/>
      <c r="CA47" s="21"/>
      <c r="CB47" s="271"/>
      <c r="CC47" s="813"/>
      <c r="CD47" s="901"/>
      <c r="CE47" s="44"/>
      <c r="CF47" s="36"/>
      <c r="CG47" s="21"/>
      <c r="CH47" s="717"/>
      <c r="CI47" s="688"/>
      <c r="CJ47" s="695"/>
      <c r="CK47" s="44"/>
      <c r="CL47" s="36"/>
      <c r="CM47" s="21"/>
      <c r="CN47" s="270"/>
      <c r="CO47" s="813"/>
      <c r="CP47" s="644"/>
      <c r="CQ47" s="44"/>
      <c r="CR47" s="36"/>
      <c r="CS47" s="21"/>
      <c r="CT47" s="270"/>
      <c r="CU47" s="720"/>
      <c r="CV47" s="40"/>
      <c r="CW47" s="44"/>
      <c r="CX47" s="36"/>
      <c r="CY47" s="566"/>
      <c r="CZ47" s="720"/>
      <c r="DA47" s="21"/>
      <c r="DB47" s="1038"/>
      <c r="DC47" s="881"/>
      <c r="DD47" s="40"/>
      <c r="DE47" s="691"/>
      <c r="DF47" s="44"/>
      <c r="DG47" s="307"/>
      <c r="DH47" s="20"/>
      <c r="DI47" s="270"/>
      <c r="DJ47" s="720"/>
      <c r="DK47" s="40"/>
      <c r="DL47" s="44"/>
      <c r="DM47" s="36"/>
      <c r="DN47" s="20"/>
      <c r="DO47" s="270"/>
      <c r="DP47" s="720"/>
      <c r="DQ47" s="40"/>
      <c r="DR47" s="44"/>
      <c r="DS47" s="36"/>
      <c r="DT47" s="20"/>
      <c r="DU47" s="271"/>
      <c r="DV47" s="813"/>
      <c r="DW47" s="40"/>
      <c r="DX47" s="691"/>
      <c r="DY47" s="44"/>
      <c r="DZ47" s="36"/>
      <c r="EA47" s="20"/>
      <c r="EB47" s="270"/>
      <c r="EC47" s="789"/>
      <c r="ED47" s="764"/>
      <c r="EE47" s="44"/>
      <c r="EF47" s="36"/>
      <c r="EG47" s="20"/>
      <c r="EH47" s="270"/>
      <c r="EI47" s="720"/>
      <c r="EJ47" s="40"/>
      <c r="EK47" s="44"/>
      <c r="EL47" s="36"/>
      <c r="EM47" s="20"/>
      <c r="EN47" s="270"/>
    </row>
    <row r="48" spans="2:144" ht="27.75" customHeight="1" thickBot="1" x14ac:dyDescent="0.25">
      <c r="B48" s="972"/>
      <c r="C48" s="33">
        <f>C47+1</f>
        <v>45945</v>
      </c>
      <c r="D48" s="1"/>
      <c r="E48" s="898"/>
      <c r="F48" s="586"/>
      <c r="G48" s="800"/>
      <c r="H48" s="1"/>
      <c r="I48" s="264"/>
      <c r="J48" s="672"/>
      <c r="K48" s="745"/>
      <c r="L48" s="974"/>
      <c r="M48" s="50"/>
      <c r="N48" s="60"/>
      <c r="O48" s="24"/>
      <c r="P48" s="623"/>
      <c r="Q48" s="672"/>
      <c r="R48" s="50"/>
      <c r="S48" s="672"/>
      <c r="T48" s="50"/>
      <c r="U48" s="745"/>
      <c r="V48" s="974"/>
      <c r="W48" s="24"/>
      <c r="X48" s="270"/>
      <c r="Y48" s="672"/>
      <c r="Z48" s="745"/>
      <c r="AA48" s="695"/>
      <c r="AB48" s="310"/>
      <c r="AC48" s="307"/>
      <c r="AD48" s="21"/>
      <c r="AE48" s="270"/>
      <c r="AF48" s="825"/>
      <c r="AG48" s="826"/>
      <c r="AH48" s="672"/>
      <c r="AI48" s="672"/>
      <c r="AJ48" s="745"/>
      <c r="AK48" s="695"/>
      <c r="AL48" s="44"/>
      <c r="AM48" s="36"/>
      <c r="AN48" s="21"/>
      <c r="AO48" s="270"/>
      <c r="AP48" s="789"/>
      <c r="AQ48" s="951"/>
      <c r="AR48" s="691"/>
      <c r="AS48" s="310"/>
      <c r="AT48" s="307"/>
      <c r="AU48" s="21"/>
      <c r="AV48" s="270"/>
      <c r="AW48" s="660"/>
      <c r="AX48" s="40"/>
      <c r="AY48" s="695"/>
      <c r="AZ48" s="44"/>
      <c r="BA48" s="36"/>
      <c r="BB48" s="21"/>
      <c r="BC48" s="660"/>
      <c r="BD48" s="695"/>
      <c r="BE48" s="310"/>
      <c r="BF48" s="307"/>
      <c r="BG48" s="21"/>
      <c r="BH48" s="270"/>
      <c r="BI48" s="845"/>
      <c r="BJ48" s="40"/>
      <c r="BK48" s="44"/>
      <c r="BL48" s="36"/>
      <c r="BM48" s="21"/>
      <c r="BN48" s="270"/>
      <c r="BO48" s="845"/>
      <c r="BP48" s="309"/>
      <c r="BQ48" s="845"/>
      <c r="BR48" s="309"/>
      <c r="BS48" s="310"/>
      <c r="BT48" s="307"/>
      <c r="BU48" s="21"/>
      <c r="BV48" s="271"/>
      <c r="BW48" s="933"/>
      <c r="BX48" s="901"/>
      <c r="BY48" s="44"/>
      <c r="BZ48" s="36"/>
      <c r="CA48" s="21"/>
      <c r="CB48" s="271"/>
      <c r="CC48" s="813"/>
      <c r="CD48" s="901"/>
      <c r="CE48" s="44"/>
      <c r="CF48" s="36"/>
      <c r="CG48" s="21"/>
      <c r="CH48" s="717"/>
      <c r="CI48" s="688"/>
      <c r="CJ48" s="695"/>
      <c r="CK48" s="44"/>
      <c r="CL48" s="36"/>
      <c r="CM48" s="21"/>
      <c r="CN48" s="270"/>
      <c r="CO48" s="813"/>
      <c r="CP48" s="644"/>
      <c r="CQ48" s="44"/>
      <c r="CR48" s="36"/>
      <c r="CS48" s="21"/>
      <c r="CT48" s="270"/>
      <c r="CU48" s="720"/>
      <c r="CV48" s="40"/>
      <c r="CW48" s="44"/>
      <c r="CX48" s="36"/>
      <c r="CY48" s="566"/>
      <c r="CZ48" s="720"/>
      <c r="DA48" s="21"/>
      <c r="DB48" s="1038"/>
      <c r="DC48" s="881"/>
      <c r="DD48" s="40"/>
      <c r="DE48" s="691"/>
      <c r="DF48" s="44"/>
      <c r="DG48" s="307"/>
      <c r="DH48" s="20"/>
      <c r="DI48" s="270"/>
      <c r="DJ48" s="720"/>
      <c r="DK48" s="40"/>
      <c r="DL48" s="44"/>
      <c r="DM48" s="36"/>
      <c r="DN48" s="20"/>
      <c r="DO48" s="270"/>
      <c r="DP48" s="720"/>
      <c r="DQ48" s="40"/>
      <c r="DR48" s="44"/>
      <c r="DS48" s="36"/>
      <c r="DT48" s="20"/>
      <c r="DU48" s="271"/>
      <c r="DV48" s="813"/>
      <c r="DW48" s="40"/>
      <c r="DX48" s="691"/>
      <c r="DY48" s="44"/>
      <c r="DZ48" s="36"/>
      <c r="EA48" s="20"/>
      <c r="EB48" s="270"/>
      <c r="EC48" s="789"/>
      <c r="ED48" s="764"/>
      <c r="EE48" s="116" t="s">
        <v>61</v>
      </c>
      <c r="EF48" s="36"/>
      <c r="EG48" s="20"/>
      <c r="EH48" s="270"/>
      <c r="EI48" s="720"/>
      <c r="EJ48" s="40"/>
      <c r="EK48" s="44"/>
      <c r="EL48" s="36"/>
      <c r="EM48" s="20"/>
      <c r="EN48" s="270"/>
    </row>
    <row r="49" spans="1:145" ht="24.75" customHeight="1" thickBot="1" x14ac:dyDescent="0.25">
      <c r="B49" s="972"/>
      <c r="C49" s="33">
        <f>C48+1</f>
        <v>45946</v>
      </c>
      <c r="D49" s="1"/>
      <c r="E49" s="898"/>
      <c r="F49" s="586"/>
      <c r="G49" s="800"/>
      <c r="H49" s="1"/>
      <c r="I49" s="264"/>
      <c r="J49" s="672"/>
      <c r="K49" s="745"/>
      <c r="L49" s="974"/>
      <c r="M49" s="42"/>
      <c r="N49" s="36"/>
      <c r="O49" s="23"/>
      <c r="P49" s="623"/>
      <c r="Q49" s="672"/>
      <c r="R49" s="42"/>
      <c r="S49" s="672"/>
      <c r="T49" s="42"/>
      <c r="U49" s="745"/>
      <c r="V49" s="974"/>
      <c r="W49" s="23"/>
      <c r="X49" s="270"/>
      <c r="Y49" s="672"/>
      <c r="Z49" s="745"/>
      <c r="AA49" s="695"/>
      <c r="AB49" s="310"/>
      <c r="AC49" s="307"/>
      <c r="AD49" s="21"/>
      <c r="AE49" s="270"/>
      <c r="AF49" s="825"/>
      <c r="AG49" s="826"/>
      <c r="AH49" s="672"/>
      <c r="AI49" s="672"/>
      <c r="AJ49" s="745"/>
      <c r="AK49" s="695"/>
      <c r="AL49" s="310"/>
      <c r="AM49" s="36"/>
      <c r="AN49" s="21"/>
      <c r="AO49" s="270"/>
      <c r="AP49" s="789"/>
      <c r="AQ49" s="951"/>
      <c r="AR49" s="691"/>
      <c r="AS49" s="310"/>
      <c r="AT49" s="307"/>
      <c r="AU49" s="21"/>
      <c r="AV49" s="270"/>
      <c r="AW49" s="660"/>
      <c r="AX49" s="40"/>
      <c r="AY49" s="695"/>
      <c r="AZ49" s="44"/>
      <c r="BA49" s="36"/>
      <c r="BB49" s="21"/>
      <c r="BC49" s="660"/>
      <c r="BD49" s="695"/>
      <c r="BE49" s="310"/>
      <c r="BF49" s="307"/>
      <c r="BG49" s="21"/>
      <c r="BH49" s="270"/>
      <c r="BI49" s="845"/>
      <c r="BJ49" s="40"/>
      <c r="BK49" s="44"/>
      <c r="BL49" s="36"/>
      <c r="BM49" s="21"/>
      <c r="BN49" s="270"/>
      <c r="BO49" s="845"/>
      <c r="BP49" s="309"/>
      <c r="BQ49" s="845"/>
      <c r="BR49" s="309"/>
      <c r="BS49" s="310"/>
      <c r="BT49" s="307"/>
      <c r="BU49" s="21"/>
      <c r="BV49" s="271"/>
      <c r="BW49" s="933"/>
      <c r="BX49" s="901"/>
      <c r="BY49" s="44"/>
      <c r="BZ49" s="36"/>
      <c r="CA49" s="21"/>
      <c r="CB49" s="271"/>
      <c r="CC49" s="813"/>
      <c r="CD49" s="901"/>
      <c r="CE49" s="44"/>
      <c r="CF49" s="36"/>
      <c r="CG49" s="21"/>
      <c r="CH49" s="717"/>
      <c r="CI49" s="688"/>
      <c r="CJ49" s="695"/>
      <c r="CK49" s="44"/>
      <c r="CL49" s="36"/>
      <c r="CM49" s="21"/>
      <c r="CN49" s="270"/>
      <c r="CO49" s="813"/>
      <c r="CP49" s="644"/>
      <c r="CQ49" s="44"/>
      <c r="CR49" s="36"/>
      <c r="CS49" s="21"/>
      <c r="CT49" s="270"/>
      <c r="CU49" s="720"/>
      <c r="CV49" s="40"/>
      <c r="CW49" s="44"/>
      <c r="CX49" s="36"/>
      <c r="CY49" s="566"/>
      <c r="CZ49" s="720"/>
      <c r="DA49" s="21"/>
      <c r="DB49" s="1038"/>
      <c r="DC49" s="881"/>
      <c r="DD49" s="40"/>
      <c r="DE49" s="691"/>
      <c r="DF49" s="44"/>
      <c r="DG49" s="307"/>
      <c r="DH49" s="20"/>
      <c r="DI49" s="270"/>
      <c r="DJ49" s="720"/>
      <c r="DK49" s="40"/>
      <c r="DL49" s="44"/>
      <c r="DM49" s="36"/>
      <c r="DN49" s="20"/>
      <c r="DO49" s="270"/>
      <c r="DP49" s="720"/>
      <c r="DQ49" s="40"/>
      <c r="DR49" s="44"/>
      <c r="DS49" s="36"/>
      <c r="DT49" s="20"/>
      <c r="DU49" s="271"/>
      <c r="DV49" s="813"/>
      <c r="DW49" s="40"/>
      <c r="DX49" s="691"/>
      <c r="DY49" s="44"/>
      <c r="DZ49" s="36"/>
      <c r="EA49" s="20"/>
      <c r="EB49" s="270"/>
      <c r="EC49" s="789"/>
      <c r="ED49" s="764"/>
      <c r="EE49" s="44"/>
      <c r="EF49" s="36"/>
      <c r="EG49" s="20"/>
      <c r="EH49" s="270"/>
      <c r="EI49" s="720"/>
      <c r="EJ49" s="40"/>
      <c r="EK49" s="44"/>
      <c r="EL49" s="36"/>
      <c r="EM49" s="20"/>
      <c r="EN49" s="270"/>
    </row>
    <row r="50" spans="1:145" ht="17.25" customHeight="1" thickBot="1" x14ac:dyDescent="0.25">
      <c r="B50" s="972"/>
      <c r="C50" s="34">
        <f>C49+1</f>
        <v>45947</v>
      </c>
      <c r="D50" s="1"/>
      <c r="E50" s="899"/>
      <c r="F50" s="586"/>
      <c r="G50" s="800"/>
      <c r="H50" s="1"/>
      <c r="I50" s="264"/>
      <c r="J50" s="672"/>
      <c r="K50" s="746"/>
      <c r="L50" s="975"/>
      <c r="M50" s="47"/>
      <c r="N50" s="48"/>
      <c r="O50" s="23"/>
      <c r="P50" s="623"/>
      <c r="Q50" s="672"/>
      <c r="R50" s="312"/>
      <c r="S50" s="672"/>
      <c r="T50" s="312"/>
      <c r="U50" s="746"/>
      <c r="V50" s="975"/>
      <c r="W50" s="23"/>
      <c r="X50" s="270"/>
      <c r="Y50" s="672"/>
      <c r="Z50" s="746"/>
      <c r="AA50" s="696"/>
      <c r="AB50" s="312"/>
      <c r="AC50" s="48"/>
      <c r="AD50" s="21"/>
      <c r="AE50" s="270"/>
      <c r="AF50" s="825"/>
      <c r="AG50" s="826"/>
      <c r="AH50" s="672"/>
      <c r="AI50" s="672"/>
      <c r="AJ50" s="746"/>
      <c r="AK50" s="696"/>
      <c r="AL50" s="47"/>
      <c r="AM50" s="48"/>
      <c r="AN50" s="21"/>
      <c r="AO50" s="270"/>
      <c r="AP50" s="789"/>
      <c r="AQ50" s="952"/>
      <c r="AR50" s="692"/>
      <c r="AS50" s="313"/>
      <c r="AT50" s="315"/>
      <c r="AU50" s="21"/>
      <c r="AV50" s="270"/>
      <c r="AW50" s="660"/>
      <c r="AX50" s="45"/>
      <c r="AY50" s="696"/>
      <c r="AZ50" s="47"/>
      <c r="BA50" s="48"/>
      <c r="BB50" s="21"/>
      <c r="BC50" s="660"/>
      <c r="BD50" s="696"/>
      <c r="BE50" s="312"/>
      <c r="BF50" s="48"/>
      <c r="BG50" s="21"/>
      <c r="BH50" s="270"/>
      <c r="BI50" s="845"/>
      <c r="BJ50" s="67"/>
      <c r="BK50" s="47"/>
      <c r="BL50" s="48"/>
      <c r="BM50" s="21"/>
      <c r="BN50" s="270"/>
      <c r="BO50" s="845"/>
      <c r="BP50" s="67"/>
      <c r="BQ50" s="845"/>
      <c r="BR50" s="67"/>
      <c r="BS50" s="312"/>
      <c r="BT50" s="48"/>
      <c r="BU50" s="21"/>
      <c r="BV50" s="271"/>
      <c r="BW50" s="933"/>
      <c r="BX50" s="902"/>
      <c r="BY50" s="47"/>
      <c r="BZ50" s="48"/>
      <c r="CA50" s="21"/>
      <c r="CB50" s="271"/>
      <c r="CC50" s="813"/>
      <c r="CD50" s="902"/>
      <c r="CE50" s="59"/>
      <c r="CF50" s="64"/>
      <c r="CG50" s="21"/>
      <c r="CH50" s="718"/>
      <c r="CI50" s="688"/>
      <c r="CJ50" s="696"/>
      <c r="CK50" s="59"/>
      <c r="CL50" s="64"/>
      <c r="CM50" s="21"/>
      <c r="CN50" s="270"/>
      <c r="CO50" s="813"/>
      <c r="CP50" s="645"/>
      <c r="CQ50" s="59"/>
      <c r="CR50" s="64"/>
      <c r="CS50" s="21"/>
      <c r="CT50" s="270"/>
      <c r="CU50" s="720"/>
      <c r="CV50" s="45"/>
      <c r="CW50" s="59"/>
      <c r="CX50" s="64"/>
      <c r="CY50" s="566"/>
      <c r="CZ50" s="720"/>
      <c r="DA50" s="21"/>
      <c r="DB50" s="1038"/>
      <c r="DC50" s="881"/>
      <c r="DD50" s="45"/>
      <c r="DE50" s="692"/>
      <c r="DF50" s="59"/>
      <c r="DG50" s="315"/>
      <c r="DH50" s="20"/>
      <c r="DI50" s="270"/>
      <c r="DJ50" s="720"/>
      <c r="DK50" s="45"/>
      <c r="DL50" s="59"/>
      <c r="DM50" s="64"/>
      <c r="DN50" s="20"/>
      <c r="DO50" s="270"/>
      <c r="DP50" s="720"/>
      <c r="DQ50" s="45"/>
      <c r="DR50" s="59"/>
      <c r="DS50" s="64"/>
      <c r="DT50" s="20"/>
      <c r="DU50" s="271"/>
      <c r="DV50" s="813"/>
      <c r="DW50" s="45"/>
      <c r="DX50" s="692"/>
      <c r="DY50" s="59"/>
      <c r="DZ50" s="64"/>
      <c r="EA50" s="20"/>
      <c r="EB50" s="270"/>
      <c r="EC50" s="789"/>
      <c r="ED50" s="765"/>
      <c r="EE50" s="59"/>
      <c r="EF50" s="64"/>
      <c r="EG50" s="20"/>
      <c r="EH50" s="270"/>
      <c r="EI50" s="720"/>
      <c r="EJ50" s="45"/>
      <c r="EK50" s="59"/>
      <c r="EL50" s="64"/>
      <c r="EM50" s="20"/>
      <c r="EN50" s="270"/>
    </row>
    <row r="51" spans="1:145" ht="19.899999999999999" customHeight="1" thickBot="1" x14ac:dyDescent="0.25">
      <c r="A51" s="6" t="s">
        <v>62</v>
      </c>
      <c r="B51" s="972">
        <f>B46+1</f>
        <v>43</v>
      </c>
      <c r="C51" s="89">
        <f>C46+7</f>
        <v>45950</v>
      </c>
      <c r="D51" s="4"/>
      <c r="E51" s="24"/>
      <c r="F51" s="525"/>
      <c r="G51" s="800"/>
      <c r="H51" s="4"/>
      <c r="I51" s="710" t="s">
        <v>72</v>
      </c>
      <c r="J51" s="672"/>
      <c r="K51" s="744">
        <v>1</v>
      </c>
      <c r="L51" s="694" t="s">
        <v>74</v>
      </c>
      <c r="M51" s="39"/>
      <c r="N51" s="306"/>
      <c r="O51" s="24"/>
      <c r="P51" s="710" t="s">
        <v>72</v>
      </c>
      <c r="Q51" s="672"/>
      <c r="R51" s="308"/>
      <c r="S51" s="672"/>
      <c r="T51" s="308"/>
      <c r="U51" s="744">
        <v>1</v>
      </c>
      <c r="V51" s="694" t="s">
        <v>74</v>
      </c>
      <c r="W51" s="24"/>
      <c r="X51" s="271"/>
      <c r="Y51" s="672"/>
      <c r="Z51" s="161"/>
      <c r="AA51" s="694" t="s">
        <v>64</v>
      </c>
      <c r="AB51" s="308"/>
      <c r="AC51" s="306"/>
      <c r="AD51" s="21"/>
      <c r="AE51" s="271"/>
      <c r="AF51" s="825"/>
      <c r="AG51" s="826"/>
      <c r="AH51" s="672"/>
      <c r="AI51" s="672"/>
      <c r="AJ51" s="161"/>
      <c r="AK51" s="694" t="s">
        <v>64</v>
      </c>
      <c r="AL51" s="39"/>
      <c r="AM51" s="35"/>
      <c r="AN51" s="21"/>
      <c r="AO51" s="271"/>
      <c r="AP51" s="789"/>
      <c r="AQ51" s="950">
        <v>1</v>
      </c>
      <c r="AR51" s="690" t="s">
        <v>65</v>
      </c>
      <c r="AS51" s="308"/>
      <c r="AT51" s="306"/>
      <c r="AU51" s="21"/>
      <c r="AV51" s="271"/>
      <c r="AW51" s="660"/>
      <c r="AX51" s="61"/>
      <c r="AY51" s="694" t="s">
        <v>65</v>
      </c>
      <c r="AZ51" s="39"/>
      <c r="BA51" s="306"/>
      <c r="BB51" s="21"/>
      <c r="BC51" s="660"/>
      <c r="BD51" s="694" t="s">
        <v>65</v>
      </c>
      <c r="BE51" s="308"/>
      <c r="BF51" s="306"/>
      <c r="BG51" s="21"/>
      <c r="BH51" s="271"/>
      <c r="BI51" s="845"/>
      <c r="BJ51" s="61"/>
      <c r="BK51" s="39"/>
      <c r="BL51" s="35"/>
      <c r="BM51" s="21"/>
      <c r="BN51" s="271"/>
      <c r="BO51" s="845"/>
      <c r="BP51" s="314"/>
      <c r="BQ51" s="845"/>
      <c r="BR51" s="314"/>
      <c r="BS51" s="308"/>
      <c r="BT51" s="306"/>
      <c r="BU51" s="21"/>
      <c r="BV51" s="271"/>
      <c r="BW51" s="933"/>
      <c r="BX51" s="61"/>
      <c r="BY51" s="39"/>
      <c r="BZ51" s="35"/>
      <c r="CA51" s="21"/>
      <c r="CB51" s="707" t="s">
        <v>66</v>
      </c>
      <c r="CC51" s="813"/>
      <c r="CD51" s="314"/>
      <c r="CE51" s="39"/>
      <c r="CF51" s="35"/>
      <c r="CG51" s="21"/>
      <c r="CH51" s="707" t="s">
        <v>66</v>
      </c>
      <c r="CI51" s="688"/>
      <c r="CJ51" s="694" t="s">
        <v>51</v>
      </c>
      <c r="CK51" s="308"/>
      <c r="CL51" s="306"/>
      <c r="CM51" s="21"/>
      <c r="CN51" s="271"/>
      <c r="CO51" s="813"/>
      <c r="CP51" s="643" t="s">
        <v>60</v>
      </c>
      <c r="CQ51" s="39"/>
      <c r="CR51" s="35"/>
      <c r="CS51" s="21"/>
      <c r="CT51" s="271"/>
      <c r="CU51" s="720"/>
      <c r="CV51" s="61"/>
      <c r="CW51" s="39"/>
      <c r="CX51" s="35"/>
      <c r="CY51" s="566"/>
      <c r="CZ51" s="720"/>
      <c r="DA51" s="21"/>
      <c r="DB51" s="271"/>
      <c r="DC51" s="881"/>
      <c r="DD51" s="61"/>
      <c r="DE51" s="690" t="s">
        <v>51</v>
      </c>
      <c r="DF51" s="39"/>
      <c r="DG51" s="35"/>
      <c r="DH51" s="20"/>
      <c r="DI51" s="271"/>
      <c r="DJ51" s="720"/>
      <c r="DK51" s="61"/>
      <c r="DL51" s="39"/>
      <c r="DM51" s="35"/>
      <c r="DN51" s="20"/>
      <c r="DO51" s="271"/>
      <c r="DP51" s="720"/>
      <c r="DQ51" s="61"/>
      <c r="DR51" s="39"/>
      <c r="DS51" s="35"/>
      <c r="DT51" s="20"/>
      <c r="DU51" s="271"/>
      <c r="DV51" s="813"/>
      <c r="DW51" s="61"/>
      <c r="DX51" s="690" t="s">
        <v>51</v>
      </c>
      <c r="DY51" s="39"/>
      <c r="DZ51" s="35"/>
      <c r="EA51" s="20"/>
      <c r="EB51" s="707" t="s">
        <v>66</v>
      </c>
      <c r="EC51" s="789"/>
      <c r="ED51" s="763" t="s">
        <v>67</v>
      </c>
      <c r="EE51" s="39"/>
      <c r="EF51" s="35"/>
      <c r="EG51" s="20"/>
      <c r="EH51" s="271"/>
      <c r="EI51" s="720"/>
      <c r="EJ51" s="61"/>
      <c r="EK51" s="39"/>
      <c r="EL51" s="35"/>
      <c r="EM51" s="20"/>
      <c r="EN51" s="271"/>
    </row>
    <row r="52" spans="1:145" ht="17.25" customHeight="1" thickBot="1" x14ac:dyDescent="0.25">
      <c r="A52" s="6" t="s">
        <v>62</v>
      </c>
      <c r="B52" s="972"/>
      <c r="C52" s="33">
        <f>C51+1</f>
        <v>45951</v>
      </c>
      <c r="D52" s="1"/>
      <c r="E52" s="23"/>
      <c r="F52" s="526"/>
      <c r="G52" s="800"/>
      <c r="H52" s="1"/>
      <c r="I52" s="711"/>
      <c r="J52" s="672"/>
      <c r="K52" s="745"/>
      <c r="L52" s="695"/>
      <c r="M52" s="42"/>
      <c r="N52" s="43"/>
      <c r="O52" s="23"/>
      <c r="P52" s="711"/>
      <c r="Q52" s="672"/>
      <c r="R52" s="42"/>
      <c r="S52" s="672"/>
      <c r="T52" s="42"/>
      <c r="U52" s="745"/>
      <c r="V52" s="695"/>
      <c r="W52" s="23"/>
      <c r="X52" s="270"/>
      <c r="Y52" s="672"/>
      <c r="Z52" s="162"/>
      <c r="AA52" s="695"/>
      <c r="AB52" s="42"/>
      <c r="AC52" s="43"/>
      <c r="AD52" s="21"/>
      <c r="AE52" s="270"/>
      <c r="AF52" s="825"/>
      <c r="AG52" s="826"/>
      <c r="AH52" s="672"/>
      <c r="AI52" s="672"/>
      <c r="AJ52" s="162"/>
      <c r="AK52" s="695"/>
      <c r="AL52" s="42"/>
      <c r="AM52" s="43"/>
      <c r="AN52" s="21"/>
      <c r="AO52" s="270"/>
      <c r="AP52" s="789"/>
      <c r="AQ52" s="951"/>
      <c r="AR52" s="691"/>
      <c r="AS52" s="310"/>
      <c r="AT52" s="307"/>
      <c r="AU52" s="21"/>
      <c r="AV52" s="270"/>
      <c r="AW52" s="660"/>
      <c r="AX52" s="73"/>
      <c r="AY52" s="695"/>
      <c r="AZ52" s="42"/>
      <c r="BA52" s="43"/>
      <c r="BB52" s="21"/>
      <c r="BC52" s="660"/>
      <c r="BD52" s="695"/>
      <c r="BE52" s="42"/>
      <c r="BF52" s="43"/>
      <c r="BG52" s="21"/>
      <c r="BH52" s="270"/>
      <c r="BI52" s="845"/>
      <c r="BJ52" s="73"/>
      <c r="BK52" s="42"/>
      <c r="BL52" s="43"/>
      <c r="BM52" s="21"/>
      <c r="BN52" s="270"/>
      <c r="BO52" s="845"/>
      <c r="BP52" s="73"/>
      <c r="BQ52" s="845"/>
      <c r="BR52" s="73"/>
      <c r="BS52" s="42"/>
      <c r="BT52" s="43"/>
      <c r="BU52" s="21"/>
      <c r="BV52" s="271"/>
      <c r="BW52" s="933"/>
      <c r="BX52" s="73"/>
      <c r="BY52" s="42"/>
      <c r="BZ52" s="43"/>
      <c r="CA52" s="21"/>
      <c r="CB52" s="708"/>
      <c r="CC52" s="813"/>
      <c r="CD52" s="309"/>
      <c r="CE52" s="44"/>
      <c r="CF52" s="36"/>
      <c r="CG52" s="21"/>
      <c r="CH52" s="708"/>
      <c r="CI52" s="688"/>
      <c r="CJ52" s="695"/>
      <c r="CK52" s="310"/>
      <c r="CL52" s="307"/>
      <c r="CM52" s="21"/>
      <c r="CN52" s="270"/>
      <c r="CO52" s="813"/>
      <c r="CP52" s="644"/>
      <c r="CQ52" s="44"/>
      <c r="CR52" s="36"/>
      <c r="CS52" s="21"/>
      <c r="CT52" s="270"/>
      <c r="CU52" s="720"/>
      <c r="CV52" s="40"/>
      <c r="CW52" s="44"/>
      <c r="CX52" s="36"/>
      <c r="CY52" s="566"/>
      <c r="CZ52" s="720"/>
      <c r="DA52" s="21"/>
      <c r="DB52" s="271"/>
      <c r="DC52" s="881"/>
      <c r="DD52" s="40"/>
      <c r="DE52" s="691"/>
      <c r="DF52" s="44"/>
      <c r="DG52" s="36"/>
      <c r="DH52" s="20"/>
      <c r="DI52" s="270"/>
      <c r="DJ52" s="720"/>
      <c r="DK52" s="40"/>
      <c r="DL52" s="44"/>
      <c r="DM52" s="36"/>
      <c r="DN52" s="20"/>
      <c r="DO52" s="270"/>
      <c r="DP52" s="720"/>
      <c r="DQ52" s="40"/>
      <c r="DR52" s="44"/>
      <c r="DS52" s="36"/>
      <c r="DT52" s="20"/>
      <c r="DU52" s="271"/>
      <c r="DV52" s="813"/>
      <c r="DW52" s="40"/>
      <c r="DX52" s="691"/>
      <c r="DY52" s="44"/>
      <c r="DZ52" s="36"/>
      <c r="EA52" s="20"/>
      <c r="EB52" s="708"/>
      <c r="EC52" s="789"/>
      <c r="ED52" s="764"/>
      <c r="EE52" s="44"/>
      <c r="EF52" s="36"/>
      <c r="EG52" s="20"/>
      <c r="EH52" s="270"/>
      <c r="EI52" s="720"/>
      <c r="EJ52" s="40"/>
      <c r="EK52" s="44"/>
      <c r="EL52" s="36"/>
      <c r="EM52" s="20"/>
      <c r="EN52" s="270"/>
    </row>
    <row r="53" spans="1:145" ht="17.25" customHeight="1" thickBot="1" x14ac:dyDescent="0.25">
      <c r="A53" s="6" t="s">
        <v>62</v>
      </c>
      <c r="B53" s="972"/>
      <c r="C53" s="33">
        <f>C52+1</f>
        <v>45952</v>
      </c>
      <c r="D53" s="1"/>
      <c r="E53" s="23"/>
      <c r="F53" s="526"/>
      <c r="G53" s="800"/>
      <c r="H53" s="1"/>
      <c r="I53" s="711"/>
      <c r="J53" s="672"/>
      <c r="K53" s="745"/>
      <c r="L53" s="695"/>
      <c r="M53" s="44"/>
      <c r="N53" s="60"/>
      <c r="O53" s="23"/>
      <c r="P53" s="711"/>
      <c r="Q53" s="672"/>
      <c r="R53" s="310"/>
      <c r="S53" s="672"/>
      <c r="T53" s="310"/>
      <c r="U53" s="745"/>
      <c r="V53" s="695"/>
      <c r="W53" s="23"/>
      <c r="X53" s="270"/>
      <c r="Y53" s="672"/>
      <c r="Z53" s="162"/>
      <c r="AA53" s="695"/>
      <c r="AB53" s="50"/>
      <c r="AC53" s="60"/>
      <c r="AD53" s="21"/>
      <c r="AE53" s="270"/>
      <c r="AF53" s="825"/>
      <c r="AG53" s="826"/>
      <c r="AH53" s="672"/>
      <c r="AI53" s="672"/>
      <c r="AJ53" s="162"/>
      <c r="AK53" s="695"/>
      <c r="AL53" s="50"/>
      <c r="AM53" s="60"/>
      <c r="AN53" s="21"/>
      <c r="AO53" s="270"/>
      <c r="AP53" s="789"/>
      <c r="AQ53" s="951"/>
      <c r="AR53" s="691"/>
      <c r="AS53" s="152" t="s">
        <v>48</v>
      </c>
      <c r="AT53" s="307"/>
      <c r="AU53" s="21"/>
      <c r="AV53" s="270"/>
      <c r="AW53" s="660"/>
      <c r="AX53" s="63"/>
      <c r="AY53" s="695"/>
      <c r="AZ53" s="50"/>
      <c r="BA53" s="307"/>
      <c r="BB53" s="21"/>
      <c r="BC53" s="660"/>
      <c r="BD53" s="695"/>
      <c r="BE53" s="50"/>
      <c r="BF53" s="307"/>
      <c r="BG53" s="21"/>
      <c r="BH53" s="270"/>
      <c r="BI53" s="845"/>
      <c r="BJ53" s="63"/>
      <c r="BK53" s="50"/>
      <c r="BL53" s="60"/>
      <c r="BM53" s="21"/>
      <c r="BN53" s="270"/>
      <c r="BO53" s="845"/>
      <c r="BP53" s="63"/>
      <c r="BQ53" s="845"/>
      <c r="BR53" s="63"/>
      <c r="BS53" s="50"/>
      <c r="BT53" s="60"/>
      <c r="BU53" s="21"/>
      <c r="BV53" s="271"/>
      <c r="BW53" s="933"/>
      <c r="BX53" s="63"/>
      <c r="BY53" s="50"/>
      <c r="BZ53" s="60"/>
      <c r="CA53" s="21"/>
      <c r="CB53" s="708"/>
      <c r="CC53" s="813"/>
      <c r="CD53" s="309"/>
      <c r="CE53" s="44"/>
      <c r="CF53" s="36"/>
      <c r="CG53" s="21"/>
      <c r="CH53" s="708"/>
      <c r="CI53" s="688"/>
      <c r="CJ53" s="695"/>
      <c r="CK53" s="310"/>
      <c r="CL53" s="307"/>
      <c r="CM53" s="21"/>
      <c r="CN53" s="270"/>
      <c r="CO53" s="813"/>
      <c r="CP53" s="644"/>
      <c r="CQ53" s="44"/>
      <c r="CR53" s="36"/>
      <c r="CS53" s="21"/>
      <c r="CT53" s="270"/>
      <c r="CU53" s="720"/>
      <c r="CV53" s="40"/>
      <c r="CW53" s="44"/>
      <c r="CX53" s="36"/>
      <c r="CY53" s="566"/>
      <c r="CZ53" s="720"/>
      <c r="DA53" s="21"/>
      <c r="DB53" s="271"/>
      <c r="DC53" s="881"/>
      <c r="DD53" s="309"/>
      <c r="DE53" s="691"/>
      <c r="DF53" s="116" t="s">
        <v>61</v>
      </c>
      <c r="DG53" s="36"/>
      <c r="DH53" s="20"/>
      <c r="DI53" s="270"/>
      <c r="DJ53" s="720"/>
      <c r="DK53" s="40"/>
      <c r="DL53" s="44"/>
      <c r="DM53" s="36"/>
      <c r="DN53" s="20"/>
      <c r="DO53" s="270"/>
      <c r="DP53" s="720"/>
      <c r="DQ53" s="40"/>
      <c r="DR53" s="44"/>
      <c r="DS53" s="36"/>
      <c r="DT53" s="20"/>
      <c r="DU53" s="271"/>
      <c r="DV53" s="813"/>
      <c r="DW53" s="40"/>
      <c r="DX53" s="691"/>
      <c r="DY53" s="116" t="s">
        <v>61</v>
      </c>
      <c r="DZ53" s="36"/>
      <c r="EA53" s="20"/>
      <c r="EB53" s="708"/>
      <c r="EC53" s="789"/>
      <c r="ED53" s="764"/>
      <c r="EE53" s="310"/>
      <c r="EF53" s="36"/>
      <c r="EG53" s="20"/>
      <c r="EH53" s="270"/>
      <c r="EI53" s="720"/>
      <c r="EJ53" s="40"/>
      <c r="EK53" s="44"/>
      <c r="EL53" s="36"/>
      <c r="EM53" s="20"/>
      <c r="EN53" s="270"/>
    </row>
    <row r="54" spans="1:145" ht="68.25" customHeight="1" thickBot="1" x14ac:dyDescent="0.25">
      <c r="A54" s="6" t="s">
        <v>62</v>
      </c>
      <c r="B54" s="972"/>
      <c r="C54" s="33">
        <f>C53+1</f>
        <v>45953</v>
      </c>
      <c r="D54" s="1"/>
      <c r="E54" s="23" t="s">
        <v>464</v>
      </c>
      <c r="F54" s="526"/>
      <c r="G54" s="800"/>
      <c r="H54" s="1"/>
      <c r="I54" s="711"/>
      <c r="J54" s="672"/>
      <c r="K54" s="745"/>
      <c r="L54" s="695"/>
      <c r="M54" s="116" t="s">
        <v>61</v>
      </c>
      <c r="N54" s="60"/>
      <c r="O54" s="23"/>
      <c r="P54" s="711"/>
      <c r="Q54" s="672"/>
      <c r="R54" s="116" t="s">
        <v>61</v>
      </c>
      <c r="S54" s="672"/>
      <c r="T54" s="42"/>
      <c r="U54" s="745"/>
      <c r="V54" s="695"/>
      <c r="W54" s="23"/>
      <c r="X54" s="270"/>
      <c r="Y54" s="672"/>
      <c r="Z54" s="162"/>
      <c r="AA54" s="695"/>
      <c r="AB54" s="116" t="s">
        <v>61</v>
      </c>
      <c r="AC54" s="307"/>
      <c r="AD54" s="21"/>
      <c r="AE54" s="270"/>
      <c r="AF54" s="825"/>
      <c r="AG54" s="826"/>
      <c r="AH54" s="672"/>
      <c r="AI54" s="672"/>
      <c r="AJ54" s="162"/>
      <c r="AK54" s="695"/>
      <c r="AL54" s="116" t="s">
        <v>61</v>
      </c>
      <c r="AM54" s="36"/>
      <c r="AN54" s="21"/>
      <c r="AO54" s="270"/>
      <c r="AP54" s="789"/>
      <c r="AQ54" s="951"/>
      <c r="AR54" s="691"/>
      <c r="AS54" s="310"/>
      <c r="AT54" s="307"/>
      <c r="AU54" s="21"/>
      <c r="AV54" s="270"/>
      <c r="AW54" s="660"/>
      <c r="AX54" s="40"/>
      <c r="AY54" s="695"/>
      <c r="AZ54" s="42"/>
      <c r="BA54" s="307"/>
      <c r="BB54" s="21"/>
      <c r="BC54" s="660"/>
      <c r="BD54" s="695"/>
      <c r="BE54" s="42"/>
      <c r="BF54" s="307"/>
      <c r="BG54" s="21"/>
      <c r="BH54" s="270"/>
      <c r="BI54" s="845"/>
      <c r="BJ54" s="40"/>
      <c r="BK54" s="44"/>
      <c r="BL54" s="36"/>
      <c r="BM54" s="21"/>
      <c r="BN54" s="270"/>
      <c r="BO54" s="845"/>
      <c r="BP54" s="309"/>
      <c r="BQ54" s="845"/>
      <c r="BR54" s="309"/>
      <c r="BS54" s="310"/>
      <c r="BT54" s="307"/>
      <c r="BU54" s="21"/>
      <c r="BV54" s="271"/>
      <c r="BW54" s="933"/>
      <c r="BX54" s="40"/>
      <c r="BY54" s="44"/>
      <c r="BZ54" s="36"/>
      <c r="CA54" s="21"/>
      <c r="CB54" s="708"/>
      <c r="CC54" s="813"/>
      <c r="CD54" s="309"/>
      <c r="CE54" s="44"/>
      <c r="CF54" s="36"/>
      <c r="CG54" s="21"/>
      <c r="CH54" s="708"/>
      <c r="CI54" s="688"/>
      <c r="CJ54" s="695"/>
      <c r="CK54" s="310"/>
      <c r="CL54" s="307"/>
      <c r="CM54" s="21"/>
      <c r="CN54" s="270"/>
      <c r="CO54" s="813"/>
      <c r="CP54" s="644"/>
      <c r="CQ54" s="44"/>
      <c r="CR54" s="36"/>
      <c r="CS54" s="21"/>
      <c r="CT54" s="270"/>
      <c r="CU54" s="720"/>
      <c r="CV54" s="40"/>
      <c r="CW54" s="44"/>
      <c r="CX54" s="36"/>
      <c r="CY54" s="566"/>
      <c r="CZ54" s="720"/>
      <c r="DA54" s="21"/>
      <c r="DB54" s="271"/>
      <c r="DC54" s="882"/>
      <c r="DD54" s="309"/>
      <c r="DE54" s="691"/>
      <c r="DF54" s="310"/>
      <c r="DG54" s="36"/>
      <c r="DH54" s="20"/>
      <c r="DI54" s="270"/>
      <c r="DJ54" s="720"/>
      <c r="DK54" s="40"/>
      <c r="DL54" s="44"/>
      <c r="DM54" s="36"/>
      <c r="DN54" s="20"/>
      <c r="DO54" s="270"/>
      <c r="DP54" s="720"/>
      <c r="DQ54" s="40"/>
      <c r="DR54" s="44"/>
      <c r="DS54" s="36"/>
      <c r="DT54" s="20"/>
      <c r="DU54" s="271"/>
      <c r="DV54" s="813"/>
      <c r="DW54" s="40"/>
      <c r="DX54" s="691"/>
      <c r="DY54" s="44"/>
      <c r="DZ54" s="36"/>
      <c r="EA54" s="20"/>
      <c r="EB54" s="708"/>
      <c r="EC54" s="789"/>
      <c r="ED54" s="764"/>
      <c r="EE54" s="44"/>
      <c r="EF54" s="36"/>
      <c r="EG54" s="20"/>
      <c r="EH54" s="270"/>
      <c r="EI54" s="720"/>
      <c r="EJ54" s="40"/>
      <c r="EK54" s="44"/>
      <c r="EL54" s="36"/>
      <c r="EM54" s="20"/>
      <c r="EN54" s="270"/>
    </row>
    <row r="55" spans="1:145" ht="17.25" customHeight="1" thickTop="1" thickBot="1" x14ac:dyDescent="0.25">
      <c r="A55" s="6" t="s">
        <v>62</v>
      </c>
      <c r="B55" s="972"/>
      <c r="C55" s="34">
        <f>C54+1</f>
        <v>45954</v>
      </c>
      <c r="D55" s="1"/>
      <c r="E55" s="23"/>
      <c r="F55" s="526"/>
      <c r="G55" s="801"/>
      <c r="H55" s="1"/>
      <c r="I55" s="712"/>
      <c r="J55" s="735"/>
      <c r="K55" s="746"/>
      <c r="L55" s="696"/>
      <c r="M55" s="47"/>
      <c r="N55" s="48"/>
      <c r="O55" s="23"/>
      <c r="P55" s="712"/>
      <c r="Q55" s="735"/>
      <c r="R55" s="312"/>
      <c r="S55" s="735"/>
      <c r="T55" s="312"/>
      <c r="U55" s="746"/>
      <c r="V55" s="696"/>
      <c r="W55" s="23"/>
      <c r="X55" s="270"/>
      <c r="Y55" s="904"/>
      <c r="Z55" s="163"/>
      <c r="AA55" s="696"/>
      <c r="AB55" s="88" t="s">
        <v>48</v>
      </c>
      <c r="AC55" s="48"/>
      <c r="AD55" s="21"/>
      <c r="AE55" s="270"/>
      <c r="AF55" s="827"/>
      <c r="AG55" s="828"/>
      <c r="AH55" s="904"/>
      <c r="AI55" s="904"/>
      <c r="AJ55" s="163"/>
      <c r="AK55" s="696"/>
      <c r="AL55" s="88" t="s">
        <v>48</v>
      </c>
      <c r="AM55" s="48"/>
      <c r="AN55" s="21"/>
      <c r="AO55" s="270"/>
      <c r="AP55" s="847"/>
      <c r="AQ55" s="952"/>
      <c r="AR55" s="692"/>
      <c r="AS55" s="313"/>
      <c r="AT55" s="315"/>
      <c r="AU55" s="21"/>
      <c r="AV55" s="270"/>
      <c r="AW55" s="693"/>
      <c r="AX55" s="67"/>
      <c r="AY55" s="696"/>
      <c r="AZ55" s="47"/>
      <c r="BA55" s="48"/>
      <c r="BB55" s="21"/>
      <c r="BC55" s="693"/>
      <c r="BD55" s="696"/>
      <c r="BE55" s="312"/>
      <c r="BF55" s="48"/>
      <c r="BG55" s="21"/>
      <c r="BH55" s="270"/>
      <c r="BI55" s="845"/>
      <c r="BJ55" s="67"/>
      <c r="BK55" s="47"/>
      <c r="BL55" s="48"/>
      <c r="BM55" s="21"/>
      <c r="BN55" s="270"/>
      <c r="BO55" s="845"/>
      <c r="BP55" s="67"/>
      <c r="BQ55" s="845"/>
      <c r="BR55" s="67"/>
      <c r="BS55" s="312"/>
      <c r="BT55" s="48"/>
      <c r="BU55" s="21"/>
      <c r="BV55" s="271"/>
      <c r="BW55" s="933"/>
      <c r="BX55" s="67"/>
      <c r="BY55" s="88" t="s">
        <v>48</v>
      </c>
      <c r="BZ55" s="48"/>
      <c r="CA55" s="21"/>
      <c r="CB55" s="709"/>
      <c r="CC55" s="814"/>
      <c r="CD55" s="311"/>
      <c r="CE55" s="88" t="s">
        <v>48</v>
      </c>
      <c r="CF55" s="64"/>
      <c r="CG55" s="21"/>
      <c r="CH55" s="709"/>
      <c r="CI55" s="689"/>
      <c r="CJ55" s="696"/>
      <c r="CK55" s="313"/>
      <c r="CL55" s="315"/>
      <c r="CM55" s="21"/>
      <c r="CN55" s="270"/>
      <c r="CO55" s="813"/>
      <c r="CP55" s="645"/>
      <c r="CQ55" s="59"/>
      <c r="CR55" s="64"/>
      <c r="CS55" s="21"/>
      <c r="CT55" s="270"/>
      <c r="CU55" s="720"/>
      <c r="CV55" s="45"/>
      <c r="CW55" s="59"/>
      <c r="CX55" s="164"/>
      <c r="CY55" s="566"/>
      <c r="CZ55" s="720"/>
      <c r="DA55" s="21"/>
      <c r="DB55" s="271"/>
      <c r="DC55" s="741" t="s">
        <v>40</v>
      </c>
      <c r="DD55" s="320">
        <v>1</v>
      </c>
      <c r="DE55" s="692"/>
      <c r="DF55" s="59"/>
      <c r="DG55" s="64"/>
      <c r="DH55" s="20"/>
      <c r="DI55" s="270"/>
      <c r="DJ55" s="721"/>
      <c r="DK55" s="45"/>
      <c r="DL55" s="59"/>
      <c r="DM55" s="64"/>
      <c r="DN55" s="20"/>
      <c r="DO55" s="270"/>
      <c r="DP55" s="721"/>
      <c r="DQ55" s="45"/>
      <c r="DR55" s="59"/>
      <c r="DS55" s="64"/>
      <c r="DT55" s="20"/>
      <c r="DU55" s="271"/>
      <c r="DV55" s="839"/>
      <c r="DW55" s="45"/>
      <c r="DX55" s="692"/>
      <c r="DY55" s="183" t="s">
        <v>48</v>
      </c>
      <c r="DZ55" s="64"/>
      <c r="EA55" s="20"/>
      <c r="EB55" s="709"/>
      <c r="EC55" s="789"/>
      <c r="ED55" s="765"/>
      <c r="EE55" s="313"/>
      <c r="EF55" s="64"/>
      <c r="EG55" s="20"/>
      <c r="EH55" s="270"/>
      <c r="EI55" s="721"/>
      <c r="EJ55" s="45"/>
      <c r="EK55" s="59"/>
      <c r="EL55" s="64"/>
      <c r="EM55" s="20"/>
      <c r="EN55" s="270"/>
    </row>
    <row r="56" spans="1:145" ht="19.899999999999999" customHeight="1" thickTop="1" thickBot="1" x14ac:dyDescent="0.25">
      <c r="A56" s="6" t="s">
        <v>62</v>
      </c>
      <c r="B56" s="972">
        <f>B51+1</f>
        <v>44</v>
      </c>
      <c r="C56" s="89">
        <f>C51+7</f>
        <v>45957</v>
      </c>
      <c r="D56" s="4"/>
      <c r="E56" s="24"/>
      <c r="F56" s="525"/>
      <c r="G56" s="24"/>
      <c r="H56" s="4"/>
      <c r="I56" s="265"/>
      <c r="J56" s="664" t="s">
        <v>68</v>
      </c>
      <c r="K56" s="117"/>
      <c r="L56" s="118"/>
      <c r="M56" s="119"/>
      <c r="N56" s="120"/>
      <c r="O56" s="24"/>
      <c r="P56" s="624"/>
      <c r="Q56" s="664" t="s">
        <v>68</v>
      </c>
      <c r="R56" s="119"/>
      <c r="S56" s="664" t="s">
        <v>68</v>
      </c>
      <c r="T56" s="119"/>
      <c r="U56" s="117"/>
      <c r="V56" s="118"/>
      <c r="W56" s="24"/>
      <c r="X56" s="707" t="s">
        <v>44</v>
      </c>
      <c r="Y56" s="647"/>
      <c r="Z56" s="117"/>
      <c r="AA56" s="118"/>
      <c r="AB56" s="119"/>
      <c r="AC56" s="299"/>
      <c r="AD56" s="21"/>
      <c r="AE56" s="707" t="s">
        <v>44</v>
      </c>
      <c r="AF56" s="647" t="s">
        <v>68</v>
      </c>
      <c r="AG56" s="647"/>
      <c r="AH56" s="647" t="s">
        <v>68</v>
      </c>
      <c r="AI56" s="647"/>
      <c r="AJ56" s="117"/>
      <c r="AK56" s="118"/>
      <c r="AL56" s="119"/>
      <c r="AM56" s="120"/>
      <c r="AN56" s="21"/>
      <c r="AO56" s="271"/>
      <c r="AP56" s="697" t="s">
        <v>68</v>
      </c>
      <c r="AQ56" s="117"/>
      <c r="AR56" s="118"/>
      <c r="AS56" s="119"/>
      <c r="AT56" s="299"/>
      <c r="AU56" s="21"/>
      <c r="AV56" s="271"/>
      <c r="AW56" s="697" t="s">
        <v>68</v>
      </c>
      <c r="AX56" s="117"/>
      <c r="AY56" s="118"/>
      <c r="AZ56" s="119"/>
      <c r="BA56" s="120"/>
      <c r="BB56" s="21"/>
      <c r="BC56" s="697" t="s">
        <v>68</v>
      </c>
      <c r="BD56" s="118"/>
      <c r="BE56" s="119"/>
      <c r="BF56" s="299"/>
      <c r="BG56" s="21"/>
      <c r="BH56" s="271"/>
      <c r="BI56" s="845"/>
      <c r="BJ56" s="61"/>
      <c r="BK56" s="39"/>
      <c r="BL56" s="35"/>
      <c r="BM56" s="21"/>
      <c r="BN56" s="271"/>
      <c r="BO56" s="845"/>
      <c r="BP56" s="314"/>
      <c r="BQ56" s="845"/>
      <c r="BR56" s="314"/>
      <c r="BS56" s="308"/>
      <c r="BT56" s="306"/>
      <c r="BU56" s="21"/>
      <c r="BV56" s="271"/>
      <c r="BW56" s="697" t="s">
        <v>68</v>
      </c>
      <c r="BX56" s="117"/>
      <c r="BY56" s="119"/>
      <c r="BZ56" s="120"/>
      <c r="CA56" s="21"/>
      <c r="CB56" s="707" t="s">
        <v>69</v>
      </c>
      <c r="CC56" s="780" t="s">
        <v>26</v>
      </c>
      <c r="CD56" s="71"/>
      <c r="CE56" s="72"/>
      <c r="CF56" s="62"/>
      <c r="CG56" s="21"/>
      <c r="CH56" s="707" t="s">
        <v>69</v>
      </c>
      <c r="CI56" s="917" t="s">
        <v>26</v>
      </c>
      <c r="CJ56" s="74"/>
      <c r="CK56" s="72"/>
      <c r="CL56" s="62"/>
      <c r="CM56" s="21"/>
      <c r="CN56" s="707" t="s">
        <v>66</v>
      </c>
      <c r="CO56" s="813"/>
      <c r="CP56" s="643" t="s">
        <v>293</v>
      </c>
      <c r="CQ56" s="72"/>
      <c r="CR56" s="62"/>
      <c r="CS56" s="21"/>
      <c r="CT56" s="271"/>
      <c r="CU56" s="720"/>
      <c r="CV56" s="71"/>
      <c r="CW56" s="72"/>
      <c r="CX56" s="35"/>
      <c r="CY56" s="566"/>
      <c r="CZ56" s="720"/>
      <c r="DA56" s="21"/>
      <c r="DB56" s="707" t="s">
        <v>44</v>
      </c>
      <c r="DC56" s="742"/>
      <c r="DD56" s="744">
        <v>4</v>
      </c>
      <c r="DE56" s="690" t="s">
        <v>57</v>
      </c>
      <c r="DF56" s="39"/>
      <c r="DG56" s="35"/>
      <c r="DH56" s="20"/>
      <c r="DI56" s="271"/>
      <c r="DJ56" s="812" t="s">
        <v>366</v>
      </c>
      <c r="DK56" s="655" t="s">
        <v>53</v>
      </c>
      <c r="DL56" s="39"/>
      <c r="DM56" s="809" t="s">
        <v>54</v>
      </c>
      <c r="DN56" s="20"/>
      <c r="DO56" s="271"/>
      <c r="DP56" s="766" t="s">
        <v>450</v>
      </c>
      <c r="DQ56" s="655" t="s">
        <v>271</v>
      </c>
      <c r="DR56" s="77"/>
      <c r="DS56" s="196"/>
      <c r="DT56" s="20"/>
      <c r="DU56" s="707" t="s">
        <v>44</v>
      </c>
      <c r="DV56" s="935" t="s">
        <v>40</v>
      </c>
      <c r="DW56" s="744">
        <v>5</v>
      </c>
      <c r="DX56" s="690" t="s">
        <v>57</v>
      </c>
      <c r="DY56" s="39"/>
      <c r="DZ56" s="35"/>
      <c r="EA56" s="20"/>
      <c r="EB56" s="707" t="s">
        <v>66</v>
      </c>
      <c r="EC56" s="789"/>
      <c r="ED56" s="314"/>
      <c r="EE56" s="39"/>
      <c r="EF56" s="35"/>
      <c r="EG56" s="20"/>
      <c r="EH56" s="271"/>
      <c r="EI56" s="791" t="s">
        <v>266</v>
      </c>
      <c r="EJ56" s="314"/>
      <c r="EK56" s="39"/>
      <c r="EL56" s="306"/>
      <c r="EM56" s="20"/>
      <c r="EN56" s="271"/>
      <c r="EO56" s="1092" t="s">
        <v>419</v>
      </c>
    </row>
    <row r="57" spans="1:145" ht="19.899999999999999" customHeight="1" thickTop="1" thickBot="1" x14ac:dyDescent="0.25">
      <c r="A57" s="6" t="s">
        <v>62</v>
      </c>
      <c r="B57" s="972"/>
      <c r="C57" s="33">
        <f>C56+1</f>
        <v>45958</v>
      </c>
      <c r="D57" s="1"/>
      <c r="E57" s="23"/>
      <c r="F57" s="526"/>
      <c r="G57" s="23"/>
      <c r="H57" s="1"/>
      <c r="I57" s="265"/>
      <c r="J57" s="664"/>
      <c r="K57" s="121"/>
      <c r="L57" s="122"/>
      <c r="M57" s="107"/>
      <c r="N57" s="123"/>
      <c r="O57" s="23"/>
      <c r="P57" s="624"/>
      <c r="Q57" s="664"/>
      <c r="R57" s="107"/>
      <c r="S57" s="664"/>
      <c r="T57" s="107"/>
      <c r="U57" s="121"/>
      <c r="V57" s="122"/>
      <c r="W57" s="23"/>
      <c r="X57" s="708"/>
      <c r="Y57" s="647"/>
      <c r="Z57" s="121"/>
      <c r="AA57" s="122"/>
      <c r="AB57" s="107"/>
      <c r="AC57" s="123"/>
      <c r="AD57" s="21"/>
      <c r="AE57" s="708"/>
      <c r="AF57" s="647"/>
      <c r="AG57" s="647"/>
      <c r="AH57" s="647"/>
      <c r="AI57" s="647"/>
      <c r="AJ57" s="121"/>
      <c r="AK57" s="122"/>
      <c r="AL57" s="107"/>
      <c r="AM57" s="123"/>
      <c r="AN57" s="21"/>
      <c r="AO57" s="270"/>
      <c r="AP57" s="647"/>
      <c r="AQ57" s="121"/>
      <c r="AR57" s="122"/>
      <c r="AS57" s="107"/>
      <c r="AT57" s="123"/>
      <c r="AU57" s="21"/>
      <c r="AV57" s="270"/>
      <c r="AW57" s="647"/>
      <c r="AX57" s="121"/>
      <c r="AY57" s="122"/>
      <c r="AZ57" s="107"/>
      <c r="BA57" s="123"/>
      <c r="BB57" s="21"/>
      <c r="BC57" s="647"/>
      <c r="BD57" s="122"/>
      <c r="BE57" s="107"/>
      <c r="BF57" s="123"/>
      <c r="BG57" s="21"/>
      <c r="BH57" s="270"/>
      <c r="BI57" s="845"/>
      <c r="BJ57" s="63"/>
      <c r="BK57" s="50"/>
      <c r="BL57" s="60"/>
      <c r="BM57" s="21"/>
      <c r="BN57" s="270"/>
      <c r="BO57" s="845"/>
      <c r="BP57" s="63"/>
      <c r="BQ57" s="845"/>
      <c r="BR57" s="63"/>
      <c r="BS57" s="50"/>
      <c r="BT57" s="60"/>
      <c r="BU57" s="21"/>
      <c r="BV57" s="271"/>
      <c r="BW57" s="647"/>
      <c r="BX57" s="121"/>
      <c r="BY57" s="107"/>
      <c r="BZ57" s="123"/>
      <c r="CA57" s="21"/>
      <c r="CB57" s="708"/>
      <c r="CC57" s="781"/>
      <c r="CD57" s="63"/>
      <c r="CE57" s="50"/>
      <c r="CF57" s="60"/>
      <c r="CG57" s="21"/>
      <c r="CH57" s="708"/>
      <c r="CI57" s="917"/>
      <c r="CJ57" s="54"/>
      <c r="CK57" s="50"/>
      <c r="CL57" s="60"/>
      <c r="CM57" s="21"/>
      <c r="CN57" s="708"/>
      <c r="CO57" s="813"/>
      <c r="CP57" s="644"/>
      <c r="CQ57" s="50"/>
      <c r="CR57" s="60"/>
      <c r="CS57" s="21"/>
      <c r="CT57" s="271"/>
      <c r="CU57" s="720"/>
      <c r="CV57" s="63"/>
      <c r="CW57" s="50"/>
      <c r="CX57" s="36"/>
      <c r="CY57" s="566"/>
      <c r="CZ57" s="720"/>
      <c r="DA57" s="21"/>
      <c r="DB57" s="708"/>
      <c r="DC57" s="742"/>
      <c r="DD57" s="745"/>
      <c r="DE57" s="691"/>
      <c r="DF57" s="44"/>
      <c r="DG57" s="36"/>
      <c r="DH57" s="20"/>
      <c r="DI57" s="271"/>
      <c r="DJ57" s="813"/>
      <c r="DK57" s="641"/>
      <c r="DL57" s="44"/>
      <c r="DM57" s="810"/>
      <c r="DN57" s="20"/>
      <c r="DO57" s="271"/>
      <c r="DP57" s="767"/>
      <c r="DQ57" s="641"/>
      <c r="DR57" s="147"/>
      <c r="DS57" s="197"/>
      <c r="DT57" s="20"/>
      <c r="DU57" s="708"/>
      <c r="DV57" s="935"/>
      <c r="DW57" s="745"/>
      <c r="DX57" s="691"/>
      <c r="DY57" s="44"/>
      <c r="DZ57" s="36"/>
      <c r="EA57" s="20"/>
      <c r="EB57" s="708"/>
      <c r="EC57" s="789"/>
      <c r="ED57" s="309"/>
      <c r="EE57" s="83"/>
      <c r="EF57" s="36"/>
      <c r="EG57" s="20"/>
      <c r="EH57" s="271"/>
      <c r="EI57" s="791"/>
      <c r="EJ57" s="309"/>
      <c r="EK57" s="44"/>
      <c r="EL57" s="307"/>
      <c r="EM57" s="20"/>
      <c r="EN57" s="270"/>
      <c r="EO57" s="791"/>
    </row>
    <row r="58" spans="1:145" ht="19.899999999999999" customHeight="1" thickTop="1" thickBot="1" x14ac:dyDescent="0.25">
      <c r="A58" s="6" t="s">
        <v>62</v>
      </c>
      <c r="B58" s="972"/>
      <c r="C58" s="33">
        <f>C57+1</f>
        <v>45959</v>
      </c>
      <c r="D58" s="1"/>
      <c r="E58" s="23"/>
      <c r="F58" s="526"/>
      <c r="G58" s="23"/>
      <c r="H58" s="1"/>
      <c r="I58" s="265"/>
      <c r="J58" s="664"/>
      <c r="K58" s="124"/>
      <c r="L58" s="125"/>
      <c r="M58" s="126"/>
      <c r="N58" s="127"/>
      <c r="O58" s="23"/>
      <c r="P58" s="624"/>
      <c r="Q58" s="664"/>
      <c r="R58" s="126"/>
      <c r="S58" s="664"/>
      <c r="T58" s="126"/>
      <c r="U58" s="124"/>
      <c r="V58" s="125"/>
      <c r="W58" s="23"/>
      <c r="X58" s="708"/>
      <c r="Y58" s="647"/>
      <c r="Z58" s="124"/>
      <c r="AA58" s="125"/>
      <c r="AB58" s="126"/>
      <c r="AC58" s="127"/>
      <c r="AD58" s="21"/>
      <c r="AE58" s="708"/>
      <c r="AF58" s="647"/>
      <c r="AG58" s="647"/>
      <c r="AH58" s="647"/>
      <c r="AI58" s="647"/>
      <c r="AJ58" s="124"/>
      <c r="AK58" s="125"/>
      <c r="AL58" s="126"/>
      <c r="AM58" s="127"/>
      <c r="AN58" s="21"/>
      <c r="AO58" s="270"/>
      <c r="AP58" s="647"/>
      <c r="AQ58" s="124"/>
      <c r="AR58" s="125"/>
      <c r="AS58" s="126"/>
      <c r="AT58" s="127"/>
      <c r="AU58" s="21"/>
      <c r="AV58" s="270"/>
      <c r="AW58" s="647"/>
      <c r="AX58" s="124"/>
      <c r="AY58" s="125"/>
      <c r="AZ58" s="126"/>
      <c r="BA58" s="127"/>
      <c r="BB58" s="21"/>
      <c r="BC58" s="647"/>
      <c r="BD58" s="125"/>
      <c r="BE58" s="126"/>
      <c r="BF58" s="127"/>
      <c r="BG58" s="21"/>
      <c r="BH58" s="270"/>
      <c r="BI58" s="845"/>
      <c r="BJ58" s="40"/>
      <c r="BK58" s="44"/>
      <c r="BL58" s="36"/>
      <c r="BM58" s="21"/>
      <c r="BN58" s="270"/>
      <c r="BO58" s="845"/>
      <c r="BP58" s="309"/>
      <c r="BQ58" s="845"/>
      <c r="BR58" s="309"/>
      <c r="BS58" s="310"/>
      <c r="BT58" s="307"/>
      <c r="BU58" s="21"/>
      <c r="BV58" s="271"/>
      <c r="BW58" s="647"/>
      <c r="BX58" s="124"/>
      <c r="BY58" s="126"/>
      <c r="BZ58" s="127"/>
      <c r="CA58" s="21"/>
      <c r="CB58" s="708"/>
      <c r="CC58" s="781"/>
      <c r="CD58" s="309"/>
      <c r="CE58" s="44"/>
      <c r="CF58" s="36"/>
      <c r="CG58" s="21"/>
      <c r="CH58" s="708"/>
      <c r="CI58" s="917"/>
      <c r="CJ58" s="41"/>
      <c r="CK58" s="310"/>
      <c r="CL58" s="307"/>
      <c r="CM58" s="21"/>
      <c r="CN58" s="708"/>
      <c r="CO58" s="813"/>
      <c r="CP58" s="644"/>
      <c r="CQ58" s="44"/>
      <c r="CR58" s="36"/>
      <c r="CS58" s="21"/>
      <c r="CT58" s="271"/>
      <c r="CU58" s="720"/>
      <c r="CV58" s="40"/>
      <c r="CW58" s="44"/>
      <c r="CX58" s="36"/>
      <c r="CY58" s="566"/>
      <c r="CZ58" s="720"/>
      <c r="DA58" s="21"/>
      <c r="DB58" s="708"/>
      <c r="DC58" s="742"/>
      <c r="DD58" s="745"/>
      <c r="DE58" s="691"/>
      <c r="DF58" s="310"/>
      <c r="DG58" s="36"/>
      <c r="DH58" s="20"/>
      <c r="DI58" s="271"/>
      <c r="DJ58" s="813"/>
      <c r="DK58" s="641"/>
      <c r="DL58" s="44"/>
      <c r="DM58" s="810"/>
      <c r="DN58" s="20"/>
      <c r="DO58" s="271"/>
      <c r="DP58" s="767"/>
      <c r="DQ58" s="641"/>
      <c r="DR58" s="147"/>
      <c r="DS58" s="197"/>
      <c r="DT58" s="20"/>
      <c r="DU58" s="708"/>
      <c r="DV58" s="935"/>
      <c r="DW58" s="745"/>
      <c r="DX58" s="691"/>
      <c r="DY58" s="44"/>
      <c r="DZ58" s="36"/>
      <c r="EA58" s="20"/>
      <c r="EB58" s="708"/>
      <c r="EC58" s="789"/>
      <c r="ED58" s="309"/>
      <c r="EE58" s="116" t="s">
        <v>61</v>
      </c>
      <c r="EF58" s="36"/>
      <c r="EG58" s="20"/>
      <c r="EH58" s="271"/>
      <c r="EI58" s="791"/>
      <c r="EJ58" s="309"/>
      <c r="EK58" s="291"/>
      <c r="EL58" s="307"/>
      <c r="EM58" s="20"/>
      <c r="EN58" s="270"/>
      <c r="EO58" s="791"/>
    </row>
    <row r="59" spans="1:145" ht="19.899999999999999" customHeight="1" thickTop="1" thickBot="1" x14ac:dyDescent="0.25">
      <c r="A59" s="6" t="s">
        <v>70</v>
      </c>
      <c r="B59" s="972"/>
      <c r="C59" s="302">
        <f>C58+1</f>
        <v>45960</v>
      </c>
      <c r="D59" s="1"/>
      <c r="E59" s="23"/>
      <c r="F59" s="526"/>
      <c r="G59" s="23"/>
      <c r="H59" s="1"/>
      <c r="I59" s="265"/>
      <c r="J59" s="664"/>
      <c r="K59" s="124"/>
      <c r="L59" s="125"/>
      <c r="M59" s="126"/>
      <c r="N59" s="127"/>
      <c r="O59" s="23"/>
      <c r="P59" s="624"/>
      <c r="Q59" s="664"/>
      <c r="R59" s="126"/>
      <c r="S59" s="664"/>
      <c r="T59" s="126"/>
      <c r="U59" s="124"/>
      <c r="V59" s="125"/>
      <c r="W59" s="23"/>
      <c r="X59" s="708"/>
      <c r="Y59" s="647"/>
      <c r="Z59" s="124"/>
      <c r="AA59" s="125"/>
      <c r="AB59" s="126"/>
      <c r="AC59" s="127"/>
      <c r="AD59" s="21"/>
      <c r="AE59" s="708"/>
      <c r="AF59" s="647"/>
      <c r="AG59" s="647"/>
      <c r="AH59" s="647"/>
      <c r="AI59" s="647"/>
      <c r="AJ59" s="124"/>
      <c r="AK59" s="125"/>
      <c r="AL59" s="126"/>
      <c r="AM59" s="127"/>
      <c r="AN59" s="21"/>
      <c r="AO59" s="270"/>
      <c r="AP59" s="647"/>
      <c r="AQ59" s="124"/>
      <c r="AR59" s="125"/>
      <c r="AS59" s="126"/>
      <c r="AT59" s="127"/>
      <c r="AU59" s="21"/>
      <c r="AV59" s="270"/>
      <c r="AW59" s="647"/>
      <c r="AX59" s="124"/>
      <c r="AY59" s="125"/>
      <c r="AZ59" s="126"/>
      <c r="BA59" s="127"/>
      <c r="BB59" s="21"/>
      <c r="BC59" s="647"/>
      <c r="BD59" s="125"/>
      <c r="BE59" s="126"/>
      <c r="BF59" s="127"/>
      <c r="BG59" s="21"/>
      <c r="BH59" s="270"/>
      <c r="BI59" s="845"/>
      <c r="BJ59" s="40"/>
      <c r="BK59" s="44"/>
      <c r="BL59" s="36"/>
      <c r="BM59" s="21"/>
      <c r="BN59" s="270"/>
      <c r="BO59" s="845"/>
      <c r="BP59" s="309"/>
      <c r="BQ59" s="845"/>
      <c r="BR59" s="309"/>
      <c r="BS59" s="310"/>
      <c r="BT59" s="307"/>
      <c r="BU59" s="21"/>
      <c r="BV59" s="271"/>
      <c r="BW59" s="647"/>
      <c r="BX59" s="124"/>
      <c r="BY59" s="126"/>
      <c r="BZ59" s="127"/>
      <c r="CA59" s="21"/>
      <c r="CB59" s="708"/>
      <c r="CC59" s="781"/>
      <c r="CD59" s="309"/>
      <c r="CE59" s="44"/>
      <c r="CF59" s="36"/>
      <c r="CG59" s="21"/>
      <c r="CH59" s="708"/>
      <c r="CI59" s="917"/>
      <c r="CJ59" s="41"/>
      <c r="CK59" s="310"/>
      <c r="CL59" s="307"/>
      <c r="CM59" s="21"/>
      <c r="CN59" s="708"/>
      <c r="CO59" s="813"/>
      <c r="CP59" s="644"/>
      <c r="CQ59" s="116" t="s">
        <v>61</v>
      </c>
      <c r="CR59" s="36"/>
      <c r="CS59" s="21"/>
      <c r="CT59" s="271"/>
      <c r="CU59" s="720"/>
      <c r="CV59" s="40"/>
      <c r="CW59" s="44"/>
      <c r="CX59" s="36"/>
      <c r="CY59" s="566"/>
      <c r="CZ59" s="720"/>
      <c r="DA59" s="21"/>
      <c r="DB59" s="708"/>
      <c r="DC59" s="742"/>
      <c r="DD59" s="745"/>
      <c r="DE59" s="691"/>
      <c r="DF59" s="310"/>
      <c r="DG59" s="36"/>
      <c r="DH59" s="20"/>
      <c r="DI59" s="271"/>
      <c r="DJ59" s="813"/>
      <c r="DK59" s="641"/>
      <c r="DL59" s="291"/>
      <c r="DM59" s="810"/>
      <c r="DN59" s="20"/>
      <c r="DO59" s="271"/>
      <c r="DP59" s="767"/>
      <c r="DQ59" s="641"/>
      <c r="DR59" s="577"/>
      <c r="DS59" s="197"/>
      <c r="DT59" s="20"/>
      <c r="DU59" s="708"/>
      <c r="DV59" s="935"/>
      <c r="DW59" s="745"/>
      <c r="DX59" s="691"/>
      <c r="DY59" s="44"/>
      <c r="DZ59" s="36"/>
      <c r="EA59" s="20"/>
      <c r="EB59" s="708"/>
      <c r="EC59" s="789"/>
      <c r="ED59" s="309"/>
      <c r="EE59" s="83"/>
      <c r="EF59" s="164"/>
      <c r="EG59" s="20"/>
      <c r="EH59" s="271"/>
      <c r="EI59" s="791"/>
      <c r="EJ59" s="207"/>
      <c r="EK59" s="83"/>
      <c r="EL59" s="307"/>
      <c r="EM59" s="20"/>
      <c r="EN59" s="270"/>
      <c r="EO59" s="1093"/>
    </row>
    <row r="60" spans="1:145" ht="19.899999999999999" customHeight="1" thickTop="1" thickBot="1" x14ac:dyDescent="0.25">
      <c r="A60" s="6" t="s">
        <v>71</v>
      </c>
      <c r="B60" s="972"/>
      <c r="C60" s="330">
        <f>C59+1</f>
        <v>45961</v>
      </c>
      <c r="D60" s="1"/>
      <c r="E60" s="23"/>
      <c r="F60" s="526"/>
      <c r="G60" s="23"/>
      <c r="H60" s="1"/>
      <c r="I60" s="265"/>
      <c r="J60" s="664"/>
      <c r="K60" s="128"/>
      <c r="L60" s="129"/>
      <c r="M60" s="108"/>
      <c r="N60" s="130"/>
      <c r="O60" s="23"/>
      <c r="P60" s="624"/>
      <c r="Q60" s="664"/>
      <c r="R60" s="108"/>
      <c r="S60" s="664"/>
      <c r="T60" s="108"/>
      <c r="U60" s="128"/>
      <c r="V60" s="129"/>
      <c r="W60" s="23"/>
      <c r="X60" s="709"/>
      <c r="Y60" s="648"/>
      <c r="Z60" s="128"/>
      <c r="AA60" s="129"/>
      <c r="AB60" s="108"/>
      <c r="AC60" s="130"/>
      <c r="AD60" s="21"/>
      <c r="AE60" s="709"/>
      <c r="AF60" s="648"/>
      <c r="AG60" s="648"/>
      <c r="AH60" s="648"/>
      <c r="AI60" s="648"/>
      <c r="AJ60" s="128"/>
      <c r="AK60" s="129"/>
      <c r="AL60" s="108"/>
      <c r="AM60" s="130"/>
      <c r="AN60" s="21"/>
      <c r="AO60" s="270"/>
      <c r="AP60" s="647"/>
      <c r="AQ60" s="128"/>
      <c r="AR60" s="129"/>
      <c r="AS60" s="108"/>
      <c r="AT60" s="130"/>
      <c r="AU60" s="21"/>
      <c r="AV60" s="270"/>
      <c r="AW60" s="648"/>
      <c r="AX60" s="128"/>
      <c r="AY60" s="129"/>
      <c r="AZ60" s="108"/>
      <c r="BA60" s="130"/>
      <c r="BB60" s="21"/>
      <c r="BC60" s="648"/>
      <c r="BD60" s="129"/>
      <c r="BE60" s="108"/>
      <c r="BF60" s="130"/>
      <c r="BG60" s="21"/>
      <c r="BH60" s="271"/>
      <c r="BI60" s="845"/>
      <c r="BJ60" s="366"/>
      <c r="BK60" s="367"/>
      <c r="BL60" s="368"/>
      <c r="BM60" s="21"/>
      <c r="BN60" s="271"/>
      <c r="BO60" s="845"/>
      <c r="BP60" s="366"/>
      <c r="BQ60" s="845"/>
      <c r="BR60" s="366"/>
      <c r="BS60" s="367"/>
      <c r="BT60" s="368"/>
      <c r="BU60" s="21"/>
      <c r="BV60" s="270"/>
      <c r="BW60" s="648"/>
      <c r="BX60" s="128"/>
      <c r="BY60" s="108"/>
      <c r="BZ60" s="130"/>
      <c r="CA60" s="21"/>
      <c r="CB60" s="709"/>
      <c r="CC60" s="781"/>
      <c r="CD60" s="366"/>
      <c r="CE60" s="367"/>
      <c r="CF60" s="368"/>
      <c r="CG60" s="21"/>
      <c r="CH60" s="709"/>
      <c r="CI60" s="917"/>
      <c r="CJ60" s="437"/>
      <c r="CK60" s="367"/>
      <c r="CL60" s="368"/>
      <c r="CM60" s="21"/>
      <c r="CN60" s="709"/>
      <c r="CO60" s="839"/>
      <c r="CP60" s="645"/>
      <c r="CQ60" s="564" t="s">
        <v>48</v>
      </c>
      <c r="CR60" s="368"/>
      <c r="CS60" s="21"/>
      <c r="CT60" s="271"/>
      <c r="CU60" s="721"/>
      <c r="CV60" s="366"/>
      <c r="CW60" s="367"/>
      <c r="CX60" s="164"/>
      <c r="CY60" s="566"/>
      <c r="CZ60" s="721"/>
      <c r="DA60" s="21"/>
      <c r="DB60" s="709"/>
      <c r="DC60" s="743"/>
      <c r="DD60" s="746"/>
      <c r="DE60" s="692"/>
      <c r="DF60" s="59"/>
      <c r="DG60" s="64"/>
      <c r="DH60" s="20"/>
      <c r="DI60" s="271"/>
      <c r="DJ60" s="813"/>
      <c r="DK60" s="656"/>
      <c r="DL60" s="313"/>
      <c r="DM60" s="811"/>
      <c r="DN60" s="20"/>
      <c r="DO60" s="271"/>
      <c r="DP60" s="767"/>
      <c r="DQ60" s="656"/>
      <c r="DR60" s="153"/>
      <c r="DS60" s="315"/>
      <c r="DT60" s="20"/>
      <c r="DU60" s="709"/>
      <c r="DV60" s="984"/>
      <c r="DW60" s="746"/>
      <c r="DX60" s="692"/>
      <c r="DY60" s="59"/>
      <c r="DZ60" s="64"/>
      <c r="EA60" s="20"/>
      <c r="EB60" s="709"/>
      <c r="EC60" s="796"/>
      <c r="ED60" s="311"/>
      <c r="EE60" s="303" t="s">
        <v>48</v>
      </c>
      <c r="EF60" s="315"/>
      <c r="EG60" s="20"/>
      <c r="EH60" s="271"/>
      <c r="EI60" s="1090"/>
      <c r="EJ60" s="311"/>
      <c r="EK60" s="202" t="s">
        <v>125</v>
      </c>
      <c r="EL60" s="315"/>
      <c r="EM60" s="20"/>
      <c r="EN60" s="271"/>
      <c r="EO60" s="1091" t="s">
        <v>90</v>
      </c>
    </row>
    <row r="61" spans="1:145" ht="19.899999999999999" customHeight="1" thickTop="1" thickBot="1" x14ac:dyDescent="0.25">
      <c r="B61" s="972">
        <f>B56+1</f>
        <v>45</v>
      </c>
      <c r="C61" s="89">
        <f>C56+7</f>
        <v>45964</v>
      </c>
      <c r="D61" s="4"/>
      <c r="E61" s="24"/>
      <c r="F61" s="525"/>
      <c r="G61" s="803" t="s">
        <v>362</v>
      </c>
      <c r="H61" s="4"/>
      <c r="I61" s="527"/>
      <c r="J61" s="812" t="s">
        <v>73</v>
      </c>
      <c r="K61" s="68"/>
      <c r="L61" s="694" t="s">
        <v>82</v>
      </c>
      <c r="M61" s="308"/>
      <c r="N61" s="306"/>
      <c r="O61" s="24"/>
      <c r="P61" s="624"/>
      <c r="Q61" s="812" t="s">
        <v>73</v>
      </c>
      <c r="R61" s="308"/>
      <c r="S61" s="812" t="s">
        <v>255</v>
      </c>
      <c r="T61" s="308"/>
      <c r="U61" s="68"/>
      <c r="V61" s="694" t="s">
        <v>82</v>
      </c>
      <c r="W61" s="24"/>
      <c r="X61" s="710" t="s">
        <v>72</v>
      </c>
      <c r="Y61" s="90"/>
      <c r="Z61" s="853">
        <v>1</v>
      </c>
      <c r="AA61" s="701" t="s">
        <v>75</v>
      </c>
      <c r="AB61" s="131" t="s">
        <v>48</v>
      </c>
      <c r="AC61" s="306"/>
      <c r="AD61" s="21"/>
      <c r="AE61" s="710" t="s">
        <v>72</v>
      </c>
      <c r="AF61" s="1012" t="s">
        <v>83</v>
      </c>
      <c r="AG61" s="1012"/>
      <c r="AH61" s="90"/>
      <c r="AI61" s="90"/>
      <c r="AJ61" s="853">
        <v>1</v>
      </c>
      <c r="AK61" s="701" t="s">
        <v>75</v>
      </c>
      <c r="AL61" s="131" t="s">
        <v>48</v>
      </c>
      <c r="AM61" s="35"/>
      <c r="AN61" s="21"/>
      <c r="AO61" s="710" t="s">
        <v>72</v>
      </c>
      <c r="AP61" s="788" t="s">
        <v>88</v>
      </c>
      <c r="AQ61" s="950">
        <v>1</v>
      </c>
      <c r="AR61" s="701" t="s">
        <v>76</v>
      </c>
      <c r="AS61" s="308"/>
      <c r="AT61" s="306"/>
      <c r="AU61" s="21"/>
      <c r="AV61" s="710" t="s">
        <v>72</v>
      </c>
      <c r="AW61" s="698" t="s">
        <v>256</v>
      </c>
      <c r="AX61" s="61"/>
      <c r="AY61" s="701" t="s">
        <v>76</v>
      </c>
      <c r="AZ61" s="308"/>
      <c r="BA61" s="35"/>
      <c r="BB61" s="21"/>
      <c r="BC61" s="698" t="s">
        <v>256</v>
      </c>
      <c r="BD61" s="701" t="s">
        <v>76</v>
      </c>
      <c r="BE61" s="308"/>
      <c r="BF61" s="306"/>
      <c r="BG61" s="21"/>
      <c r="BH61" s="713" t="s">
        <v>77</v>
      </c>
      <c r="BI61" s="845"/>
      <c r="BJ61" s="61"/>
      <c r="BK61" s="39"/>
      <c r="BL61" s="35"/>
      <c r="BM61" s="21"/>
      <c r="BN61" s="713" t="s">
        <v>77</v>
      </c>
      <c r="BO61" s="845"/>
      <c r="BP61" s="314"/>
      <c r="BQ61" s="845"/>
      <c r="BR61" s="314"/>
      <c r="BS61" s="308"/>
      <c r="BT61" s="306"/>
      <c r="BU61" s="21"/>
      <c r="BV61" s="707" t="s">
        <v>44</v>
      </c>
      <c r="BW61" s="995" t="s">
        <v>78</v>
      </c>
      <c r="BX61" s="900" t="s">
        <v>274</v>
      </c>
      <c r="BY61" s="39"/>
      <c r="BZ61" s="649" t="s">
        <v>406</v>
      </c>
      <c r="CA61" s="21"/>
      <c r="CB61" s="271"/>
      <c r="CC61" s="781"/>
      <c r="CD61" s="314"/>
      <c r="CE61" s="39"/>
      <c r="CF61" s="649" t="s">
        <v>406</v>
      </c>
      <c r="CG61" s="21"/>
      <c r="CH61" s="868" t="s">
        <v>58</v>
      </c>
      <c r="CI61" s="917"/>
      <c r="CJ61" s="308"/>
      <c r="CK61" s="308"/>
      <c r="CL61" s="306"/>
      <c r="CM61" s="21"/>
      <c r="CN61" s="707" t="s">
        <v>69</v>
      </c>
      <c r="CO61" s="490"/>
      <c r="CP61" s="61"/>
      <c r="CQ61" s="39"/>
      <c r="CR61" s="35"/>
      <c r="CS61" s="21"/>
      <c r="CT61" s="271"/>
      <c r="CU61" s="1111" t="s">
        <v>79</v>
      </c>
      <c r="CV61" s="736" t="s">
        <v>271</v>
      </c>
      <c r="CW61" s="58"/>
      <c r="CX61" s="649" t="s">
        <v>406</v>
      </c>
      <c r="CY61" s="566"/>
      <c r="CZ61" s="1036" t="s">
        <v>39</v>
      </c>
      <c r="DA61" s="21"/>
      <c r="DB61" s="710" t="s">
        <v>58</v>
      </c>
      <c r="DC61" s="719" t="s">
        <v>26</v>
      </c>
      <c r="DD61" s="61"/>
      <c r="DE61" s="39"/>
      <c r="DF61" s="39"/>
      <c r="DG61" s="35"/>
      <c r="DH61" s="20"/>
      <c r="DI61" s="271"/>
      <c r="DJ61" s="813"/>
      <c r="DK61" s="643" t="s">
        <v>60</v>
      </c>
      <c r="DL61" s="39"/>
      <c r="DM61" s="35"/>
      <c r="DN61" s="20"/>
      <c r="DO61" s="707" t="s">
        <v>44</v>
      </c>
      <c r="DP61" s="1042" t="s">
        <v>332</v>
      </c>
      <c r="DQ61" s="736" t="s">
        <v>275</v>
      </c>
      <c r="DR61" s="77"/>
      <c r="DS61" s="649" t="s">
        <v>406</v>
      </c>
      <c r="DT61" s="20"/>
      <c r="DU61" s="710" t="s">
        <v>58</v>
      </c>
      <c r="DV61" s="719" t="s">
        <v>26</v>
      </c>
      <c r="DW61" s="61"/>
      <c r="DX61" s="39"/>
      <c r="DY61" s="39"/>
      <c r="DZ61" s="35"/>
      <c r="EA61" s="20"/>
      <c r="EB61" s="707" t="s">
        <v>69</v>
      </c>
      <c r="EC61" s="781" t="s">
        <v>26</v>
      </c>
      <c r="ED61" s="61"/>
      <c r="EE61" s="39"/>
      <c r="EF61" s="35"/>
      <c r="EG61" s="20"/>
      <c r="EH61" s="707" t="s">
        <v>44</v>
      </c>
      <c r="EI61" s="1089" t="s">
        <v>264</v>
      </c>
      <c r="EJ61" s="736" t="s">
        <v>271</v>
      </c>
      <c r="EK61" s="308"/>
      <c r="EL61" s="649" t="s">
        <v>406</v>
      </c>
      <c r="EM61" s="20"/>
      <c r="EN61" s="713" t="s">
        <v>77</v>
      </c>
    </row>
    <row r="62" spans="1:145" ht="19.899999999999999" customHeight="1" thickTop="1" thickBot="1" x14ac:dyDescent="0.25">
      <c r="B62" s="972"/>
      <c r="C62" s="33">
        <f>C61+1</f>
        <v>45965</v>
      </c>
      <c r="D62" s="1"/>
      <c r="E62" s="23"/>
      <c r="F62" s="526"/>
      <c r="G62" s="804"/>
      <c r="H62" s="1"/>
      <c r="I62" s="527"/>
      <c r="J62" s="813"/>
      <c r="K62" s="68"/>
      <c r="L62" s="695"/>
      <c r="M62" s="42"/>
      <c r="N62" s="43"/>
      <c r="O62" s="23"/>
      <c r="P62" s="624"/>
      <c r="Q62" s="813"/>
      <c r="R62" s="42"/>
      <c r="S62" s="813"/>
      <c r="T62" s="42"/>
      <c r="U62" s="68"/>
      <c r="V62" s="695"/>
      <c r="W62" s="23"/>
      <c r="X62" s="711"/>
      <c r="Y62" s="905" t="s">
        <v>255</v>
      </c>
      <c r="Z62" s="850"/>
      <c r="AA62" s="702"/>
      <c r="AB62" s="42"/>
      <c r="AC62" s="43"/>
      <c r="AD62" s="21"/>
      <c r="AE62" s="711"/>
      <c r="AF62" s="1013"/>
      <c r="AG62" s="1013"/>
      <c r="AH62" s="734" t="s">
        <v>350</v>
      </c>
      <c r="AI62" s="905" t="s">
        <v>351</v>
      </c>
      <c r="AJ62" s="850"/>
      <c r="AK62" s="702"/>
      <c r="AL62" s="42"/>
      <c r="AM62" s="43"/>
      <c r="AN62" s="21"/>
      <c r="AO62" s="711"/>
      <c r="AP62" s="789"/>
      <c r="AQ62" s="951"/>
      <c r="AR62" s="702"/>
      <c r="AS62" s="310"/>
      <c r="AT62" s="307"/>
      <c r="AU62" s="21"/>
      <c r="AV62" s="711"/>
      <c r="AW62" s="699"/>
      <c r="AX62" s="73"/>
      <c r="AY62" s="702"/>
      <c r="AZ62" s="42"/>
      <c r="BA62" s="43"/>
      <c r="BB62" s="21"/>
      <c r="BC62" s="699"/>
      <c r="BD62" s="702"/>
      <c r="BE62" s="42"/>
      <c r="BF62" s="43"/>
      <c r="BG62" s="21"/>
      <c r="BH62" s="714"/>
      <c r="BI62" s="845"/>
      <c r="BJ62" s="73"/>
      <c r="BK62" s="42"/>
      <c r="BL62" s="43"/>
      <c r="BM62" s="21"/>
      <c r="BN62" s="714"/>
      <c r="BO62" s="845"/>
      <c r="BP62" s="73"/>
      <c r="BQ62" s="845"/>
      <c r="BR62" s="73"/>
      <c r="BS62" s="42"/>
      <c r="BT62" s="43"/>
      <c r="BU62" s="21"/>
      <c r="BV62" s="708"/>
      <c r="BW62" s="996"/>
      <c r="BX62" s="901"/>
      <c r="BY62" s="42"/>
      <c r="BZ62" s="650"/>
      <c r="CA62" s="21"/>
      <c r="CB62" s="271"/>
      <c r="CC62" s="781"/>
      <c r="CD62" s="309"/>
      <c r="CE62" s="44"/>
      <c r="CF62" s="650"/>
      <c r="CG62" s="21"/>
      <c r="CH62" s="869"/>
      <c r="CI62" s="917"/>
      <c r="CJ62" s="310"/>
      <c r="CK62" s="310"/>
      <c r="CL62" s="307"/>
      <c r="CM62" s="21"/>
      <c r="CN62" s="708"/>
      <c r="CO62" s="490"/>
      <c r="CP62" s="40"/>
      <c r="CQ62" s="44"/>
      <c r="CR62" s="36"/>
      <c r="CS62" s="21"/>
      <c r="CT62" s="271"/>
      <c r="CU62" s="1035"/>
      <c r="CV62" s="737"/>
      <c r="CW62" s="42"/>
      <c r="CX62" s="650"/>
      <c r="CY62" s="566"/>
      <c r="CZ62" s="1031"/>
      <c r="DA62" s="21"/>
      <c r="DB62" s="711"/>
      <c r="DC62" s="720"/>
      <c r="DD62" s="40"/>
      <c r="DE62" s="44"/>
      <c r="DF62" s="44"/>
      <c r="DG62" s="36"/>
      <c r="DH62" s="20"/>
      <c r="DI62" s="271"/>
      <c r="DJ62" s="813"/>
      <c r="DK62" s="644"/>
      <c r="DL62" s="44"/>
      <c r="DM62" s="36"/>
      <c r="DN62" s="20"/>
      <c r="DO62" s="708"/>
      <c r="DP62" s="688"/>
      <c r="DQ62" s="737"/>
      <c r="DR62" s="147"/>
      <c r="DS62" s="650"/>
      <c r="DT62" s="20"/>
      <c r="DU62" s="711"/>
      <c r="DV62" s="720"/>
      <c r="DW62" s="40"/>
      <c r="DX62" s="44"/>
      <c r="DY62" s="44"/>
      <c r="DZ62" s="36"/>
      <c r="EA62" s="20"/>
      <c r="EB62" s="708"/>
      <c r="EC62" s="781"/>
      <c r="ED62" s="40"/>
      <c r="EE62" s="44"/>
      <c r="EF62" s="36"/>
      <c r="EG62" s="20"/>
      <c r="EH62" s="708"/>
      <c r="EI62" s="862"/>
      <c r="EJ62" s="737"/>
      <c r="EK62" s="44"/>
      <c r="EL62" s="650"/>
      <c r="EM62" s="20"/>
      <c r="EN62" s="714"/>
    </row>
    <row r="63" spans="1:145" ht="19.899999999999999" customHeight="1" thickTop="1" thickBot="1" x14ac:dyDescent="0.25">
      <c r="B63" s="972"/>
      <c r="C63" s="33">
        <f>C62+1</f>
        <v>45966</v>
      </c>
      <c r="D63" s="1"/>
      <c r="E63" s="23"/>
      <c r="F63" s="526"/>
      <c r="G63" s="804"/>
      <c r="H63" s="1"/>
      <c r="I63" s="527"/>
      <c r="J63" s="813"/>
      <c r="K63" s="68"/>
      <c r="L63" s="695"/>
      <c r="M63" s="310"/>
      <c r="N63" s="60"/>
      <c r="O63" s="23"/>
      <c r="P63" s="624"/>
      <c r="Q63" s="813"/>
      <c r="R63" s="310"/>
      <c r="S63" s="813"/>
      <c r="T63" s="310"/>
      <c r="U63" s="68"/>
      <c r="V63" s="695"/>
      <c r="W63" s="23"/>
      <c r="X63" s="711"/>
      <c r="Y63" s="876"/>
      <c r="Z63" s="850"/>
      <c r="AA63" s="702"/>
      <c r="AB63" s="310"/>
      <c r="AC63" s="307"/>
      <c r="AD63" s="21"/>
      <c r="AE63" s="711"/>
      <c r="AF63" s="1013"/>
      <c r="AG63" s="1013"/>
      <c r="AH63" s="672"/>
      <c r="AI63" s="876"/>
      <c r="AJ63" s="850"/>
      <c r="AK63" s="702"/>
      <c r="AL63" s="44"/>
      <c r="AM63" s="36"/>
      <c r="AN63" s="21"/>
      <c r="AO63" s="711"/>
      <c r="AP63" s="789"/>
      <c r="AQ63" s="951"/>
      <c r="AR63" s="702"/>
      <c r="AS63" s="310"/>
      <c r="AT63" s="307"/>
      <c r="AU63" s="21"/>
      <c r="AV63" s="711"/>
      <c r="AW63" s="699"/>
      <c r="AX63" s="40"/>
      <c r="AY63" s="702"/>
      <c r="AZ63" s="44"/>
      <c r="BA63" s="36"/>
      <c r="BB63" s="21"/>
      <c r="BC63" s="699"/>
      <c r="BD63" s="702"/>
      <c r="BE63" s="310"/>
      <c r="BF63" s="307"/>
      <c r="BG63" s="21"/>
      <c r="BH63" s="714"/>
      <c r="BI63" s="845"/>
      <c r="BJ63" s="40"/>
      <c r="BK63" s="44"/>
      <c r="BL63" s="36"/>
      <c r="BM63" s="21"/>
      <c r="BN63" s="714"/>
      <c r="BO63" s="845"/>
      <c r="BP63" s="309"/>
      <c r="BQ63" s="845"/>
      <c r="BR63" s="309"/>
      <c r="BS63" s="310"/>
      <c r="BT63" s="307"/>
      <c r="BU63" s="21"/>
      <c r="BV63" s="708"/>
      <c r="BW63" s="996"/>
      <c r="BX63" s="901"/>
      <c r="BY63" s="44"/>
      <c r="BZ63" s="650"/>
      <c r="CA63" s="21"/>
      <c r="CB63" s="271"/>
      <c r="CC63" s="781"/>
      <c r="CD63" s="309"/>
      <c r="CE63" s="44"/>
      <c r="CF63" s="650"/>
      <c r="CG63" s="21"/>
      <c r="CH63" s="869"/>
      <c r="CI63" s="917"/>
      <c r="CJ63" s="310"/>
      <c r="CK63" s="310"/>
      <c r="CL63" s="307"/>
      <c r="CM63" s="21"/>
      <c r="CN63" s="708"/>
      <c r="CO63" s="490"/>
      <c r="CP63" s="40"/>
      <c r="CQ63" s="44"/>
      <c r="CR63" s="36"/>
      <c r="CS63" s="21"/>
      <c r="CT63" s="271"/>
      <c r="CU63" s="1035"/>
      <c r="CV63" s="737"/>
      <c r="CW63" s="42"/>
      <c r="CX63" s="650"/>
      <c r="CY63" s="566"/>
      <c r="CZ63" s="1031"/>
      <c r="DA63" s="21"/>
      <c r="DB63" s="711"/>
      <c r="DC63" s="720"/>
      <c r="DD63" s="40"/>
      <c r="DE63" s="44"/>
      <c r="DF63" s="310"/>
      <c r="DG63" s="36"/>
      <c r="DH63" s="20"/>
      <c r="DI63" s="271"/>
      <c r="DJ63" s="813"/>
      <c r="DK63" s="644"/>
      <c r="DL63" s="44"/>
      <c r="DM63" s="36"/>
      <c r="DN63" s="20"/>
      <c r="DO63" s="708"/>
      <c r="DP63" s="688"/>
      <c r="DQ63" s="737"/>
      <c r="DR63" s="147"/>
      <c r="DS63" s="650"/>
      <c r="DT63" s="20"/>
      <c r="DU63" s="711"/>
      <c r="DV63" s="720"/>
      <c r="DW63" s="40"/>
      <c r="DX63" s="44"/>
      <c r="DY63" s="44"/>
      <c r="DZ63" s="36"/>
      <c r="EA63" s="20"/>
      <c r="EB63" s="708"/>
      <c r="EC63" s="781"/>
      <c r="ED63" s="40"/>
      <c r="EE63" s="44"/>
      <c r="EF63" s="36"/>
      <c r="EG63" s="20"/>
      <c r="EH63" s="708"/>
      <c r="EI63" s="862"/>
      <c r="EJ63" s="737"/>
      <c r="EK63" s="44"/>
      <c r="EL63" s="650"/>
      <c r="EM63" s="20"/>
      <c r="EN63" s="714"/>
    </row>
    <row r="64" spans="1:145" ht="40.5" customHeight="1" thickTop="1" thickBot="1" x14ac:dyDescent="0.25">
      <c r="B64" s="972"/>
      <c r="C64" s="33">
        <f>C63+1</f>
        <v>45967</v>
      </c>
      <c r="D64" s="1"/>
      <c r="E64" s="210" t="s">
        <v>400</v>
      </c>
      <c r="F64" s="585"/>
      <c r="G64" s="804"/>
      <c r="H64" s="1"/>
      <c r="I64" s="527"/>
      <c r="J64" s="813"/>
      <c r="K64" s="68"/>
      <c r="L64" s="695"/>
      <c r="M64" s="612" t="s">
        <v>61</v>
      </c>
      <c r="N64" s="60"/>
      <c r="O64" s="23"/>
      <c r="P64" s="624"/>
      <c r="Q64" s="813"/>
      <c r="R64" s="612" t="s">
        <v>61</v>
      </c>
      <c r="S64" s="813"/>
      <c r="T64" s="612" t="s">
        <v>61</v>
      </c>
      <c r="U64" s="68"/>
      <c r="V64" s="695"/>
      <c r="W64" s="23"/>
      <c r="X64" s="712"/>
      <c r="Y64" s="876"/>
      <c r="Z64" s="850"/>
      <c r="AA64" s="702"/>
      <c r="AB64" s="116" t="s">
        <v>61</v>
      </c>
      <c r="AC64" s="307"/>
      <c r="AD64" s="21"/>
      <c r="AE64" s="712"/>
      <c r="AF64" s="1013"/>
      <c r="AG64" s="1013"/>
      <c r="AH64" s="672"/>
      <c r="AI64" s="876"/>
      <c r="AJ64" s="850"/>
      <c r="AK64" s="702"/>
      <c r="AL64" s="116" t="s">
        <v>61</v>
      </c>
      <c r="AM64" s="36"/>
      <c r="AN64" s="21"/>
      <c r="AO64" s="711"/>
      <c r="AP64" s="789"/>
      <c r="AQ64" s="951"/>
      <c r="AR64" s="702"/>
      <c r="AS64" s="194" t="s">
        <v>80</v>
      </c>
      <c r="AT64" s="164"/>
      <c r="AU64" s="21"/>
      <c r="AV64" s="711"/>
      <c r="AW64" s="699"/>
      <c r="AX64" s="40"/>
      <c r="AY64" s="702"/>
      <c r="AZ64" s="42"/>
      <c r="BA64" s="36"/>
      <c r="BB64" s="21"/>
      <c r="BC64" s="699"/>
      <c r="BD64" s="702"/>
      <c r="BE64" s="42"/>
      <c r="BF64" s="307"/>
      <c r="BG64" s="21"/>
      <c r="BH64" s="714"/>
      <c r="BI64" s="845"/>
      <c r="BJ64" s="40"/>
      <c r="BK64" s="44"/>
      <c r="BL64" s="36"/>
      <c r="BM64" s="21"/>
      <c r="BN64" s="714"/>
      <c r="BO64" s="845"/>
      <c r="BP64" s="309"/>
      <c r="BQ64" s="845"/>
      <c r="BR64" s="309"/>
      <c r="BS64" s="310"/>
      <c r="BT64" s="307"/>
      <c r="BU64" s="21"/>
      <c r="BV64" s="708"/>
      <c r="BW64" s="996"/>
      <c r="BX64" s="901"/>
      <c r="BY64" s="44"/>
      <c r="BZ64" s="650"/>
      <c r="CA64" s="21"/>
      <c r="CB64" s="271"/>
      <c r="CC64" s="781"/>
      <c r="CD64" s="309"/>
      <c r="CE64" s="44"/>
      <c r="CF64" s="650"/>
      <c r="CG64" s="21"/>
      <c r="CH64" s="869"/>
      <c r="CI64" s="917"/>
      <c r="CJ64" s="310"/>
      <c r="CK64" s="310"/>
      <c r="CL64" s="307"/>
      <c r="CM64" s="21"/>
      <c r="CN64" s="708"/>
      <c r="CO64" s="490"/>
      <c r="CP64" s="40"/>
      <c r="CQ64" s="44"/>
      <c r="CR64" s="36"/>
      <c r="CS64" s="21"/>
      <c r="CT64" s="271"/>
      <c r="CU64" s="1035"/>
      <c r="CV64" s="737"/>
      <c r="CW64" s="42"/>
      <c r="CX64" s="650"/>
      <c r="CY64" s="566"/>
      <c r="CZ64" s="1031"/>
      <c r="DA64" s="21"/>
      <c r="DB64" s="711"/>
      <c r="DC64" s="720"/>
      <c r="DD64" s="40"/>
      <c r="DE64" s="44"/>
      <c r="DF64" s="44"/>
      <c r="DG64" s="36"/>
      <c r="DH64" s="20"/>
      <c r="DI64" s="271"/>
      <c r="DJ64" s="813"/>
      <c r="DK64" s="644"/>
      <c r="DL64" s="44"/>
      <c r="DM64" s="36"/>
      <c r="DN64" s="20"/>
      <c r="DO64" s="708"/>
      <c r="DP64" s="688"/>
      <c r="DQ64" s="737"/>
      <c r="DR64" s="147"/>
      <c r="DS64" s="650"/>
      <c r="DT64" s="20"/>
      <c r="DU64" s="711"/>
      <c r="DV64" s="720"/>
      <c r="DW64" s="40"/>
      <c r="DX64" s="44"/>
      <c r="DY64" s="44"/>
      <c r="DZ64" s="36"/>
      <c r="EA64" s="20"/>
      <c r="EB64" s="708"/>
      <c r="EC64" s="781"/>
      <c r="ED64" s="40"/>
      <c r="EE64" s="44"/>
      <c r="EF64" s="36"/>
      <c r="EG64" s="20"/>
      <c r="EH64" s="708"/>
      <c r="EI64" s="862"/>
      <c r="EJ64" s="737"/>
      <c r="EK64" s="44"/>
      <c r="EL64" s="650"/>
      <c r="EM64" s="20"/>
      <c r="EN64" s="714"/>
    </row>
    <row r="65" spans="1:144" ht="19.899999999999999" customHeight="1" thickTop="1" thickBot="1" x14ac:dyDescent="0.25">
      <c r="B65" s="972"/>
      <c r="C65" s="34">
        <f>C64+1</f>
        <v>45968</v>
      </c>
      <c r="D65" s="1"/>
      <c r="E65" s="23"/>
      <c r="F65" s="526"/>
      <c r="G65" s="804"/>
      <c r="H65" s="1"/>
      <c r="I65" s="527"/>
      <c r="J65" s="814"/>
      <c r="K65" s="68"/>
      <c r="L65" s="696"/>
      <c r="M65" s="231" t="s">
        <v>48</v>
      </c>
      <c r="N65" s="48"/>
      <c r="O65" s="23"/>
      <c r="P65" s="624"/>
      <c r="Q65" s="814"/>
      <c r="R65" s="231" t="s">
        <v>48</v>
      </c>
      <c r="S65" s="814"/>
      <c r="T65" s="312"/>
      <c r="U65" s="68"/>
      <c r="V65" s="696"/>
      <c r="W65" s="23"/>
      <c r="X65" s="268"/>
      <c r="Y65" s="877"/>
      <c r="Z65" s="851"/>
      <c r="AA65" s="318"/>
      <c r="AB65" s="312"/>
      <c r="AC65" s="48"/>
      <c r="AD65" s="21"/>
      <c r="AE65" s="268"/>
      <c r="AF65" s="1014"/>
      <c r="AG65" s="1014"/>
      <c r="AH65" s="735"/>
      <c r="AI65" s="877"/>
      <c r="AJ65" s="851"/>
      <c r="AK65" s="318"/>
      <c r="AL65" s="47"/>
      <c r="AM65" s="48"/>
      <c r="AN65" s="21"/>
      <c r="AO65" s="712"/>
      <c r="AP65" s="847"/>
      <c r="AQ65" s="952"/>
      <c r="AR65" s="703"/>
      <c r="AS65" s="294"/>
      <c r="AT65" s="26"/>
      <c r="AU65" s="21"/>
      <c r="AV65" s="712"/>
      <c r="AW65" s="700"/>
      <c r="AX65" s="45"/>
      <c r="AY65" s="703"/>
      <c r="AZ65" s="59"/>
      <c r="BA65" s="64"/>
      <c r="BB65" s="21"/>
      <c r="BC65" s="700"/>
      <c r="BD65" s="703"/>
      <c r="BE65" s="313"/>
      <c r="BF65" s="315"/>
      <c r="BG65" s="21"/>
      <c r="BH65" s="714"/>
      <c r="BI65" s="845"/>
      <c r="BJ65" s="45"/>
      <c r="BK65" s="59"/>
      <c r="BL65" s="64"/>
      <c r="BM65" s="21"/>
      <c r="BN65" s="714"/>
      <c r="BO65" s="845"/>
      <c r="BP65" s="311"/>
      <c r="BQ65" s="845"/>
      <c r="BR65" s="311"/>
      <c r="BS65" s="313"/>
      <c r="BT65" s="315"/>
      <c r="BU65" s="21"/>
      <c r="BV65" s="709"/>
      <c r="BW65" s="997"/>
      <c r="BX65" s="902"/>
      <c r="BY65" s="59"/>
      <c r="BZ65" s="651"/>
      <c r="CA65" s="21"/>
      <c r="CB65" s="271"/>
      <c r="CC65" s="781"/>
      <c r="CD65" s="311"/>
      <c r="CE65" s="59"/>
      <c r="CF65" s="651"/>
      <c r="CG65" s="21"/>
      <c r="CH65" s="870"/>
      <c r="CI65" s="917"/>
      <c r="CJ65" s="313"/>
      <c r="CK65" s="313"/>
      <c r="CL65" s="315"/>
      <c r="CM65" s="21"/>
      <c r="CN65" s="709"/>
      <c r="CO65" s="490"/>
      <c r="CP65" s="45"/>
      <c r="CQ65" s="59"/>
      <c r="CR65" s="64"/>
      <c r="CS65" s="21"/>
      <c r="CT65" s="271"/>
      <c r="CU65" s="1112"/>
      <c r="CV65" s="738"/>
      <c r="CW65" s="312"/>
      <c r="CX65" s="651"/>
      <c r="CY65" s="566"/>
      <c r="CZ65" s="1031"/>
      <c r="DA65" s="21"/>
      <c r="DB65" s="712"/>
      <c r="DC65" s="720"/>
      <c r="DD65" s="45"/>
      <c r="DE65" s="59"/>
      <c r="DF65" s="59"/>
      <c r="DG65" s="64"/>
      <c r="DH65" s="20"/>
      <c r="DI65" s="271"/>
      <c r="DJ65" s="814"/>
      <c r="DK65" s="645"/>
      <c r="DL65" s="59"/>
      <c r="DM65" s="64"/>
      <c r="DN65" s="20"/>
      <c r="DO65" s="709"/>
      <c r="DP65" s="863"/>
      <c r="DQ65" s="738"/>
      <c r="DR65" s="153"/>
      <c r="DS65" s="651"/>
      <c r="DT65" s="20"/>
      <c r="DU65" s="712"/>
      <c r="DV65" s="720"/>
      <c r="DW65" s="45"/>
      <c r="DX65" s="59"/>
      <c r="DY65" s="59"/>
      <c r="DZ65" s="64"/>
      <c r="EA65" s="20"/>
      <c r="EB65" s="709"/>
      <c r="EC65" s="781"/>
      <c r="ED65" s="45"/>
      <c r="EE65" s="59"/>
      <c r="EF65" s="64"/>
      <c r="EG65" s="20"/>
      <c r="EH65" s="709"/>
      <c r="EI65" s="862"/>
      <c r="EJ65" s="738"/>
      <c r="EK65" s="59"/>
      <c r="EL65" s="651"/>
      <c r="EM65" s="20"/>
      <c r="EN65" s="714"/>
    </row>
    <row r="66" spans="1:144" ht="19.899999999999999" customHeight="1" thickTop="1" thickBot="1" x14ac:dyDescent="0.25">
      <c r="A66" s="6" t="s">
        <v>71</v>
      </c>
      <c r="B66" s="972">
        <f>B61+1</f>
        <v>46</v>
      </c>
      <c r="C66" s="220">
        <f>C61+7</f>
        <v>45971</v>
      </c>
      <c r="D66" s="4"/>
      <c r="E66" s="24"/>
      <c r="F66" s="525"/>
      <c r="G66" s="804"/>
      <c r="H66" s="4"/>
      <c r="I66" s="707" t="s">
        <v>92</v>
      </c>
      <c r="J66" s="233"/>
      <c r="K66" s="229"/>
      <c r="L66" s="230"/>
      <c r="M66" s="232"/>
      <c r="N66" s="228"/>
      <c r="O66" s="24"/>
      <c r="P66" s="707" t="s">
        <v>92</v>
      </c>
      <c r="Q66" s="233"/>
      <c r="R66" s="232"/>
      <c r="S66" s="233"/>
      <c r="T66" s="232"/>
      <c r="U66" s="229"/>
      <c r="V66" s="230"/>
      <c r="W66" s="24"/>
      <c r="X66" s="270"/>
      <c r="Y66" s="226"/>
      <c r="Z66" s="229"/>
      <c r="AA66" s="234"/>
      <c r="AB66" s="278"/>
      <c r="AC66" s="235"/>
      <c r="AD66" s="21"/>
      <c r="AE66" s="270"/>
      <c r="AF66" s="226"/>
      <c r="AG66" s="226"/>
      <c r="AH66" s="226"/>
      <c r="AI66" s="226"/>
      <c r="AJ66" s="229"/>
      <c r="AK66" s="234"/>
      <c r="AL66" s="278"/>
      <c r="AM66" s="235"/>
      <c r="AN66" s="21"/>
      <c r="AO66" s="707" t="s">
        <v>44</v>
      </c>
      <c r="AP66" s="362"/>
      <c r="AQ66" s="363"/>
      <c r="AR66" s="234"/>
      <c r="AS66" s="234"/>
      <c r="AT66" s="235"/>
      <c r="AU66" s="21"/>
      <c r="AV66" s="707" t="s">
        <v>44</v>
      </c>
      <c r="AW66" s="356"/>
      <c r="AX66" s="349"/>
      <c r="AY66" s="234"/>
      <c r="AZ66" s="278"/>
      <c r="BA66" s="235"/>
      <c r="BB66" s="21"/>
      <c r="BC66" s="356"/>
      <c r="BD66" s="234"/>
      <c r="BE66" s="278"/>
      <c r="BF66" s="235"/>
      <c r="BG66" s="21"/>
      <c r="BH66" s="714"/>
      <c r="BI66" s="845"/>
      <c r="BJ66" s="314"/>
      <c r="BK66" s="308"/>
      <c r="BL66" s="306"/>
      <c r="BM66" s="21"/>
      <c r="BN66" s="714"/>
      <c r="BO66" s="845"/>
      <c r="BP66" s="314"/>
      <c r="BQ66" s="845"/>
      <c r="BR66" s="314"/>
      <c r="BS66" s="308"/>
      <c r="BT66" s="306"/>
      <c r="BU66" s="21"/>
      <c r="BV66" s="271"/>
      <c r="BW66" s="233"/>
      <c r="BX66" s="360"/>
      <c r="BY66" s="278"/>
      <c r="BZ66" s="228"/>
      <c r="CA66" s="21"/>
      <c r="CB66" s="271"/>
      <c r="CC66" s="781"/>
      <c r="CD66" s="314"/>
      <c r="CE66" s="308"/>
      <c r="CF66" s="306"/>
      <c r="CG66" s="21"/>
      <c r="CH66" s="271"/>
      <c r="CI66" s="917"/>
      <c r="CJ66" s="441"/>
      <c r="CK66" s="396"/>
      <c r="CL66" s="401"/>
      <c r="CM66" s="21"/>
      <c r="CN66" s="271"/>
      <c r="CO66" s="490"/>
      <c r="CP66" s="314"/>
      <c r="CQ66" s="308"/>
      <c r="CR66" s="306"/>
      <c r="CS66" s="21"/>
      <c r="CT66" s="271"/>
      <c r="CU66" s="1110"/>
      <c r="CV66" s="492"/>
      <c r="CW66" s="493"/>
      <c r="CX66" s="494"/>
      <c r="CY66" s="570"/>
      <c r="CZ66" s="1032" t="s">
        <v>78</v>
      </c>
      <c r="DA66" s="21"/>
      <c r="DB66" s="271"/>
      <c r="DC66" s="720"/>
      <c r="DD66" s="314"/>
      <c r="DE66" s="308"/>
      <c r="DF66" s="308"/>
      <c r="DG66" s="306"/>
      <c r="DH66" s="20"/>
      <c r="DI66" s="271"/>
      <c r="DJ66" s="507"/>
      <c r="DK66" s="508"/>
      <c r="DL66" s="95"/>
      <c r="DM66" s="102"/>
      <c r="DN66" s="20"/>
      <c r="DO66" s="271"/>
      <c r="DP66" s="512"/>
      <c r="DQ66" s="94"/>
      <c r="DR66" s="578"/>
      <c r="DS66" s="513"/>
      <c r="DT66" s="20"/>
      <c r="DU66" s="271"/>
      <c r="DV66" s="720"/>
      <c r="DW66" s="253"/>
      <c r="DX66" s="254"/>
      <c r="DY66" s="254"/>
      <c r="DZ66" s="255"/>
      <c r="EA66" s="20"/>
      <c r="EB66" s="271"/>
      <c r="EC66" s="781"/>
      <c r="ED66" s="314"/>
      <c r="EE66" s="308"/>
      <c r="EF66" s="306"/>
      <c r="EG66" s="20"/>
      <c r="EH66" s="271"/>
      <c r="EI66" s="517"/>
      <c r="EJ66" s="94"/>
      <c r="EK66" s="95"/>
      <c r="EL66" s="518"/>
      <c r="EM66" s="20"/>
      <c r="EN66" s="714"/>
    </row>
    <row r="67" spans="1:144" ht="19.899999999999999" customHeight="1" thickBot="1" x14ac:dyDescent="0.25">
      <c r="B67" s="972"/>
      <c r="C67" s="331">
        <f>C66+1</f>
        <v>45972</v>
      </c>
      <c r="D67" s="1"/>
      <c r="E67" s="23"/>
      <c r="F67" s="526"/>
      <c r="G67" s="804"/>
      <c r="H67" s="1"/>
      <c r="I67" s="708"/>
      <c r="J67" s="334"/>
      <c r="K67" s="335"/>
      <c r="L67" s="336"/>
      <c r="M67" s="337"/>
      <c r="N67" s="338"/>
      <c r="O67" s="23"/>
      <c r="P67" s="708"/>
      <c r="Q67" s="334"/>
      <c r="R67" s="337"/>
      <c r="S67" s="334"/>
      <c r="T67" s="337"/>
      <c r="U67" s="335"/>
      <c r="V67" s="336"/>
      <c r="W67" s="23"/>
      <c r="X67" s="270"/>
      <c r="Y67" s="341"/>
      <c r="Z67" s="342"/>
      <c r="AA67" s="343"/>
      <c r="AB67" s="344"/>
      <c r="AC67" s="345"/>
      <c r="AD67" s="21"/>
      <c r="AE67" s="270"/>
      <c r="AF67" s="347"/>
      <c r="AG67" s="348"/>
      <c r="AH67" s="341"/>
      <c r="AI67" s="341"/>
      <c r="AJ67" s="342"/>
      <c r="AK67" s="343"/>
      <c r="AL67" s="344"/>
      <c r="AM67" s="345"/>
      <c r="AN67" s="21"/>
      <c r="AO67" s="708"/>
      <c r="AP67" s="364"/>
      <c r="AQ67" s="365"/>
      <c r="AR67" s="343"/>
      <c r="AS67" s="337"/>
      <c r="AT67" s="338"/>
      <c r="AU67" s="21"/>
      <c r="AV67" s="708"/>
      <c r="AW67" s="354"/>
      <c r="AX67" s="355"/>
      <c r="AY67" s="343"/>
      <c r="AZ67" s="337"/>
      <c r="BA67" s="338"/>
      <c r="BB67" s="21"/>
      <c r="BC67" s="354"/>
      <c r="BD67" s="343"/>
      <c r="BE67" s="337"/>
      <c r="BF67" s="338"/>
      <c r="BG67" s="21"/>
      <c r="BH67" s="714"/>
      <c r="BI67" s="845"/>
      <c r="BJ67" s="357"/>
      <c r="BK67" s="358"/>
      <c r="BL67" s="352"/>
      <c r="BM67" s="21"/>
      <c r="BN67" s="714"/>
      <c r="BO67" s="845"/>
      <c r="BP67" s="357"/>
      <c r="BQ67" s="845"/>
      <c r="BR67" s="357"/>
      <c r="BS67" s="358"/>
      <c r="BT67" s="352"/>
      <c r="BU67" s="21"/>
      <c r="BV67" s="271"/>
      <c r="BW67" s="334"/>
      <c r="BX67" s="355"/>
      <c r="BY67" s="344"/>
      <c r="BZ67" s="338"/>
      <c r="CA67" s="21"/>
      <c r="CB67" s="271"/>
      <c r="CC67" s="781"/>
      <c r="CD67" s="238"/>
      <c r="CE67" s="239"/>
      <c r="CF67" s="240"/>
      <c r="CG67" s="21"/>
      <c r="CH67" s="271"/>
      <c r="CI67" s="917"/>
      <c r="CJ67" s="387"/>
      <c r="CK67" s="487"/>
      <c r="CL67" s="488"/>
      <c r="CM67" s="21"/>
      <c r="CN67" s="271"/>
      <c r="CO67" s="490"/>
      <c r="CP67" s="238"/>
      <c r="CQ67" s="239"/>
      <c r="CR67" s="240"/>
      <c r="CS67" s="21"/>
      <c r="CT67" s="271"/>
      <c r="CU67" s="385"/>
      <c r="CV67" s="387"/>
      <c r="CW67" s="495"/>
      <c r="CX67" s="496"/>
      <c r="CY67" s="570"/>
      <c r="CZ67" s="996"/>
      <c r="DA67" s="21"/>
      <c r="DB67" s="271"/>
      <c r="DC67" s="720"/>
      <c r="DD67" s="238"/>
      <c r="DE67" s="239"/>
      <c r="DF67" s="239"/>
      <c r="DG67" s="240"/>
      <c r="DH67" s="20"/>
      <c r="DI67" s="271"/>
      <c r="DJ67" s="380"/>
      <c r="DK67" s="455"/>
      <c r="DL67" s="487"/>
      <c r="DM67" s="488"/>
      <c r="DN67" s="20"/>
      <c r="DO67" s="271"/>
      <c r="DP67" s="356"/>
      <c r="DQ67" s="455"/>
      <c r="DR67" s="579"/>
      <c r="DS67" s="488"/>
      <c r="DT67" s="20"/>
      <c r="DU67" s="271"/>
      <c r="DV67" s="720"/>
      <c r="DW67" s="238"/>
      <c r="DX67" s="239"/>
      <c r="DY67" s="239"/>
      <c r="DZ67" s="240"/>
      <c r="EA67" s="20"/>
      <c r="EB67" s="271"/>
      <c r="EC67" s="781"/>
      <c r="ED67" s="238"/>
      <c r="EE67" s="239"/>
      <c r="EF67" s="240"/>
      <c r="EG67" s="20"/>
      <c r="EH67" s="271"/>
      <c r="EI67" s="356"/>
      <c r="EJ67" s="455"/>
      <c r="EK67" s="487"/>
      <c r="EL67" s="519"/>
      <c r="EM67" s="20"/>
      <c r="EN67" s="714"/>
    </row>
    <row r="68" spans="1:144" ht="19.899999999999999" customHeight="1" thickTop="1" thickBot="1" x14ac:dyDescent="0.25">
      <c r="B68" s="972"/>
      <c r="C68" s="33">
        <f>C67+1</f>
        <v>45973</v>
      </c>
      <c r="D68" s="1"/>
      <c r="E68" s="23"/>
      <c r="F68" s="526"/>
      <c r="G68" s="804"/>
      <c r="H68" s="1"/>
      <c r="I68" s="708"/>
      <c r="J68" s="734" t="s">
        <v>346</v>
      </c>
      <c r="K68" s="992">
        <v>1</v>
      </c>
      <c r="L68" s="702" t="s">
        <v>93</v>
      </c>
      <c r="M68" s="83"/>
      <c r="N68" s="84"/>
      <c r="O68" s="23"/>
      <c r="P68" s="708"/>
      <c r="Q68" s="734" t="s">
        <v>255</v>
      </c>
      <c r="R68" s="83"/>
      <c r="S68" s="734" t="s">
        <v>346</v>
      </c>
      <c r="T68" s="83"/>
      <c r="U68" s="992">
        <v>1</v>
      </c>
      <c r="V68" s="702" t="s">
        <v>93</v>
      </c>
      <c r="W68" s="23"/>
      <c r="X68" s="270"/>
      <c r="Y68" s="672" t="s">
        <v>255</v>
      </c>
      <c r="Z68" s="967">
        <v>1</v>
      </c>
      <c r="AA68" s="704" t="s">
        <v>86</v>
      </c>
      <c r="AB68" s="83"/>
      <c r="AC68" s="609"/>
      <c r="AD68" s="21"/>
      <c r="AE68" s="270"/>
      <c r="AF68" s="825" t="s">
        <v>83</v>
      </c>
      <c r="AG68" s="826"/>
      <c r="AH68" s="672" t="s">
        <v>84</v>
      </c>
      <c r="AI68" s="672" t="s">
        <v>85</v>
      </c>
      <c r="AJ68" s="967">
        <v>1</v>
      </c>
      <c r="AK68" s="704" t="s">
        <v>86</v>
      </c>
      <c r="AL68" s="83"/>
      <c r="AM68" s="609"/>
      <c r="AN68" s="21"/>
      <c r="AO68" s="708"/>
      <c r="AP68" s="1021" t="s">
        <v>88</v>
      </c>
      <c r="AQ68" s="850">
        <v>1</v>
      </c>
      <c r="AR68" s="704" t="s">
        <v>87</v>
      </c>
      <c r="AS68" s="83"/>
      <c r="AT68" s="84"/>
      <c r="AU68" s="21"/>
      <c r="AV68" s="708"/>
      <c r="AW68" s="699" t="s">
        <v>256</v>
      </c>
      <c r="AX68" s="353"/>
      <c r="AY68" s="704" t="s">
        <v>87</v>
      </c>
      <c r="AZ68" s="83"/>
      <c r="BA68" s="84"/>
      <c r="BB68" s="21"/>
      <c r="BC68" s="699" t="s">
        <v>256</v>
      </c>
      <c r="BD68" s="704" t="s">
        <v>87</v>
      </c>
      <c r="BE68" s="83"/>
      <c r="BF68" s="84"/>
      <c r="BG68" s="21"/>
      <c r="BH68" s="714"/>
      <c r="BI68" s="845"/>
      <c r="BJ68" s="40"/>
      <c r="BK68" s="44"/>
      <c r="BL68" s="36"/>
      <c r="BM68" s="21"/>
      <c r="BN68" s="714"/>
      <c r="BO68" s="845"/>
      <c r="BP68" s="309"/>
      <c r="BQ68" s="845"/>
      <c r="BR68" s="309"/>
      <c r="BS68" s="310"/>
      <c r="BT68" s="307"/>
      <c r="BU68" s="21"/>
      <c r="BV68" s="271"/>
      <c r="BW68" s="813" t="s">
        <v>39</v>
      </c>
      <c r="BX68" s="81"/>
      <c r="BY68" s="83"/>
      <c r="BZ68" s="84"/>
      <c r="CA68" s="21"/>
      <c r="CB68" s="271"/>
      <c r="CC68" s="781"/>
      <c r="CD68" s="309"/>
      <c r="CE68" s="44"/>
      <c r="CF68" s="36"/>
      <c r="CG68" s="21"/>
      <c r="CH68" s="271"/>
      <c r="CI68" s="917"/>
      <c r="CJ68" s="83"/>
      <c r="CK68" s="83"/>
      <c r="CL68" s="84"/>
      <c r="CM68" s="21"/>
      <c r="CN68" s="271"/>
      <c r="CO68" s="490"/>
      <c r="CP68" s="40"/>
      <c r="CQ68" s="44"/>
      <c r="CR68" s="36"/>
      <c r="CS68" s="21"/>
      <c r="CT68" s="271"/>
      <c r="CU68" s="1094" t="s">
        <v>386</v>
      </c>
      <c r="CV68" s="289"/>
      <c r="CW68" s="83"/>
      <c r="CX68" s="296"/>
      <c r="CY68" s="570"/>
      <c r="CZ68" s="996"/>
      <c r="DA68" s="21"/>
      <c r="DB68" s="271"/>
      <c r="DC68" s="720"/>
      <c r="DD68" s="40"/>
      <c r="DE68" s="44"/>
      <c r="DF68" s="44"/>
      <c r="DG68" s="36"/>
      <c r="DH68" s="20"/>
      <c r="DI68" s="271"/>
      <c r="DJ68" s="873" t="s">
        <v>366</v>
      </c>
      <c r="DK68" s="641" t="s">
        <v>67</v>
      </c>
      <c r="DL68" s="83"/>
      <c r="DM68" s="84"/>
      <c r="DN68" s="20"/>
      <c r="DO68" s="271"/>
      <c r="DP68" s="688" t="s">
        <v>332</v>
      </c>
      <c r="DQ68" s="289"/>
      <c r="DR68" s="521"/>
      <c r="DS68" s="84"/>
      <c r="DT68" s="20"/>
      <c r="DU68" s="271"/>
      <c r="DV68" s="720"/>
      <c r="DW68" s="40"/>
      <c r="DX68" s="44"/>
      <c r="DY68" s="44"/>
      <c r="DZ68" s="36"/>
      <c r="EA68" s="20"/>
      <c r="EB68" s="271"/>
      <c r="EC68" s="781"/>
      <c r="ED68" s="40"/>
      <c r="EE68" s="44"/>
      <c r="EF68" s="36"/>
      <c r="EG68" s="20"/>
      <c r="EH68" s="271"/>
      <c r="EI68" s="1094" t="s">
        <v>89</v>
      </c>
      <c r="EJ68" s="641" t="s">
        <v>275</v>
      </c>
      <c r="EK68" s="83"/>
      <c r="EL68" s="307"/>
      <c r="EM68" s="20"/>
      <c r="EN68" s="714"/>
    </row>
    <row r="69" spans="1:144" ht="19.5" customHeight="1" thickBot="1" x14ac:dyDescent="0.25">
      <c r="B69" s="972"/>
      <c r="C69" s="33">
        <f>C68+1</f>
        <v>45974</v>
      </c>
      <c r="D69" s="1"/>
      <c r="E69" s="23"/>
      <c r="F69" s="526"/>
      <c r="G69" s="804"/>
      <c r="H69" s="1"/>
      <c r="I69" s="708"/>
      <c r="J69" s="672"/>
      <c r="K69" s="993"/>
      <c r="L69" s="702"/>
      <c r="M69" s="116" t="s">
        <v>61</v>
      </c>
      <c r="N69" s="36"/>
      <c r="O69" s="23"/>
      <c r="P69" s="708"/>
      <c r="Q69" s="672"/>
      <c r="R69" s="116" t="s">
        <v>61</v>
      </c>
      <c r="S69" s="672"/>
      <c r="T69" s="50"/>
      <c r="U69" s="993"/>
      <c r="V69" s="702"/>
      <c r="W69" s="23"/>
      <c r="X69" s="270"/>
      <c r="Y69" s="672"/>
      <c r="Z69" s="967"/>
      <c r="AA69" s="704"/>
      <c r="AB69" s="310"/>
      <c r="AC69" s="609"/>
      <c r="AD69" s="21"/>
      <c r="AE69" s="270"/>
      <c r="AF69" s="825"/>
      <c r="AG69" s="826"/>
      <c r="AH69" s="672"/>
      <c r="AI69" s="672"/>
      <c r="AJ69" s="967"/>
      <c r="AK69" s="704"/>
      <c r="AL69" s="44"/>
      <c r="AM69" s="609"/>
      <c r="AN69" s="21"/>
      <c r="AO69" s="708"/>
      <c r="AP69" s="794"/>
      <c r="AQ69" s="850"/>
      <c r="AR69" s="704"/>
      <c r="AS69" s="116" t="s">
        <v>61</v>
      </c>
      <c r="AT69" s="307"/>
      <c r="AU69" s="21"/>
      <c r="AV69" s="708"/>
      <c r="AW69" s="699"/>
      <c r="AX69" s="63"/>
      <c r="AY69" s="704"/>
      <c r="AZ69" s="613" t="s">
        <v>61</v>
      </c>
      <c r="BA69" s="307"/>
      <c r="BB69" s="21"/>
      <c r="BC69" s="699"/>
      <c r="BD69" s="704"/>
      <c r="BE69" s="613" t="s">
        <v>61</v>
      </c>
      <c r="BF69" s="307"/>
      <c r="BG69" s="21"/>
      <c r="BH69" s="714"/>
      <c r="BI69" s="845"/>
      <c r="BJ69" s="40"/>
      <c r="BK69" s="44"/>
      <c r="BL69" s="36"/>
      <c r="BM69" s="21"/>
      <c r="BN69" s="714"/>
      <c r="BO69" s="845"/>
      <c r="BP69" s="309"/>
      <c r="BQ69" s="845"/>
      <c r="BR69" s="309"/>
      <c r="BS69" s="310"/>
      <c r="BT69" s="307"/>
      <c r="BU69" s="21"/>
      <c r="BV69" s="274"/>
      <c r="BW69" s="813"/>
      <c r="BX69" s="40"/>
      <c r="BY69" s="44"/>
      <c r="BZ69" s="36"/>
      <c r="CA69" s="21"/>
      <c r="CB69" s="274"/>
      <c r="CC69" s="781"/>
      <c r="CD69" s="309"/>
      <c r="CE69" s="44"/>
      <c r="CF69" s="36"/>
      <c r="CG69" s="21"/>
      <c r="CH69" s="271"/>
      <c r="CI69" s="917"/>
      <c r="CJ69" s="310"/>
      <c r="CK69" s="44"/>
      <c r="CL69" s="36"/>
      <c r="CM69" s="21"/>
      <c r="CN69" s="271"/>
      <c r="CO69" s="490"/>
      <c r="CP69" s="40"/>
      <c r="CQ69" s="44"/>
      <c r="CR69" s="36"/>
      <c r="CS69" s="21"/>
      <c r="CT69" s="271"/>
      <c r="CU69" s="688"/>
      <c r="CV69" s="289"/>
      <c r="CW69" s="44"/>
      <c r="CX69" s="197"/>
      <c r="CY69" s="570"/>
      <c r="CZ69" s="996"/>
      <c r="DA69" s="21"/>
      <c r="DB69" s="271"/>
      <c r="DC69" s="720"/>
      <c r="DD69" s="40"/>
      <c r="DE69" s="44"/>
      <c r="DF69" s="44"/>
      <c r="DG69" s="36"/>
      <c r="DH69" s="20"/>
      <c r="DI69" s="271"/>
      <c r="DJ69" s="813"/>
      <c r="DK69" s="641"/>
      <c r="DL69" s="44"/>
      <c r="DM69" s="36"/>
      <c r="DN69" s="20"/>
      <c r="DO69" s="271"/>
      <c r="DP69" s="688"/>
      <c r="DQ69" s="289"/>
      <c r="DR69" s="147"/>
      <c r="DS69" s="36"/>
      <c r="DT69" s="20"/>
      <c r="DU69" s="271"/>
      <c r="DV69" s="720"/>
      <c r="DW69" s="40"/>
      <c r="DX69" s="44"/>
      <c r="DY69" s="44"/>
      <c r="DZ69" s="36"/>
      <c r="EA69" s="20"/>
      <c r="EB69" s="271"/>
      <c r="EC69" s="781"/>
      <c r="ED69" s="40"/>
      <c r="EE69" s="44"/>
      <c r="EF69" s="36"/>
      <c r="EG69" s="20"/>
      <c r="EH69" s="271"/>
      <c r="EI69" s="688"/>
      <c r="EJ69" s="641"/>
      <c r="EK69" s="44"/>
      <c r="EL69" s="307"/>
      <c r="EM69" s="20"/>
      <c r="EN69" s="714"/>
    </row>
    <row r="70" spans="1:144" ht="19.899999999999999" customHeight="1" thickBot="1" x14ac:dyDescent="0.25">
      <c r="B70" s="972"/>
      <c r="C70" s="34">
        <f>C69+1</f>
        <v>45975</v>
      </c>
      <c r="D70" s="1"/>
      <c r="E70" s="23"/>
      <c r="F70" s="526"/>
      <c r="G70" s="804"/>
      <c r="H70" s="1"/>
      <c r="I70" s="709"/>
      <c r="J70" s="672"/>
      <c r="K70" s="994"/>
      <c r="L70" s="703"/>
      <c r="M70" s="312"/>
      <c r="N70" s="48"/>
      <c r="O70" s="23"/>
      <c r="P70" s="709"/>
      <c r="Q70" s="672"/>
      <c r="R70" s="312"/>
      <c r="S70" s="672"/>
      <c r="T70" s="312"/>
      <c r="U70" s="994"/>
      <c r="V70" s="703"/>
      <c r="W70" s="23"/>
      <c r="X70" s="270"/>
      <c r="Y70" s="672"/>
      <c r="Z70" s="968"/>
      <c r="AA70" s="705"/>
      <c r="AB70" s="312"/>
      <c r="AC70" s="610"/>
      <c r="AD70" s="21"/>
      <c r="AE70" s="270"/>
      <c r="AF70" s="825"/>
      <c r="AG70" s="826"/>
      <c r="AH70" s="672"/>
      <c r="AI70" s="821"/>
      <c r="AJ70" s="968"/>
      <c r="AK70" s="705"/>
      <c r="AL70" s="47"/>
      <c r="AM70" s="610"/>
      <c r="AN70" s="21"/>
      <c r="AO70" s="709"/>
      <c r="AP70" s="794"/>
      <c r="AQ70" s="851"/>
      <c r="AR70" s="705"/>
      <c r="AS70" s="313"/>
      <c r="AT70" s="48"/>
      <c r="AU70" s="21"/>
      <c r="AV70" s="709"/>
      <c r="AW70" s="700"/>
      <c r="AX70" s="67"/>
      <c r="AY70" s="705"/>
      <c r="AZ70" s="152" t="s">
        <v>48</v>
      </c>
      <c r="BA70" s="48"/>
      <c r="BB70" s="21"/>
      <c r="BC70" s="700"/>
      <c r="BD70" s="705"/>
      <c r="BE70" s="152" t="s">
        <v>48</v>
      </c>
      <c r="BF70" s="48"/>
      <c r="BG70" s="21"/>
      <c r="BH70" s="715"/>
      <c r="BI70" s="845"/>
      <c r="BJ70" s="67"/>
      <c r="BK70" s="47"/>
      <c r="BL70" s="48"/>
      <c r="BM70" s="21"/>
      <c r="BN70" s="715"/>
      <c r="BO70" s="845"/>
      <c r="BP70" s="67"/>
      <c r="BQ70" s="845"/>
      <c r="BR70" s="67"/>
      <c r="BS70" s="312"/>
      <c r="BT70" s="48"/>
      <c r="BU70" s="21"/>
      <c r="BV70" s="275"/>
      <c r="BW70" s="839"/>
      <c r="BX70" s="67"/>
      <c r="BY70" s="47"/>
      <c r="BZ70" s="48"/>
      <c r="CA70" s="21"/>
      <c r="CB70" s="271"/>
      <c r="CC70" s="781"/>
      <c r="CD70" s="311"/>
      <c r="CE70" s="59"/>
      <c r="CF70" s="64"/>
      <c r="CG70" s="21"/>
      <c r="CH70" s="271"/>
      <c r="CI70" s="918"/>
      <c r="CJ70" s="313"/>
      <c r="CK70" s="59"/>
      <c r="CL70" s="64"/>
      <c r="CM70" s="21"/>
      <c r="CN70" s="271"/>
      <c r="CO70" s="490"/>
      <c r="CP70" s="45"/>
      <c r="CQ70" s="59"/>
      <c r="CR70" s="64"/>
      <c r="CS70" s="21"/>
      <c r="CT70" s="271"/>
      <c r="CU70" s="688"/>
      <c r="CV70" s="608"/>
      <c r="CW70" s="47"/>
      <c r="CX70" s="64"/>
      <c r="CY70" s="566"/>
      <c r="CZ70" s="1107"/>
      <c r="DA70" s="21"/>
      <c r="DB70" s="271"/>
      <c r="DC70" s="720"/>
      <c r="DD70" s="45"/>
      <c r="DE70" s="59"/>
      <c r="DF70" s="59"/>
      <c r="DG70" s="64"/>
      <c r="DH70" s="20"/>
      <c r="DI70" s="271"/>
      <c r="DJ70" s="813"/>
      <c r="DK70" s="656"/>
      <c r="DL70" s="59"/>
      <c r="DM70" s="64"/>
      <c r="DN70" s="20"/>
      <c r="DO70" s="271"/>
      <c r="DP70" s="688"/>
      <c r="DQ70" s="608"/>
      <c r="DR70" s="153"/>
      <c r="DS70" s="64"/>
      <c r="DT70" s="20"/>
      <c r="DU70" s="271"/>
      <c r="DV70" s="720"/>
      <c r="DW70" s="45"/>
      <c r="DX70" s="59"/>
      <c r="DY70" s="59"/>
      <c r="DZ70" s="64"/>
      <c r="EA70" s="20"/>
      <c r="EB70" s="271"/>
      <c r="EC70" s="781"/>
      <c r="ED70" s="45"/>
      <c r="EE70" s="59"/>
      <c r="EF70" s="64"/>
      <c r="EG70" s="20"/>
      <c r="EH70" s="271"/>
      <c r="EI70" s="688"/>
      <c r="EJ70" s="656"/>
      <c r="EK70" s="59"/>
      <c r="EL70" s="315"/>
      <c r="EM70" s="20"/>
      <c r="EN70" s="715"/>
    </row>
    <row r="71" spans="1:144" ht="19.899999999999999" customHeight="1" thickTop="1" thickBot="1" x14ac:dyDescent="0.25">
      <c r="B71" s="972">
        <f>B66+1</f>
        <v>47</v>
      </c>
      <c r="C71" s="89">
        <f>C66+7</f>
        <v>45978</v>
      </c>
      <c r="D71" s="4"/>
      <c r="E71" s="24"/>
      <c r="F71" s="525"/>
      <c r="G71" s="804"/>
      <c r="H71" s="4"/>
      <c r="I71" s="710" t="s">
        <v>95</v>
      </c>
      <c r="J71" s="672"/>
      <c r="K71" s="744">
        <v>1</v>
      </c>
      <c r="L71" s="694" t="s">
        <v>98</v>
      </c>
      <c r="M71" s="39"/>
      <c r="N71" s="306"/>
      <c r="O71" s="24"/>
      <c r="P71" s="710" t="s">
        <v>95</v>
      </c>
      <c r="Q71" s="672"/>
      <c r="R71" s="308"/>
      <c r="S71" s="672"/>
      <c r="T71" s="308"/>
      <c r="U71" s="744">
        <v>1</v>
      </c>
      <c r="V71" s="694" t="s">
        <v>98</v>
      </c>
      <c r="W71" s="24"/>
      <c r="X71" s="707" t="s">
        <v>99</v>
      </c>
      <c r="Y71" s="672"/>
      <c r="Z71" s="824">
        <v>1</v>
      </c>
      <c r="AA71" s="793" t="s">
        <v>94</v>
      </c>
      <c r="AB71" s="83"/>
      <c r="AC71" s="84"/>
      <c r="AD71" s="21"/>
      <c r="AE71" s="707" t="s">
        <v>99</v>
      </c>
      <c r="AF71" s="825"/>
      <c r="AG71" s="826"/>
      <c r="AH71" s="672"/>
      <c r="AI71" s="673" t="s">
        <v>85</v>
      </c>
      <c r="AJ71" s="824">
        <v>1</v>
      </c>
      <c r="AK71" s="793" t="s">
        <v>94</v>
      </c>
      <c r="AL71" s="83"/>
      <c r="AM71" s="84"/>
      <c r="AN71" s="21"/>
      <c r="AO71" s="710" t="s">
        <v>323</v>
      </c>
      <c r="AP71" s="794"/>
      <c r="AQ71" s="314"/>
      <c r="AR71" s="690" t="s">
        <v>96</v>
      </c>
      <c r="AS71" s="308"/>
      <c r="AT71" s="306"/>
      <c r="AU71" s="21"/>
      <c r="AV71" s="710" t="s">
        <v>323</v>
      </c>
      <c r="AW71" s="698" t="s">
        <v>257</v>
      </c>
      <c r="AX71" s="61"/>
      <c r="AY71" s="694" t="s">
        <v>96</v>
      </c>
      <c r="AZ71" s="308"/>
      <c r="BA71" s="35"/>
      <c r="BB71" s="21"/>
      <c r="BC71" s="698" t="s">
        <v>257</v>
      </c>
      <c r="BD71" s="694" t="s">
        <v>96</v>
      </c>
      <c r="BE71" s="308"/>
      <c r="BF71" s="306"/>
      <c r="BG71" s="21"/>
      <c r="BH71" s="268"/>
      <c r="BI71" s="845"/>
      <c r="BJ71" s="61"/>
      <c r="BK71" s="39"/>
      <c r="BL71" s="35"/>
      <c r="BM71" s="21"/>
      <c r="BN71" s="268"/>
      <c r="BO71" s="845"/>
      <c r="BP71" s="314"/>
      <c r="BQ71" s="845"/>
      <c r="BR71" s="314"/>
      <c r="BS71" s="308"/>
      <c r="BT71" s="306"/>
      <c r="BU71" s="21"/>
      <c r="BV71" s="707" t="s">
        <v>44</v>
      </c>
      <c r="BW71" s="658" t="s">
        <v>332</v>
      </c>
      <c r="BX71" s="900" t="s">
        <v>278</v>
      </c>
      <c r="BY71" s="39"/>
      <c r="BZ71" s="35"/>
      <c r="CA71" s="21"/>
      <c r="CB71" s="271"/>
      <c r="CC71" s="781"/>
      <c r="CD71" s="314"/>
      <c r="CE71" s="39"/>
      <c r="CF71" s="35"/>
      <c r="CG71" s="21"/>
      <c r="CH71" s="271"/>
      <c r="CI71" s="829" t="s">
        <v>262</v>
      </c>
      <c r="CJ71" s="694" t="s">
        <v>57</v>
      </c>
      <c r="CK71" s="308"/>
      <c r="CL71" s="306"/>
      <c r="CM71" s="21"/>
      <c r="CN71" s="271"/>
      <c r="CO71" s="490"/>
      <c r="CP71" s="61"/>
      <c r="CQ71" s="39"/>
      <c r="CR71" s="35"/>
      <c r="CS71" s="21"/>
      <c r="CT71" s="271"/>
      <c r="CU71" s="688"/>
      <c r="CV71" s="736" t="s">
        <v>275</v>
      </c>
      <c r="CW71" s="39"/>
      <c r="CX71" s="35"/>
      <c r="CY71" s="566"/>
      <c r="CZ71" s="734" t="s">
        <v>332</v>
      </c>
      <c r="DA71" s="21"/>
      <c r="DB71" s="271"/>
      <c r="DC71" s="720"/>
      <c r="DD71" s="61"/>
      <c r="DE71" s="39"/>
      <c r="DF71" s="39"/>
      <c r="DG71" s="35"/>
      <c r="DH71" s="20"/>
      <c r="DI71" s="271"/>
      <c r="DJ71" s="813"/>
      <c r="DK71" s="643" t="s">
        <v>97</v>
      </c>
      <c r="DL71" s="39"/>
      <c r="DM71" s="35"/>
      <c r="DN71" s="20"/>
      <c r="DO71" s="271"/>
      <c r="DP71" s="688"/>
      <c r="DQ71" s="736" t="s">
        <v>276</v>
      </c>
      <c r="DR71" s="77"/>
      <c r="DS71" s="35"/>
      <c r="DT71" s="20"/>
      <c r="DU71" s="271"/>
      <c r="DV71" s="720"/>
      <c r="DW71" s="61"/>
      <c r="DX71" s="39"/>
      <c r="DY71" s="39"/>
      <c r="DZ71" s="35"/>
      <c r="EA71" s="20"/>
      <c r="EB71" s="271"/>
      <c r="EC71" s="781"/>
      <c r="ED71" s="61"/>
      <c r="EE71" s="39"/>
      <c r="EF71" s="35"/>
      <c r="EG71" s="20"/>
      <c r="EH71" s="271"/>
      <c r="EI71" s="688"/>
      <c r="EJ71" s="736" t="s">
        <v>276</v>
      </c>
      <c r="EK71" s="39"/>
      <c r="EL71" s="35"/>
      <c r="EM71" s="20"/>
      <c r="EN71" s="268"/>
    </row>
    <row r="72" spans="1:144" ht="19.899999999999999" customHeight="1" thickTop="1" thickBot="1" x14ac:dyDescent="0.25">
      <c r="B72" s="972"/>
      <c r="C72" s="33">
        <f>C71+1</f>
        <v>45979</v>
      </c>
      <c r="D72" s="1"/>
      <c r="E72" s="23"/>
      <c r="F72" s="526"/>
      <c r="G72" s="804"/>
      <c r="H72" s="1"/>
      <c r="I72" s="711"/>
      <c r="J72" s="672"/>
      <c r="K72" s="745"/>
      <c r="L72" s="695"/>
      <c r="M72" s="42"/>
      <c r="N72" s="43"/>
      <c r="O72" s="23"/>
      <c r="P72" s="711"/>
      <c r="Q72" s="672"/>
      <c r="R72" s="42"/>
      <c r="S72" s="672"/>
      <c r="T72" s="42"/>
      <c r="U72" s="745"/>
      <c r="V72" s="695"/>
      <c r="W72" s="23"/>
      <c r="X72" s="708"/>
      <c r="Y72" s="672"/>
      <c r="Z72" s="745"/>
      <c r="AA72" s="695"/>
      <c r="AB72" s="42"/>
      <c r="AC72" s="43"/>
      <c r="AD72" s="21"/>
      <c r="AE72" s="708"/>
      <c r="AF72" s="825"/>
      <c r="AG72" s="826"/>
      <c r="AH72" s="672"/>
      <c r="AI72" s="658"/>
      <c r="AJ72" s="745"/>
      <c r="AK72" s="695"/>
      <c r="AL72" s="42"/>
      <c r="AM72" s="43"/>
      <c r="AN72" s="21"/>
      <c r="AO72" s="711"/>
      <c r="AP72" s="794"/>
      <c r="AQ72" s="73"/>
      <c r="AR72" s="691"/>
      <c r="AS72" s="310"/>
      <c r="AT72" s="307"/>
      <c r="AU72" s="21"/>
      <c r="AV72" s="711"/>
      <c r="AW72" s="699"/>
      <c r="AX72" s="73"/>
      <c r="AY72" s="695"/>
      <c r="AZ72" s="42"/>
      <c r="BA72" s="43"/>
      <c r="BB72" s="21"/>
      <c r="BC72" s="699"/>
      <c r="BD72" s="695"/>
      <c r="BE72" s="42"/>
      <c r="BF72" s="43"/>
      <c r="BG72" s="21"/>
      <c r="BH72" s="268"/>
      <c r="BI72" s="845"/>
      <c r="BJ72" s="73"/>
      <c r="BK72" s="42"/>
      <c r="BL72" s="43"/>
      <c r="BM72" s="21"/>
      <c r="BN72" s="268"/>
      <c r="BO72" s="845"/>
      <c r="BP72" s="73"/>
      <c r="BQ72" s="845"/>
      <c r="BR72" s="73"/>
      <c r="BS72" s="42"/>
      <c r="BT72" s="43"/>
      <c r="BU72" s="21"/>
      <c r="BV72" s="708"/>
      <c r="BW72" s="658"/>
      <c r="BX72" s="901"/>
      <c r="BY72" s="42"/>
      <c r="BZ72" s="43"/>
      <c r="CA72" s="21"/>
      <c r="CB72" s="271"/>
      <c r="CC72" s="781"/>
      <c r="CD72" s="309"/>
      <c r="CE72" s="44"/>
      <c r="CF72" s="36"/>
      <c r="CG72" s="21"/>
      <c r="CH72" s="271"/>
      <c r="CI72" s="660"/>
      <c r="CJ72" s="695"/>
      <c r="CK72" s="44"/>
      <c r="CL72" s="307"/>
      <c r="CM72" s="21"/>
      <c r="CN72" s="271"/>
      <c r="CO72" s="490"/>
      <c r="CP72" s="40"/>
      <c r="CQ72" s="44"/>
      <c r="CR72" s="36"/>
      <c r="CS72" s="21"/>
      <c r="CT72" s="271"/>
      <c r="CU72" s="688"/>
      <c r="CV72" s="737"/>
      <c r="CW72" s="42"/>
      <c r="CX72" s="36"/>
      <c r="CY72" s="566"/>
      <c r="CZ72" s="672"/>
      <c r="DA72" s="21"/>
      <c r="DB72" s="271"/>
      <c r="DC72" s="720"/>
      <c r="DD72" s="40"/>
      <c r="DE72" s="44"/>
      <c r="DF72" s="44"/>
      <c r="DG72" s="36"/>
      <c r="DH72" s="20"/>
      <c r="DI72" s="271"/>
      <c r="DJ72" s="813"/>
      <c r="DK72" s="644"/>
      <c r="DL72" s="44"/>
      <c r="DM72" s="36"/>
      <c r="DN72" s="20"/>
      <c r="DO72" s="271"/>
      <c r="DP72" s="688"/>
      <c r="DQ72" s="737"/>
      <c r="DR72" s="147"/>
      <c r="DS72" s="36"/>
      <c r="DT72" s="20"/>
      <c r="DU72" s="271"/>
      <c r="DV72" s="720"/>
      <c r="DW72" s="40"/>
      <c r="DX72" s="44"/>
      <c r="DY72" s="44"/>
      <c r="DZ72" s="36"/>
      <c r="EA72" s="20"/>
      <c r="EB72" s="271"/>
      <c r="EC72" s="781"/>
      <c r="ED72" s="40"/>
      <c r="EE72" s="44"/>
      <c r="EF72" s="36"/>
      <c r="EG72" s="20"/>
      <c r="EH72" s="271"/>
      <c r="EI72" s="688"/>
      <c r="EJ72" s="737"/>
      <c r="EK72" s="44"/>
      <c r="EL72" s="36"/>
      <c r="EM72" s="20"/>
      <c r="EN72" s="268"/>
    </row>
    <row r="73" spans="1:144" ht="19.899999999999999" customHeight="1" thickTop="1" thickBot="1" x14ac:dyDescent="0.25">
      <c r="B73" s="972"/>
      <c r="C73" s="33">
        <f>C72+1</f>
        <v>45980</v>
      </c>
      <c r="D73" s="1"/>
      <c r="E73" s="23"/>
      <c r="F73" s="526"/>
      <c r="G73" s="804"/>
      <c r="H73" s="1"/>
      <c r="I73" s="711"/>
      <c r="J73" s="672"/>
      <c r="K73" s="745"/>
      <c r="L73" s="695"/>
      <c r="M73" s="50"/>
      <c r="N73" s="60"/>
      <c r="O73" s="24"/>
      <c r="P73" s="711"/>
      <c r="Q73" s="672"/>
      <c r="R73" s="50"/>
      <c r="S73" s="672"/>
      <c r="T73" s="50"/>
      <c r="U73" s="745"/>
      <c r="V73" s="695"/>
      <c r="W73" s="24"/>
      <c r="X73" s="708"/>
      <c r="Y73" s="672"/>
      <c r="Z73" s="745"/>
      <c r="AA73" s="695"/>
      <c r="AB73" s="50"/>
      <c r="AC73" s="60"/>
      <c r="AD73" s="21"/>
      <c r="AE73" s="708"/>
      <c r="AF73" s="825"/>
      <c r="AG73" s="826"/>
      <c r="AH73" s="672"/>
      <c r="AI73" s="658"/>
      <c r="AJ73" s="745"/>
      <c r="AK73" s="695"/>
      <c r="AL73" s="50"/>
      <c r="AM73" s="60"/>
      <c r="AN73" s="21"/>
      <c r="AO73" s="711"/>
      <c r="AP73" s="794"/>
      <c r="AQ73" s="68"/>
      <c r="AR73" s="691"/>
      <c r="AS73" s="310"/>
      <c r="AT73" s="307"/>
      <c r="AU73" s="21"/>
      <c r="AV73" s="711"/>
      <c r="AW73" s="699"/>
      <c r="AX73" s="63"/>
      <c r="AY73" s="695"/>
      <c r="AZ73" s="50"/>
      <c r="BA73" s="60"/>
      <c r="BB73" s="21"/>
      <c r="BC73" s="699"/>
      <c r="BD73" s="695"/>
      <c r="BE73" s="50"/>
      <c r="BF73" s="60"/>
      <c r="BG73" s="21"/>
      <c r="BH73" s="268"/>
      <c r="BI73" s="845"/>
      <c r="BJ73" s="63"/>
      <c r="BK73" s="50"/>
      <c r="BL73" s="60"/>
      <c r="BM73" s="21"/>
      <c r="BN73" s="268"/>
      <c r="BO73" s="845"/>
      <c r="BP73" s="63"/>
      <c r="BQ73" s="845"/>
      <c r="BR73" s="63"/>
      <c r="BS73" s="50"/>
      <c r="BT73" s="60"/>
      <c r="BU73" s="21"/>
      <c r="BV73" s="708"/>
      <c r="BW73" s="658"/>
      <c r="BX73" s="901"/>
      <c r="BY73" s="50"/>
      <c r="BZ73" s="60"/>
      <c r="CA73" s="21"/>
      <c r="CB73" s="271"/>
      <c r="CC73" s="781"/>
      <c r="CD73" s="309"/>
      <c r="CE73" s="44"/>
      <c r="CF73" s="36"/>
      <c r="CG73" s="21"/>
      <c r="CH73" s="271"/>
      <c r="CI73" s="660"/>
      <c r="CJ73" s="695"/>
      <c r="CK73" s="44"/>
      <c r="CL73" s="307"/>
      <c r="CM73" s="21"/>
      <c r="CN73" s="271"/>
      <c r="CO73" s="490"/>
      <c r="CP73" s="40"/>
      <c r="CQ73" s="44"/>
      <c r="CR73" s="36"/>
      <c r="CS73" s="21"/>
      <c r="CT73" s="271"/>
      <c r="CU73" s="688"/>
      <c r="CV73" s="737"/>
      <c r="CW73" s="50"/>
      <c r="CX73" s="36"/>
      <c r="CY73" s="566"/>
      <c r="CZ73" s="672"/>
      <c r="DA73" s="21"/>
      <c r="DB73" s="271"/>
      <c r="DC73" s="720"/>
      <c r="DD73" s="40"/>
      <c r="DE73" s="44"/>
      <c r="DF73" s="44"/>
      <c r="DG73" s="36"/>
      <c r="DH73" s="20"/>
      <c r="DI73" s="271"/>
      <c r="DJ73" s="813"/>
      <c r="DK73" s="644"/>
      <c r="DL73" s="116" t="s">
        <v>61</v>
      </c>
      <c r="DM73" s="36"/>
      <c r="DN73" s="20"/>
      <c r="DO73" s="271"/>
      <c r="DP73" s="688"/>
      <c r="DQ73" s="737"/>
      <c r="DR73" s="580" t="s">
        <v>61</v>
      </c>
      <c r="DS73" s="36"/>
      <c r="DT73" s="20"/>
      <c r="DU73" s="271"/>
      <c r="DV73" s="720"/>
      <c r="DW73" s="40"/>
      <c r="DX73" s="44"/>
      <c r="DY73" s="44"/>
      <c r="DZ73" s="36"/>
      <c r="EA73" s="20"/>
      <c r="EB73" s="271"/>
      <c r="EC73" s="781"/>
      <c r="ED73" s="40"/>
      <c r="EE73" s="44"/>
      <c r="EF73" s="36"/>
      <c r="EG73" s="20"/>
      <c r="EH73" s="271"/>
      <c r="EI73" s="688"/>
      <c r="EJ73" s="737"/>
      <c r="EK73" s="310"/>
      <c r="EL73" s="36"/>
      <c r="EM73" s="20"/>
      <c r="EN73" s="268"/>
    </row>
    <row r="74" spans="1:144" ht="48.75" thickTop="1" thickBot="1" x14ac:dyDescent="0.25">
      <c r="B74" s="972"/>
      <c r="C74" s="33">
        <f>C73+1</f>
        <v>45981</v>
      </c>
      <c r="D74" s="1"/>
      <c r="E74" s="23" t="s">
        <v>466</v>
      </c>
      <c r="F74" s="526"/>
      <c r="G74" s="804"/>
      <c r="H74" s="1"/>
      <c r="I74" s="711"/>
      <c r="J74" s="672"/>
      <c r="K74" s="745"/>
      <c r="L74" s="695"/>
      <c r="M74" s="42"/>
      <c r="N74" s="60"/>
      <c r="O74" s="23"/>
      <c r="P74" s="711"/>
      <c r="Q74" s="672"/>
      <c r="R74" s="42"/>
      <c r="S74" s="672"/>
      <c r="T74" s="42"/>
      <c r="U74" s="745"/>
      <c r="V74" s="695"/>
      <c r="W74" s="23"/>
      <c r="X74" s="708"/>
      <c r="Y74" s="672"/>
      <c r="Z74" s="745"/>
      <c r="AA74" s="695"/>
      <c r="AB74" s="42"/>
      <c r="AC74" s="166"/>
      <c r="AD74" s="21"/>
      <c r="AE74" s="708"/>
      <c r="AF74" s="825"/>
      <c r="AG74" s="826"/>
      <c r="AH74" s="672"/>
      <c r="AI74" s="658"/>
      <c r="AJ74" s="745"/>
      <c r="AK74" s="695"/>
      <c r="AL74" s="42"/>
      <c r="AM74" s="166"/>
      <c r="AN74" s="21"/>
      <c r="AO74" s="711"/>
      <c r="AP74" s="794"/>
      <c r="AQ74" s="309"/>
      <c r="AR74" s="691"/>
      <c r="AS74" s="116" t="s">
        <v>61</v>
      </c>
      <c r="AT74" s="307"/>
      <c r="AU74" s="21"/>
      <c r="AV74" s="711"/>
      <c r="AW74" s="699"/>
      <c r="AX74" s="63"/>
      <c r="AY74" s="695"/>
      <c r="AZ74" s="116" t="s">
        <v>61</v>
      </c>
      <c r="BA74" s="60"/>
      <c r="BB74" s="21"/>
      <c r="BC74" s="699"/>
      <c r="BD74" s="695"/>
      <c r="BE74" s="116" t="s">
        <v>61</v>
      </c>
      <c r="BF74" s="60"/>
      <c r="BG74" s="21"/>
      <c r="BH74" s="268"/>
      <c r="BI74" s="845"/>
      <c r="BJ74" s="63"/>
      <c r="BK74" s="50"/>
      <c r="BL74" s="60"/>
      <c r="BM74" s="21"/>
      <c r="BN74" s="268"/>
      <c r="BO74" s="845"/>
      <c r="BP74" s="63"/>
      <c r="BQ74" s="845"/>
      <c r="BR74" s="63"/>
      <c r="BS74" s="50"/>
      <c r="BT74" s="60"/>
      <c r="BU74" s="21"/>
      <c r="BV74" s="708"/>
      <c r="BW74" s="658"/>
      <c r="BX74" s="901"/>
      <c r="BY74" s="50"/>
      <c r="BZ74" s="60"/>
      <c r="CA74" s="21"/>
      <c r="CB74" s="271"/>
      <c r="CC74" s="781"/>
      <c r="CD74" s="309"/>
      <c r="CE74" s="44"/>
      <c r="CF74" s="36"/>
      <c r="CG74" s="21"/>
      <c r="CH74" s="271"/>
      <c r="CI74" s="660"/>
      <c r="CJ74" s="695"/>
      <c r="CK74" s="621" t="s">
        <v>61</v>
      </c>
      <c r="CL74" s="307"/>
      <c r="CM74" s="21"/>
      <c r="CN74" s="271"/>
      <c r="CO74" s="490"/>
      <c r="CP74" s="40"/>
      <c r="CQ74" s="44"/>
      <c r="CR74" s="36"/>
      <c r="CS74" s="21"/>
      <c r="CT74" s="271"/>
      <c r="CU74" s="688"/>
      <c r="CV74" s="737"/>
      <c r="CW74" s="50"/>
      <c r="CX74" s="36"/>
      <c r="CY74" s="566"/>
      <c r="CZ74" s="672"/>
      <c r="DA74" s="21"/>
      <c r="DB74" s="271"/>
      <c r="DC74" s="720"/>
      <c r="DD74" s="40"/>
      <c r="DE74" s="44"/>
      <c r="DF74" s="44"/>
      <c r="DG74" s="36"/>
      <c r="DH74" s="20"/>
      <c r="DI74" s="271"/>
      <c r="DJ74" s="813"/>
      <c r="DK74" s="644"/>
      <c r="DL74" s="44"/>
      <c r="DM74" s="36"/>
      <c r="DN74" s="20"/>
      <c r="DO74" s="271"/>
      <c r="DP74" s="688"/>
      <c r="DQ74" s="737"/>
      <c r="DR74" s="147"/>
      <c r="DS74" s="36"/>
      <c r="DT74" s="20"/>
      <c r="DU74" s="271"/>
      <c r="DV74" s="720"/>
      <c r="DW74" s="40"/>
      <c r="DX74" s="44"/>
      <c r="DY74" s="44"/>
      <c r="DZ74" s="36"/>
      <c r="EA74" s="20"/>
      <c r="EB74" s="271"/>
      <c r="EC74" s="781"/>
      <c r="ED74" s="40"/>
      <c r="EE74" s="44"/>
      <c r="EF74" s="36"/>
      <c r="EG74" s="20"/>
      <c r="EH74" s="271"/>
      <c r="EI74" s="688"/>
      <c r="EJ74" s="737"/>
      <c r="EK74" s="44"/>
      <c r="EL74" s="36"/>
      <c r="EM74" s="20"/>
      <c r="EN74" s="268"/>
    </row>
    <row r="75" spans="1:144" ht="19.899999999999999" customHeight="1" thickTop="1" thickBot="1" x14ac:dyDescent="0.25">
      <c r="B75" s="972"/>
      <c r="C75" s="34">
        <f>C74+1</f>
        <v>45982</v>
      </c>
      <c r="D75" s="1"/>
      <c r="E75" s="23"/>
      <c r="F75" s="526"/>
      <c r="G75" s="804"/>
      <c r="H75" s="1"/>
      <c r="I75" s="712"/>
      <c r="J75" s="672"/>
      <c r="K75" s="746"/>
      <c r="L75" s="696"/>
      <c r="M75" s="47"/>
      <c r="N75" s="48"/>
      <c r="O75" s="23"/>
      <c r="P75" s="712"/>
      <c r="Q75" s="672"/>
      <c r="R75" s="312"/>
      <c r="S75" s="672"/>
      <c r="T75" s="312"/>
      <c r="U75" s="746"/>
      <c r="V75" s="696"/>
      <c r="W75" s="23"/>
      <c r="X75" s="709"/>
      <c r="Y75" s="672"/>
      <c r="Z75" s="746"/>
      <c r="AA75" s="749"/>
      <c r="AB75" s="319"/>
      <c r="AC75" s="279"/>
      <c r="AD75" s="21"/>
      <c r="AE75" s="709"/>
      <c r="AF75" s="825"/>
      <c r="AG75" s="826"/>
      <c r="AH75" s="672"/>
      <c r="AI75" s="658"/>
      <c r="AJ75" s="746"/>
      <c r="AK75" s="749"/>
      <c r="AL75" s="319"/>
      <c r="AM75" s="279"/>
      <c r="AN75" s="21"/>
      <c r="AO75" s="711"/>
      <c r="AP75" s="1022"/>
      <c r="AQ75" s="67"/>
      <c r="AR75" s="692"/>
      <c r="AS75" s="88" t="s">
        <v>48</v>
      </c>
      <c r="AT75" s="315"/>
      <c r="AU75" s="21"/>
      <c r="AV75" s="711"/>
      <c r="AW75" s="699"/>
      <c r="AX75" s="67"/>
      <c r="AY75" s="696"/>
      <c r="AZ75" s="47"/>
      <c r="BA75" s="48"/>
      <c r="BB75" s="21"/>
      <c r="BC75" s="699"/>
      <c r="BD75" s="696"/>
      <c r="BE75" s="312"/>
      <c r="BF75" s="48"/>
      <c r="BG75" s="21"/>
      <c r="BH75" s="268"/>
      <c r="BI75" s="845"/>
      <c r="BJ75" s="67"/>
      <c r="BK75" s="47"/>
      <c r="BL75" s="48"/>
      <c r="BM75" s="21"/>
      <c r="BN75" s="268"/>
      <c r="BO75" s="845"/>
      <c r="BP75" s="67"/>
      <c r="BQ75" s="845"/>
      <c r="BR75" s="67"/>
      <c r="BS75" s="312"/>
      <c r="BT75" s="48"/>
      <c r="BU75" s="21"/>
      <c r="BV75" s="709"/>
      <c r="BW75" s="658"/>
      <c r="BX75" s="902"/>
      <c r="BY75" s="47"/>
      <c r="BZ75" s="48"/>
      <c r="CA75" s="21"/>
      <c r="CB75" s="271"/>
      <c r="CC75" s="781"/>
      <c r="CD75" s="311"/>
      <c r="CE75" s="59"/>
      <c r="CF75" s="64"/>
      <c r="CG75" s="21"/>
      <c r="CH75" s="271"/>
      <c r="CI75" s="660"/>
      <c r="CJ75" s="696"/>
      <c r="CK75" s="59"/>
      <c r="CL75" s="315"/>
      <c r="CM75" s="21"/>
      <c r="CN75" s="271"/>
      <c r="CO75" s="490"/>
      <c r="CP75" s="45"/>
      <c r="CQ75" s="59"/>
      <c r="CR75" s="64"/>
      <c r="CS75" s="21"/>
      <c r="CT75" s="271"/>
      <c r="CU75" s="688"/>
      <c r="CV75" s="738"/>
      <c r="CW75" s="47"/>
      <c r="CX75" s="64"/>
      <c r="CY75" s="566"/>
      <c r="CZ75" s="672"/>
      <c r="DA75" s="21"/>
      <c r="DB75" s="271"/>
      <c r="DC75" s="720"/>
      <c r="DD75" s="45"/>
      <c r="DE75" s="59"/>
      <c r="DF75" s="59"/>
      <c r="DG75" s="64"/>
      <c r="DH75" s="20"/>
      <c r="DI75" s="271"/>
      <c r="DJ75" s="813"/>
      <c r="DK75" s="645"/>
      <c r="DL75" s="59"/>
      <c r="DM75" s="64"/>
      <c r="DN75" s="20"/>
      <c r="DO75" s="271"/>
      <c r="DP75" s="689"/>
      <c r="DQ75" s="738"/>
      <c r="DR75" s="581" t="s">
        <v>48</v>
      </c>
      <c r="DS75" s="64"/>
      <c r="DT75" s="20"/>
      <c r="DU75" s="271"/>
      <c r="DV75" s="720"/>
      <c r="DW75" s="45"/>
      <c r="DX75" s="59"/>
      <c r="DY75" s="59"/>
      <c r="DZ75" s="64"/>
      <c r="EA75" s="20"/>
      <c r="EB75" s="270"/>
      <c r="EC75" s="781"/>
      <c r="ED75" s="45"/>
      <c r="EE75" s="59"/>
      <c r="EF75" s="64"/>
      <c r="EG75" s="20"/>
      <c r="EH75" s="271"/>
      <c r="EI75" s="688"/>
      <c r="EJ75" s="738"/>
      <c r="EK75" s="59"/>
      <c r="EL75" s="64"/>
      <c r="EM75" s="20"/>
      <c r="EN75" s="268"/>
    </row>
    <row r="76" spans="1:144" ht="19.899999999999999" customHeight="1" thickTop="1" thickBot="1" x14ac:dyDescent="0.25">
      <c r="B76" s="972">
        <f>B71+1</f>
        <v>48</v>
      </c>
      <c r="C76" s="89">
        <f>C71+7</f>
        <v>45985</v>
      </c>
      <c r="D76" s="4"/>
      <c r="E76" s="23"/>
      <c r="F76" s="526"/>
      <c r="G76" s="804"/>
      <c r="H76" s="4"/>
      <c r="I76" s="707" t="s">
        <v>99</v>
      </c>
      <c r="J76" s="672"/>
      <c r="K76" s="744">
        <v>1</v>
      </c>
      <c r="L76" s="694" t="s">
        <v>103</v>
      </c>
      <c r="M76" s="39"/>
      <c r="N76" s="35"/>
      <c r="O76" s="24"/>
      <c r="P76" s="707" t="s">
        <v>99</v>
      </c>
      <c r="Q76" s="672"/>
      <c r="R76" s="308"/>
      <c r="S76" s="672"/>
      <c r="T76" s="308"/>
      <c r="U76" s="744">
        <v>1</v>
      </c>
      <c r="V76" s="694" t="s">
        <v>103</v>
      </c>
      <c r="W76" s="24"/>
      <c r="X76" s="710" t="s">
        <v>344</v>
      </c>
      <c r="Y76" s="672"/>
      <c r="Z76" s="744">
        <v>1</v>
      </c>
      <c r="AA76" s="747" t="s">
        <v>100</v>
      </c>
      <c r="AB76" s="83"/>
      <c r="AC76" s="84"/>
      <c r="AD76" s="21"/>
      <c r="AE76" s="710" t="s">
        <v>344</v>
      </c>
      <c r="AF76" s="825"/>
      <c r="AG76" s="826"/>
      <c r="AH76" s="672"/>
      <c r="AI76" s="658"/>
      <c r="AJ76" s="744">
        <v>1</v>
      </c>
      <c r="AK76" s="747" t="s">
        <v>100</v>
      </c>
      <c r="AL76" s="83"/>
      <c r="AM76" s="84"/>
      <c r="AN76" s="21"/>
      <c r="AO76" s="707" t="s">
        <v>99</v>
      </c>
      <c r="AP76" s="762" t="s">
        <v>361</v>
      </c>
      <c r="AQ76" s="314"/>
      <c r="AR76" s="690" t="s">
        <v>101</v>
      </c>
      <c r="AS76" s="308"/>
      <c r="AT76" s="306"/>
      <c r="AU76" s="21"/>
      <c r="AV76" s="707" t="s">
        <v>99</v>
      </c>
      <c r="AW76" s="699"/>
      <c r="AX76" s="61"/>
      <c r="AY76" s="694" t="s">
        <v>101</v>
      </c>
      <c r="AZ76" s="39"/>
      <c r="BA76" s="35"/>
      <c r="BB76" s="21"/>
      <c r="BC76" s="699"/>
      <c r="BD76" s="694" t="s">
        <v>101</v>
      </c>
      <c r="BE76" s="308"/>
      <c r="BF76" s="306"/>
      <c r="BG76" s="21"/>
      <c r="BH76" s="268"/>
      <c r="BI76" s="845"/>
      <c r="BJ76" s="61"/>
      <c r="BK76" s="39"/>
      <c r="BL76" s="35"/>
      <c r="BM76" s="21"/>
      <c r="BN76" s="268"/>
      <c r="BO76" s="845"/>
      <c r="BP76" s="314"/>
      <c r="BQ76" s="845"/>
      <c r="BR76" s="314"/>
      <c r="BS76" s="308"/>
      <c r="BT76" s="306"/>
      <c r="BU76" s="21"/>
      <c r="BV76" s="268"/>
      <c r="BW76" s="658"/>
      <c r="BX76" s="900" t="s">
        <v>279</v>
      </c>
      <c r="BY76" s="39"/>
      <c r="BZ76" s="35"/>
      <c r="CA76" s="21"/>
      <c r="CB76" s="271"/>
      <c r="CC76" s="781"/>
      <c r="CD76" s="314"/>
      <c r="CE76" s="39"/>
      <c r="CF76" s="35"/>
      <c r="CG76" s="21"/>
      <c r="CH76" s="710" t="s">
        <v>72</v>
      </c>
      <c r="CI76" s="660"/>
      <c r="CJ76" s="694" t="s">
        <v>65</v>
      </c>
      <c r="CK76" s="39"/>
      <c r="CL76" s="306"/>
      <c r="CM76" s="21"/>
      <c r="CN76" s="271"/>
      <c r="CO76" s="490"/>
      <c r="CP76" s="61"/>
      <c r="CQ76" s="39"/>
      <c r="CR76" s="35"/>
      <c r="CS76" s="21"/>
      <c r="CT76" s="271"/>
      <c r="CU76" s="688"/>
      <c r="CV76" s="736" t="s">
        <v>276</v>
      </c>
      <c r="CW76" s="39"/>
      <c r="CX76" s="35"/>
      <c r="CY76" s="566"/>
      <c r="CZ76" s="672"/>
      <c r="DA76" s="21"/>
      <c r="DB76" s="707" t="s">
        <v>81</v>
      </c>
      <c r="DC76" s="720"/>
      <c r="DD76" s="61"/>
      <c r="DE76" s="39"/>
      <c r="DF76" s="39"/>
      <c r="DG76" s="35"/>
      <c r="DH76" s="20"/>
      <c r="DI76" s="707" t="s">
        <v>66</v>
      </c>
      <c r="DJ76" s="813"/>
      <c r="DK76" s="314"/>
      <c r="DL76" s="39"/>
      <c r="DM76" s="35"/>
      <c r="DN76" s="20"/>
      <c r="DO76" s="707" t="s">
        <v>44</v>
      </c>
      <c r="DP76" s="753" t="s">
        <v>387</v>
      </c>
      <c r="DQ76" s="37"/>
      <c r="DR76" s="58"/>
      <c r="DS76" s="306"/>
      <c r="DT76" s="20"/>
      <c r="DU76" s="707" t="s">
        <v>81</v>
      </c>
      <c r="DV76" s="720"/>
      <c r="DW76" s="61"/>
      <c r="DX76" s="39"/>
      <c r="DY76" s="39"/>
      <c r="DZ76" s="35"/>
      <c r="EA76" s="20"/>
      <c r="EB76" s="270"/>
      <c r="EC76" s="781"/>
      <c r="ED76" s="61"/>
      <c r="EE76" s="39"/>
      <c r="EF76" s="35"/>
      <c r="EG76" s="20"/>
      <c r="EH76" s="707" t="s">
        <v>66</v>
      </c>
      <c r="EI76" s="688"/>
      <c r="EJ76" s="736" t="s">
        <v>277</v>
      </c>
      <c r="EK76" s="39"/>
      <c r="EL76" s="35"/>
      <c r="EM76" s="20"/>
      <c r="EN76" s="268"/>
    </row>
    <row r="77" spans="1:144" ht="19.899999999999999" customHeight="1" thickTop="1" thickBot="1" x14ac:dyDescent="0.25">
      <c r="B77" s="972"/>
      <c r="C77" s="33">
        <f>C76+1</f>
        <v>45986</v>
      </c>
      <c r="D77" s="1"/>
      <c r="E77" s="23"/>
      <c r="F77" s="526"/>
      <c r="G77" s="804"/>
      <c r="H77" s="1"/>
      <c r="I77" s="708"/>
      <c r="J77" s="672"/>
      <c r="K77" s="745"/>
      <c r="L77" s="695"/>
      <c r="M77" s="42"/>
      <c r="N77" s="43"/>
      <c r="O77" s="23"/>
      <c r="P77" s="708"/>
      <c r="Q77" s="672"/>
      <c r="R77" s="42"/>
      <c r="S77" s="672"/>
      <c r="T77" s="42"/>
      <c r="U77" s="745"/>
      <c r="V77" s="695"/>
      <c r="W77" s="23"/>
      <c r="X77" s="711"/>
      <c r="Y77" s="672"/>
      <c r="Z77" s="745"/>
      <c r="AA77" s="748"/>
      <c r="AB77" s="42"/>
      <c r="AC77" s="43"/>
      <c r="AD77" s="21"/>
      <c r="AE77" s="711"/>
      <c r="AF77" s="825"/>
      <c r="AG77" s="826"/>
      <c r="AH77" s="672"/>
      <c r="AI77" s="658"/>
      <c r="AJ77" s="745"/>
      <c r="AK77" s="748"/>
      <c r="AL77" s="42"/>
      <c r="AM77" s="43"/>
      <c r="AN77" s="21"/>
      <c r="AO77" s="708"/>
      <c r="AP77" s="813"/>
      <c r="AQ77" s="73"/>
      <c r="AR77" s="691"/>
      <c r="AS77" s="310"/>
      <c r="AT77" s="307"/>
      <c r="AU77" s="21"/>
      <c r="AV77" s="708"/>
      <c r="AW77" s="699"/>
      <c r="AX77" s="73"/>
      <c r="AY77" s="695"/>
      <c r="AZ77" s="42"/>
      <c r="BA77" s="43"/>
      <c r="BB77" s="21"/>
      <c r="BC77" s="699"/>
      <c r="BD77" s="695"/>
      <c r="BE77" s="42"/>
      <c r="BF77" s="43"/>
      <c r="BG77" s="21"/>
      <c r="BH77" s="268"/>
      <c r="BI77" s="845"/>
      <c r="BJ77" s="73"/>
      <c r="BK77" s="42"/>
      <c r="BL77" s="43"/>
      <c r="BM77" s="21"/>
      <c r="BN77" s="268"/>
      <c r="BO77" s="845"/>
      <c r="BP77" s="73"/>
      <c r="BQ77" s="845"/>
      <c r="BR77" s="73"/>
      <c r="BS77" s="42"/>
      <c r="BT77" s="43"/>
      <c r="BU77" s="21"/>
      <c r="BV77" s="268"/>
      <c r="BW77" s="658"/>
      <c r="BX77" s="901"/>
      <c r="BY77" s="42"/>
      <c r="BZ77" s="43"/>
      <c r="CA77" s="21"/>
      <c r="CB77" s="271"/>
      <c r="CC77" s="781"/>
      <c r="CD77" s="309"/>
      <c r="CE77" s="44"/>
      <c r="CF77" s="36"/>
      <c r="CG77" s="21"/>
      <c r="CH77" s="711"/>
      <c r="CI77" s="660"/>
      <c r="CJ77" s="695"/>
      <c r="CK77" s="44"/>
      <c r="CL77" s="307"/>
      <c r="CM77" s="21"/>
      <c r="CN77" s="271"/>
      <c r="CO77" s="490"/>
      <c r="CP77" s="40"/>
      <c r="CQ77" s="44"/>
      <c r="CR77" s="36"/>
      <c r="CS77" s="21"/>
      <c r="CT77" s="271"/>
      <c r="CU77" s="688"/>
      <c r="CV77" s="737"/>
      <c r="CW77" s="42"/>
      <c r="CX77" s="36"/>
      <c r="CY77" s="566"/>
      <c r="CZ77" s="672"/>
      <c r="DA77" s="21"/>
      <c r="DB77" s="708"/>
      <c r="DC77" s="720"/>
      <c r="DD77" s="40"/>
      <c r="DE77" s="44"/>
      <c r="DF77" s="44"/>
      <c r="DG77" s="36"/>
      <c r="DH77" s="20"/>
      <c r="DI77" s="708"/>
      <c r="DJ77" s="813"/>
      <c r="DK77" s="309"/>
      <c r="DL77" s="44"/>
      <c r="DM77" s="36"/>
      <c r="DN77" s="20"/>
      <c r="DO77" s="708"/>
      <c r="DP77" s="754"/>
      <c r="DQ77" s="73"/>
      <c r="DR77" s="42"/>
      <c r="DS77" s="307"/>
      <c r="DT77" s="20"/>
      <c r="DU77" s="708"/>
      <c r="DV77" s="720"/>
      <c r="DW77" s="40"/>
      <c r="DX77" s="44"/>
      <c r="DY77" s="44"/>
      <c r="DZ77" s="36"/>
      <c r="EA77" s="20"/>
      <c r="EB77" s="270"/>
      <c r="EC77" s="781"/>
      <c r="ED77" s="40"/>
      <c r="EE77" s="44"/>
      <c r="EF77" s="36"/>
      <c r="EG77" s="20"/>
      <c r="EH77" s="708"/>
      <c r="EI77" s="688"/>
      <c r="EJ77" s="737"/>
      <c r="EK77" s="44"/>
      <c r="EL77" s="36"/>
      <c r="EM77" s="20"/>
      <c r="EN77" s="268"/>
    </row>
    <row r="78" spans="1:144" ht="19.899999999999999" customHeight="1" thickTop="1" thickBot="1" x14ac:dyDescent="0.25">
      <c r="B78" s="972"/>
      <c r="C78" s="33">
        <f>C77+1</f>
        <v>45987</v>
      </c>
      <c r="D78" s="1"/>
      <c r="E78" s="23"/>
      <c r="F78" s="526"/>
      <c r="G78" s="804"/>
      <c r="H78" s="1"/>
      <c r="I78" s="708"/>
      <c r="J78" s="672"/>
      <c r="K78" s="745"/>
      <c r="L78" s="695"/>
      <c r="M78" s="50"/>
      <c r="N78" s="60"/>
      <c r="O78" s="23"/>
      <c r="P78" s="708"/>
      <c r="Q78" s="672"/>
      <c r="R78" s="50"/>
      <c r="S78" s="672"/>
      <c r="T78" s="50"/>
      <c r="U78" s="745"/>
      <c r="V78" s="695"/>
      <c r="W78" s="23"/>
      <c r="X78" s="711"/>
      <c r="Y78" s="672"/>
      <c r="Z78" s="745"/>
      <c r="AA78" s="748"/>
      <c r="AB78" s="50"/>
      <c r="AC78" s="60"/>
      <c r="AD78" s="21"/>
      <c r="AE78" s="711"/>
      <c r="AF78" s="825"/>
      <c r="AG78" s="826"/>
      <c r="AH78" s="672"/>
      <c r="AI78" s="658"/>
      <c r="AJ78" s="745"/>
      <c r="AK78" s="748"/>
      <c r="AL78" s="50"/>
      <c r="AM78" s="60"/>
      <c r="AN78" s="21"/>
      <c r="AO78" s="708"/>
      <c r="AP78" s="813"/>
      <c r="AQ78" s="68"/>
      <c r="AR78" s="691"/>
      <c r="AS78" s="310"/>
      <c r="AT78" s="307"/>
      <c r="AU78" s="21"/>
      <c r="AV78" s="708"/>
      <c r="AW78" s="699"/>
      <c r="AX78" s="63"/>
      <c r="AY78" s="695"/>
      <c r="AZ78" s="50"/>
      <c r="BA78" s="60"/>
      <c r="BB78" s="21"/>
      <c r="BC78" s="699"/>
      <c r="BD78" s="695"/>
      <c r="BE78" s="50"/>
      <c r="BF78" s="60"/>
      <c r="BG78" s="21"/>
      <c r="BH78" s="268"/>
      <c r="BI78" s="845"/>
      <c r="BJ78" s="63"/>
      <c r="BK78" s="50"/>
      <c r="BL78" s="60"/>
      <c r="BM78" s="21"/>
      <c r="BN78" s="268"/>
      <c r="BO78" s="845"/>
      <c r="BP78" s="63"/>
      <c r="BQ78" s="845"/>
      <c r="BR78" s="63"/>
      <c r="BS78" s="50"/>
      <c r="BT78" s="60"/>
      <c r="BU78" s="21"/>
      <c r="BV78" s="268"/>
      <c r="BW78" s="658"/>
      <c r="BX78" s="901"/>
      <c r="BY78" s="50"/>
      <c r="BZ78" s="60"/>
      <c r="CA78" s="21"/>
      <c r="CB78" s="268"/>
      <c r="CC78" s="781"/>
      <c r="CD78" s="309"/>
      <c r="CE78" s="44"/>
      <c r="CF78" s="36"/>
      <c r="CG78" s="21"/>
      <c r="CH78" s="711"/>
      <c r="CI78" s="660"/>
      <c r="CJ78" s="695"/>
      <c r="CK78" s="44"/>
      <c r="CL78" s="307"/>
      <c r="CM78" s="21"/>
      <c r="CN78" s="271"/>
      <c r="CO78" s="490"/>
      <c r="CP78" s="40"/>
      <c r="CQ78" s="44"/>
      <c r="CR78" s="36"/>
      <c r="CS78" s="21"/>
      <c r="CT78" s="271"/>
      <c r="CU78" s="688"/>
      <c r="CV78" s="737"/>
      <c r="CW78" s="116" t="s">
        <v>61</v>
      </c>
      <c r="CX78" s="36"/>
      <c r="CY78" s="566"/>
      <c r="CZ78" s="672"/>
      <c r="DA78" s="21"/>
      <c r="DB78" s="708"/>
      <c r="DC78" s="720"/>
      <c r="DD78" s="40"/>
      <c r="DE78" s="44"/>
      <c r="DF78" s="44"/>
      <c r="DG78" s="36"/>
      <c r="DH78" s="20"/>
      <c r="DI78" s="708"/>
      <c r="DJ78" s="813"/>
      <c r="DK78" s="309"/>
      <c r="DL78" s="116" t="s">
        <v>61</v>
      </c>
      <c r="DM78" s="36"/>
      <c r="DN78" s="20"/>
      <c r="DO78" s="708"/>
      <c r="DP78" s="754"/>
      <c r="DQ78" s="73"/>
      <c r="DR78" s="42"/>
      <c r="DS78" s="307"/>
      <c r="DT78" s="20"/>
      <c r="DU78" s="708"/>
      <c r="DV78" s="720"/>
      <c r="DW78" s="40"/>
      <c r="DX78" s="44"/>
      <c r="DY78" s="44"/>
      <c r="DZ78" s="36"/>
      <c r="EA78" s="20"/>
      <c r="EB78" s="270"/>
      <c r="EC78" s="781"/>
      <c r="ED78" s="40"/>
      <c r="EE78" s="44"/>
      <c r="EF78" s="36"/>
      <c r="EG78" s="20"/>
      <c r="EH78" s="708"/>
      <c r="EI78" s="688"/>
      <c r="EJ78" s="737"/>
      <c r="EK78" s="116" t="s">
        <v>61</v>
      </c>
      <c r="EL78" s="36"/>
      <c r="EM78" s="20"/>
      <c r="EN78" s="268"/>
    </row>
    <row r="79" spans="1:144" ht="33" thickTop="1" thickBot="1" x14ac:dyDescent="0.25">
      <c r="B79" s="972"/>
      <c r="C79" s="33">
        <f>C78+1</f>
        <v>45988</v>
      </c>
      <c r="D79" s="1"/>
      <c r="E79" s="23" t="s">
        <v>465</v>
      </c>
      <c r="F79" s="526"/>
      <c r="G79" s="804"/>
      <c r="H79" s="1"/>
      <c r="I79" s="708"/>
      <c r="J79" s="672"/>
      <c r="K79" s="745"/>
      <c r="L79" s="695"/>
      <c r="M79" s="42"/>
      <c r="N79" s="60"/>
      <c r="O79" s="23"/>
      <c r="P79" s="708"/>
      <c r="Q79" s="672"/>
      <c r="R79" s="42"/>
      <c r="S79" s="672"/>
      <c r="T79" s="42"/>
      <c r="U79" s="745"/>
      <c r="V79" s="695"/>
      <c r="W79" s="23"/>
      <c r="X79" s="711"/>
      <c r="Y79" s="672"/>
      <c r="Z79" s="745"/>
      <c r="AA79" s="748"/>
      <c r="AB79" s="194" t="s">
        <v>80</v>
      </c>
      <c r="AC79" s="166"/>
      <c r="AD79" s="21"/>
      <c r="AE79" s="711"/>
      <c r="AF79" s="825"/>
      <c r="AG79" s="826"/>
      <c r="AH79" s="672"/>
      <c r="AI79" s="658"/>
      <c r="AJ79" s="745"/>
      <c r="AK79" s="748"/>
      <c r="AL79" s="194" t="s">
        <v>80</v>
      </c>
      <c r="AM79" s="166"/>
      <c r="AN79" s="21"/>
      <c r="AO79" s="708"/>
      <c r="AP79" s="813"/>
      <c r="AQ79" s="309"/>
      <c r="AR79" s="691"/>
      <c r="AS79" s="310"/>
      <c r="AT79" s="307"/>
      <c r="AU79" s="21"/>
      <c r="AV79" s="708"/>
      <c r="AW79" s="699"/>
      <c r="AX79" s="63"/>
      <c r="AY79" s="695"/>
      <c r="AZ79" s="116" t="s">
        <v>61</v>
      </c>
      <c r="BA79" s="60"/>
      <c r="BB79" s="21"/>
      <c r="BC79" s="699"/>
      <c r="BD79" s="695"/>
      <c r="BE79" s="116" t="s">
        <v>61</v>
      </c>
      <c r="BF79" s="60"/>
      <c r="BG79" s="21"/>
      <c r="BH79" s="268"/>
      <c r="BI79" s="845"/>
      <c r="BJ79" s="63"/>
      <c r="BK79" s="50"/>
      <c r="BL79" s="60"/>
      <c r="BM79" s="21"/>
      <c r="BN79" s="268"/>
      <c r="BO79" s="845"/>
      <c r="BP79" s="63"/>
      <c r="BQ79" s="845"/>
      <c r="BR79" s="63"/>
      <c r="BS79" s="50"/>
      <c r="BT79" s="60"/>
      <c r="BU79" s="21"/>
      <c r="BV79" s="268"/>
      <c r="BW79" s="658"/>
      <c r="BX79" s="901"/>
      <c r="BY79" s="50"/>
      <c r="BZ79" s="60"/>
      <c r="CA79" s="21"/>
      <c r="CB79" s="268"/>
      <c r="CC79" s="781"/>
      <c r="CD79" s="309"/>
      <c r="CE79" s="44"/>
      <c r="CF79" s="36"/>
      <c r="CG79" s="21"/>
      <c r="CH79" s="711"/>
      <c r="CI79" s="660"/>
      <c r="CJ79" s="695"/>
      <c r="CK79" s="44"/>
      <c r="CL79" s="307"/>
      <c r="CM79" s="21"/>
      <c r="CN79" s="270"/>
      <c r="CO79" s="490"/>
      <c r="CP79" s="40"/>
      <c r="CQ79" s="44"/>
      <c r="CR79" s="36"/>
      <c r="CS79" s="21"/>
      <c r="CT79" s="271"/>
      <c r="CU79" s="688"/>
      <c r="CV79" s="737"/>
      <c r="CW79" s="50"/>
      <c r="CX79" s="36"/>
      <c r="CY79" s="566"/>
      <c r="CZ79" s="672"/>
      <c r="DA79" s="21"/>
      <c r="DB79" s="708"/>
      <c r="DC79" s="720"/>
      <c r="DD79" s="40"/>
      <c r="DE79" s="44"/>
      <c r="DF79" s="44"/>
      <c r="DG79" s="36"/>
      <c r="DH79" s="20"/>
      <c r="DI79" s="708"/>
      <c r="DJ79" s="813"/>
      <c r="DK79" s="309"/>
      <c r="DL79" s="44"/>
      <c r="DM79" s="36"/>
      <c r="DN79" s="20"/>
      <c r="DO79" s="708"/>
      <c r="DP79" s="754"/>
      <c r="DQ79" s="73"/>
      <c r="DR79" s="42"/>
      <c r="DS79" s="307"/>
      <c r="DT79" s="20"/>
      <c r="DU79" s="708"/>
      <c r="DV79" s="720"/>
      <c r="DW79" s="40"/>
      <c r="DX79" s="44"/>
      <c r="DY79" s="44"/>
      <c r="DZ79" s="36"/>
      <c r="EA79" s="20"/>
      <c r="EB79" s="270"/>
      <c r="EC79" s="781"/>
      <c r="ED79" s="40"/>
      <c r="EE79" s="44"/>
      <c r="EF79" s="36"/>
      <c r="EG79" s="20"/>
      <c r="EH79" s="708"/>
      <c r="EI79" s="688"/>
      <c r="EJ79" s="737"/>
      <c r="EK79" s="44"/>
      <c r="EL79" s="36"/>
      <c r="EM79" s="20"/>
      <c r="EN79" s="268"/>
    </row>
    <row r="80" spans="1:144" ht="19.899999999999999" customHeight="1" thickTop="1" thickBot="1" x14ac:dyDescent="0.25">
      <c r="B80" s="972"/>
      <c r="C80" s="34">
        <f>C79+1</f>
        <v>45989</v>
      </c>
      <c r="D80" s="1"/>
      <c r="E80" s="23"/>
      <c r="F80" s="526"/>
      <c r="G80" s="804"/>
      <c r="H80" s="1"/>
      <c r="I80" s="709"/>
      <c r="J80" s="672"/>
      <c r="K80" s="746"/>
      <c r="L80" s="696"/>
      <c r="M80" s="47"/>
      <c r="N80" s="48"/>
      <c r="O80" s="23"/>
      <c r="P80" s="709"/>
      <c r="Q80" s="672"/>
      <c r="R80" s="312"/>
      <c r="S80" s="672"/>
      <c r="T80" s="312"/>
      <c r="U80" s="746"/>
      <c r="V80" s="696"/>
      <c r="W80" s="23"/>
      <c r="X80" s="711"/>
      <c r="Y80" s="672"/>
      <c r="Z80" s="746"/>
      <c r="AA80" s="749"/>
      <c r="AB80" s="319"/>
      <c r="AC80" s="279"/>
      <c r="AD80" s="21"/>
      <c r="AE80" s="711"/>
      <c r="AF80" s="825"/>
      <c r="AG80" s="826"/>
      <c r="AH80" s="672"/>
      <c r="AI80" s="658"/>
      <c r="AJ80" s="746"/>
      <c r="AK80" s="749"/>
      <c r="AL80" s="319"/>
      <c r="AM80" s="279"/>
      <c r="AN80" s="21"/>
      <c r="AO80" s="709"/>
      <c r="AP80" s="813"/>
      <c r="AQ80" s="67"/>
      <c r="AR80" s="692"/>
      <c r="AS80" s="313"/>
      <c r="AT80" s="315"/>
      <c r="AU80" s="21"/>
      <c r="AV80" s="709"/>
      <c r="AW80" s="706"/>
      <c r="AX80" s="67"/>
      <c r="AY80" s="696"/>
      <c r="AZ80" s="152" t="s">
        <v>48</v>
      </c>
      <c r="BA80" s="48"/>
      <c r="BB80" s="21"/>
      <c r="BC80" s="706"/>
      <c r="BD80" s="696"/>
      <c r="BE80" s="152" t="s">
        <v>48</v>
      </c>
      <c r="BF80" s="48"/>
      <c r="BG80" s="21"/>
      <c r="BH80" s="268"/>
      <c r="BI80" s="845"/>
      <c r="BJ80" s="67"/>
      <c r="BK80" s="47"/>
      <c r="BL80" s="48"/>
      <c r="BM80" s="21"/>
      <c r="BN80" s="268"/>
      <c r="BO80" s="845"/>
      <c r="BP80" s="67"/>
      <c r="BQ80" s="845"/>
      <c r="BR80" s="67"/>
      <c r="BS80" s="312"/>
      <c r="BT80" s="48"/>
      <c r="BU80" s="21"/>
      <c r="BV80" s="269"/>
      <c r="BW80" s="658"/>
      <c r="BX80" s="902"/>
      <c r="BY80" s="47"/>
      <c r="BZ80" s="48"/>
      <c r="CA80" s="21"/>
      <c r="CB80" s="271"/>
      <c r="CC80" s="781"/>
      <c r="CD80" s="311"/>
      <c r="CE80" s="59"/>
      <c r="CF80" s="64"/>
      <c r="CG80" s="21"/>
      <c r="CH80" s="712"/>
      <c r="CI80" s="660"/>
      <c r="CJ80" s="696"/>
      <c r="CK80" s="59"/>
      <c r="CL80" s="315"/>
      <c r="CM80" s="21"/>
      <c r="CN80" s="270"/>
      <c r="CO80" s="490"/>
      <c r="CP80" s="45"/>
      <c r="CQ80" s="59"/>
      <c r="CR80" s="64"/>
      <c r="CS80" s="21"/>
      <c r="CT80" s="271"/>
      <c r="CU80" s="689"/>
      <c r="CV80" s="738"/>
      <c r="CW80" s="88" t="s">
        <v>48</v>
      </c>
      <c r="CX80" s="64"/>
      <c r="CY80" s="566"/>
      <c r="CZ80" s="672"/>
      <c r="DA80" s="21"/>
      <c r="DB80" s="709"/>
      <c r="DC80" s="1043"/>
      <c r="DD80" s="45"/>
      <c r="DE80" s="59"/>
      <c r="DF80" s="59"/>
      <c r="DG80" s="64"/>
      <c r="DH80" s="20"/>
      <c r="DI80" s="709"/>
      <c r="DJ80" s="839"/>
      <c r="DK80" s="311"/>
      <c r="DL80" s="183" t="s">
        <v>48</v>
      </c>
      <c r="DM80" s="64"/>
      <c r="DN80" s="20"/>
      <c r="DO80" s="709"/>
      <c r="DP80" s="754"/>
      <c r="DQ80" s="198"/>
      <c r="DR80" s="202" t="s">
        <v>125</v>
      </c>
      <c r="DS80" s="315"/>
      <c r="DT80" s="20"/>
      <c r="DU80" s="709"/>
      <c r="DV80" s="721"/>
      <c r="DW80" s="45"/>
      <c r="DX80" s="59"/>
      <c r="DY80" s="59"/>
      <c r="DZ80" s="64"/>
      <c r="EA80" s="20"/>
      <c r="EB80" s="270"/>
      <c r="EC80" s="781"/>
      <c r="ED80" s="45"/>
      <c r="EE80" s="59"/>
      <c r="EF80" s="64"/>
      <c r="EG80" s="20"/>
      <c r="EH80" s="709"/>
      <c r="EI80" s="689"/>
      <c r="EJ80" s="738"/>
      <c r="EK80" s="183" t="s">
        <v>48</v>
      </c>
      <c r="EL80" s="64"/>
      <c r="EM80" s="20"/>
      <c r="EN80" s="268"/>
    </row>
    <row r="81" spans="1:144" ht="19.899999999999999" customHeight="1" thickTop="1" thickBot="1" x14ac:dyDescent="0.25">
      <c r="B81" s="972">
        <f>B76+1</f>
        <v>49</v>
      </c>
      <c r="C81" s="89">
        <f>C76+7</f>
        <v>45992</v>
      </c>
      <c r="D81" s="4"/>
      <c r="E81" s="24"/>
      <c r="F81" s="525"/>
      <c r="G81" s="804"/>
      <c r="H81" s="4"/>
      <c r="I81" s="707" t="s">
        <v>99</v>
      </c>
      <c r="J81" s="672"/>
      <c r="K81" s="744">
        <v>1</v>
      </c>
      <c r="L81" s="694" t="s">
        <v>107</v>
      </c>
      <c r="M81" s="56"/>
      <c r="N81" s="57"/>
      <c r="O81" s="24"/>
      <c r="P81" s="707" t="s">
        <v>99</v>
      </c>
      <c r="Q81" s="672"/>
      <c r="R81" s="56"/>
      <c r="S81" s="672"/>
      <c r="T81" s="56"/>
      <c r="U81" s="744">
        <v>1</v>
      </c>
      <c r="V81" s="694" t="s">
        <v>107</v>
      </c>
      <c r="W81" s="24"/>
      <c r="X81" s="711"/>
      <c r="Y81" s="672"/>
      <c r="Z81" s="132"/>
      <c r="AA81" s="690" t="s">
        <v>104</v>
      </c>
      <c r="AB81" s="167"/>
      <c r="AC81" s="168"/>
      <c r="AD81" s="21"/>
      <c r="AE81" s="711"/>
      <c r="AF81" s="825"/>
      <c r="AG81" s="826"/>
      <c r="AH81" s="672"/>
      <c r="AI81" s="658"/>
      <c r="AJ81" s="132"/>
      <c r="AK81" s="690" t="s">
        <v>104</v>
      </c>
      <c r="AL81" s="167"/>
      <c r="AM81" s="168"/>
      <c r="AN81" s="20"/>
      <c r="AO81" s="707" t="s">
        <v>99</v>
      </c>
      <c r="AP81" s="813"/>
      <c r="AQ81" s="314"/>
      <c r="AR81" s="690" t="s">
        <v>105</v>
      </c>
      <c r="AS81" s="308"/>
      <c r="AT81" s="306"/>
      <c r="AU81" s="21"/>
      <c r="AV81" s="707" t="s">
        <v>99</v>
      </c>
      <c r="AW81" s="659" t="s">
        <v>258</v>
      </c>
      <c r="AX81" s="61"/>
      <c r="AY81" s="690" t="s">
        <v>105</v>
      </c>
      <c r="AZ81" s="56"/>
      <c r="BA81" s="57"/>
      <c r="BB81" s="20"/>
      <c r="BC81" s="659" t="s">
        <v>258</v>
      </c>
      <c r="BD81" s="690" t="s">
        <v>105</v>
      </c>
      <c r="BE81" s="56"/>
      <c r="BF81" s="57"/>
      <c r="BG81" s="20"/>
      <c r="BH81" s="268"/>
      <c r="BI81" s="845"/>
      <c r="BJ81" s="61"/>
      <c r="BK81" s="39"/>
      <c r="BL81" s="35"/>
      <c r="BM81" s="20"/>
      <c r="BN81" s="268"/>
      <c r="BO81" s="845"/>
      <c r="BP81" s="314"/>
      <c r="BQ81" s="845"/>
      <c r="BR81" s="314"/>
      <c r="BS81" s="308"/>
      <c r="BT81" s="306"/>
      <c r="BU81" s="20"/>
      <c r="BV81" s="710" t="s">
        <v>72</v>
      </c>
      <c r="BW81" s="658"/>
      <c r="BX81" s="314"/>
      <c r="BY81" s="56"/>
      <c r="BZ81" s="57"/>
      <c r="CA81" s="20"/>
      <c r="CB81" s="271"/>
      <c r="CC81" s="781"/>
      <c r="CD81" s="314"/>
      <c r="CE81" s="39"/>
      <c r="CF81" s="35"/>
      <c r="CG81" s="20"/>
      <c r="CH81" s="710" t="s">
        <v>323</v>
      </c>
      <c r="CI81" s="660"/>
      <c r="CJ81" s="694" t="s">
        <v>76</v>
      </c>
      <c r="CK81" s="39"/>
      <c r="CL81" s="306"/>
      <c r="CM81" s="20"/>
      <c r="CN81" s="270"/>
      <c r="CO81" s="490"/>
      <c r="CP81" s="61"/>
      <c r="CQ81" s="39"/>
      <c r="CR81" s="35"/>
      <c r="CS81" s="20"/>
      <c r="CT81" s="707" t="s">
        <v>66</v>
      </c>
      <c r="CU81" s="1108" t="s">
        <v>387</v>
      </c>
      <c r="CV81" s="37"/>
      <c r="CW81" s="58"/>
      <c r="CX81" s="306"/>
      <c r="CY81" s="566"/>
      <c r="CZ81" s="672"/>
      <c r="DA81" s="20"/>
      <c r="DB81" s="710" t="s">
        <v>72</v>
      </c>
      <c r="DC81" s="739" t="s">
        <v>106</v>
      </c>
      <c r="DD81" s="61"/>
      <c r="DE81" s="690" t="s">
        <v>65</v>
      </c>
      <c r="DF81" s="39"/>
      <c r="DG81" s="306"/>
      <c r="DH81" s="20"/>
      <c r="DI81" s="707" t="s">
        <v>69</v>
      </c>
      <c r="DJ81" s="768" t="s">
        <v>26</v>
      </c>
      <c r="DK81" s="61"/>
      <c r="DL81" s="39"/>
      <c r="DM81" s="35"/>
      <c r="DN81" s="20"/>
      <c r="DO81" s="270"/>
      <c r="DP81" s="759" t="s">
        <v>26</v>
      </c>
      <c r="DQ81" s="61"/>
      <c r="DR81" s="39"/>
      <c r="DS81" s="35"/>
      <c r="DT81" s="20"/>
      <c r="DU81" s="710" t="s">
        <v>72</v>
      </c>
      <c r="DV81" s="934" t="s">
        <v>40</v>
      </c>
      <c r="DW81" s="744">
        <v>5</v>
      </c>
      <c r="DX81" s="690" t="s">
        <v>65</v>
      </c>
      <c r="DY81" s="39"/>
      <c r="DZ81" s="306"/>
      <c r="EA81" s="20"/>
      <c r="EB81" s="270"/>
      <c r="EC81" s="781"/>
      <c r="ED81" s="61"/>
      <c r="EE81" s="39"/>
      <c r="EF81" s="35"/>
      <c r="EG81" s="20"/>
      <c r="EH81" s="707" t="s">
        <v>69</v>
      </c>
      <c r="EI81" s="781" t="s">
        <v>26</v>
      </c>
      <c r="EJ81" s="61"/>
      <c r="EK81" s="39"/>
      <c r="EL81" s="35"/>
      <c r="EM81" s="20"/>
      <c r="EN81" s="268"/>
    </row>
    <row r="82" spans="1:144" ht="19.899999999999999" customHeight="1" thickTop="1" thickBot="1" x14ac:dyDescent="0.25">
      <c r="B82" s="972"/>
      <c r="C82" s="33">
        <f>C81+1</f>
        <v>45993</v>
      </c>
      <c r="D82" s="1"/>
      <c r="E82" s="23"/>
      <c r="F82" s="526"/>
      <c r="G82" s="804"/>
      <c r="H82" s="1"/>
      <c r="I82" s="708"/>
      <c r="J82" s="672"/>
      <c r="K82" s="745"/>
      <c r="L82" s="695"/>
      <c r="M82" s="42"/>
      <c r="N82" s="43"/>
      <c r="O82" s="23"/>
      <c r="P82" s="708"/>
      <c r="Q82" s="672"/>
      <c r="R82" s="42"/>
      <c r="S82" s="672"/>
      <c r="T82" s="42"/>
      <c r="U82" s="745"/>
      <c r="V82" s="695"/>
      <c r="W82" s="23"/>
      <c r="X82" s="711"/>
      <c r="Y82" s="672"/>
      <c r="Z82" s="68"/>
      <c r="AA82" s="691"/>
      <c r="AB82" s="42"/>
      <c r="AC82" s="43"/>
      <c r="AD82" s="21"/>
      <c r="AE82" s="711"/>
      <c r="AF82" s="825"/>
      <c r="AG82" s="826"/>
      <c r="AH82" s="672"/>
      <c r="AI82" s="658"/>
      <c r="AJ82" s="68"/>
      <c r="AK82" s="691"/>
      <c r="AL82" s="42"/>
      <c r="AM82" s="43"/>
      <c r="AN82" s="20"/>
      <c r="AO82" s="708"/>
      <c r="AP82" s="813"/>
      <c r="AQ82" s="73"/>
      <c r="AR82" s="691"/>
      <c r="AS82" s="310"/>
      <c r="AT82" s="307"/>
      <c r="AU82" s="21"/>
      <c r="AV82" s="708"/>
      <c r="AW82" s="660"/>
      <c r="AX82" s="73"/>
      <c r="AY82" s="691"/>
      <c r="AZ82" s="42"/>
      <c r="BA82" s="43"/>
      <c r="BB82" s="20"/>
      <c r="BC82" s="660"/>
      <c r="BD82" s="691"/>
      <c r="BE82" s="42"/>
      <c r="BF82" s="43"/>
      <c r="BG82" s="20"/>
      <c r="BH82" s="268"/>
      <c r="BI82" s="845"/>
      <c r="BJ82" s="73"/>
      <c r="BK82" s="42"/>
      <c r="BL82" s="43"/>
      <c r="BM82" s="20"/>
      <c r="BN82" s="268"/>
      <c r="BO82" s="845"/>
      <c r="BP82" s="73"/>
      <c r="BQ82" s="845"/>
      <c r="BR82" s="73"/>
      <c r="BS82" s="42"/>
      <c r="BT82" s="43"/>
      <c r="BU82" s="20"/>
      <c r="BV82" s="711"/>
      <c r="BW82" s="658"/>
      <c r="BX82" s="73"/>
      <c r="BY82" s="42"/>
      <c r="BZ82" s="43"/>
      <c r="CA82" s="20"/>
      <c r="CB82" s="271"/>
      <c r="CC82" s="781"/>
      <c r="CD82" s="309"/>
      <c r="CE82" s="44"/>
      <c r="CF82" s="36"/>
      <c r="CG82" s="20"/>
      <c r="CH82" s="711"/>
      <c r="CI82" s="660"/>
      <c r="CJ82" s="695"/>
      <c r="CK82" s="44"/>
      <c r="CL82" s="307"/>
      <c r="CM82" s="20"/>
      <c r="CN82" s="270"/>
      <c r="CO82" s="490"/>
      <c r="CP82" s="40"/>
      <c r="CQ82" s="44"/>
      <c r="CR82" s="36"/>
      <c r="CS82" s="20"/>
      <c r="CT82" s="708"/>
      <c r="CU82" s="754"/>
      <c r="CV82" s="73"/>
      <c r="CW82" s="42"/>
      <c r="CX82" s="307"/>
      <c r="CY82" s="566"/>
      <c r="CZ82" s="672"/>
      <c r="DA82" s="20"/>
      <c r="DB82" s="711"/>
      <c r="DC82" s="740"/>
      <c r="DD82" s="40"/>
      <c r="DE82" s="691"/>
      <c r="DF82" s="44"/>
      <c r="DG82" s="307"/>
      <c r="DH82" s="20"/>
      <c r="DI82" s="708"/>
      <c r="DJ82" s="768"/>
      <c r="DK82" s="40"/>
      <c r="DL82" s="44"/>
      <c r="DM82" s="36"/>
      <c r="DN82" s="20"/>
      <c r="DO82" s="270"/>
      <c r="DP82" s="760"/>
      <c r="DQ82" s="40"/>
      <c r="DR82" s="44"/>
      <c r="DS82" s="36"/>
      <c r="DT82" s="20"/>
      <c r="DU82" s="711"/>
      <c r="DV82" s="935"/>
      <c r="DW82" s="745"/>
      <c r="DX82" s="691"/>
      <c r="DY82" s="44"/>
      <c r="DZ82" s="307"/>
      <c r="EA82" s="20"/>
      <c r="EB82" s="270"/>
      <c r="EC82" s="781"/>
      <c r="ED82" s="40"/>
      <c r="EE82" s="44"/>
      <c r="EF82" s="36"/>
      <c r="EG82" s="20"/>
      <c r="EH82" s="708"/>
      <c r="EI82" s="781"/>
      <c r="EJ82" s="40"/>
      <c r="EK82" s="44"/>
      <c r="EL82" s="36"/>
      <c r="EM82" s="20"/>
      <c r="EN82" s="268"/>
    </row>
    <row r="83" spans="1:144" ht="19.899999999999999" customHeight="1" thickTop="1" thickBot="1" x14ac:dyDescent="0.25">
      <c r="B83" s="972"/>
      <c r="C83" s="33">
        <f>C82+1</f>
        <v>45994</v>
      </c>
      <c r="D83" s="1"/>
      <c r="E83" s="23"/>
      <c r="F83" s="526"/>
      <c r="G83" s="804"/>
      <c r="H83" s="1"/>
      <c r="I83" s="708"/>
      <c r="J83" s="672"/>
      <c r="K83" s="745"/>
      <c r="L83" s="695"/>
      <c r="M83" s="49"/>
      <c r="N83" s="65"/>
      <c r="O83" s="23"/>
      <c r="P83" s="708"/>
      <c r="Q83" s="672"/>
      <c r="R83" s="49"/>
      <c r="S83" s="672"/>
      <c r="T83" s="49"/>
      <c r="U83" s="745"/>
      <c r="V83" s="695"/>
      <c r="W83" s="23"/>
      <c r="X83" s="711"/>
      <c r="Y83" s="672"/>
      <c r="Z83" s="68"/>
      <c r="AA83" s="691"/>
      <c r="AB83" s="49"/>
      <c r="AC83" s="65"/>
      <c r="AD83" s="21"/>
      <c r="AE83" s="711"/>
      <c r="AF83" s="825"/>
      <c r="AG83" s="826"/>
      <c r="AH83" s="672"/>
      <c r="AI83" s="658"/>
      <c r="AJ83" s="68"/>
      <c r="AK83" s="691"/>
      <c r="AL83" s="49"/>
      <c r="AM83" s="65"/>
      <c r="AN83" s="20"/>
      <c r="AO83" s="708"/>
      <c r="AP83" s="813"/>
      <c r="AQ83" s="68"/>
      <c r="AR83" s="691"/>
      <c r="AS83" s="195"/>
      <c r="AT83" s="307"/>
      <c r="AU83" s="21"/>
      <c r="AV83" s="708"/>
      <c r="AW83" s="660"/>
      <c r="AX83" s="63"/>
      <c r="AY83" s="691"/>
      <c r="AZ83" s="49"/>
      <c r="BA83" s="65"/>
      <c r="BB83" s="20"/>
      <c r="BC83" s="660"/>
      <c r="BD83" s="691"/>
      <c r="BE83" s="49"/>
      <c r="BF83" s="65"/>
      <c r="BG83" s="20"/>
      <c r="BH83" s="268"/>
      <c r="BI83" s="845"/>
      <c r="BJ83" s="68"/>
      <c r="BK83" s="49"/>
      <c r="BL83" s="65"/>
      <c r="BM83" s="20"/>
      <c r="BN83" s="268"/>
      <c r="BO83" s="845"/>
      <c r="BP83" s="68"/>
      <c r="BQ83" s="845"/>
      <c r="BR83" s="68"/>
      <c r="BS83" s="49"/>
      <c r="BT83" s="65"/>
      <c r="BU83" s="20"/>
      <c r="BV83" s="711"/>
      <c r="BW83" s="658"/>
      <c r="BX83" s="68"/>
      <c r="BY83" s="42"/>
      <c r="BZ83" s="65"/>
      <c r="CA83" s="20"/>
      <c r="CB83" s="271"/>
      <c r="CC83" s="781"/>
      <c r="CD83" s="309"/>
      <c r="CE83" s="44"/>
      <c r="CF83" s="36"/>
      <c r="CG83" s="20"/>
      <c r="CH83" s="711"/>
      <c r="CI83" s="660"/>
      <c r="CJ83" s="695"/>
      <c r="CK83" s="44"/>
      <c r="CL83" s="307"/>
      <c r="CM83" s="20"/>
      <c r="CN83" s="270"/>
      <c r="CO83" s="490"/>
      <c r="CP83" s="40"/>
      <c r="CQ83" s="44"/>
      <c r="CR83" s="36"/>
      <c r="CS83" s="20"/>
      <c r="CT83" s="708"/>
      <c r="CU83" s="754"/>
      <c r="CV83" s="73"/>
      <c r="CW83" s="42"/>
      <c r="CX83" s="307"/>
      <c r="CY83" s="566"/>
      <c r="CZ83" s="672"/>
      <c r="DA83" s="20"/>
      <c r="DB83" s="711"/>
      <c r="DC83" s="740"/>
      <c r="DD83" s="40"/>
      <c r="DE83" s="691"/>
      <c r="DF83" s="44"/>
      <c r="DG83" s="307"/>
      <c r="DH83" s="20"/>
      <c r="DI83" s="708"/>
      <c r="DJ83" s="768"/>
      <c r="DK83" s="40"/>
      <c r="DL83" s="44"/>
      <c r="DM83" s="36"/>
      <c r="DN83" s="20"/>
      <c r="DO83" s="270"/>
      <c r="DP83" s="760"/>
      <c r="DQ83" s="40"/>
      <c r="DR83" s="44"/>
      <c r="DS83" s="36"/>
      <c r="DT83" s="20"/>
      <c r="DU83" s="711"/>
      <c r="DV83" s="935"/>
      <c r="DW83" s="745"/>
      <c r="DX83" s="691"/>
      <c r="DY83" s="44"/>
      <c r="DZ83" s="307"/>
      <c r="EA83" s="20"/>
      <c r="EB83" s="270"/>
      <c r="EC83" s="781"/>
      <c r="ED83" s="40"/>
      <c r="EE83" s="44"/>
      <c r="EF83" s="36"/>
      <c r="EG83" s="20"/>
      <c r="EH83" s="708"/>
      <c r="EI83" s="781"/>
      <c r="EJ83" s="40"/>
      <c r="EK83" s="44"/>
      <c r="EL83" s="36"/>
      <c r="EM83" s="20"/>
      <c r="EN83" s="268"/>
    </row>
    <row r="84" spans="1:144" ht="19.899999999999999" customHeight="1" thickTop="1" thickBot="1" x14ac:dyDescent="0.25">
      <c r="B84" s="972"/>
      <c r="C84" s="33">
        <f>C83+1</f>
        <v>45995</v>
      </c>
      <c r="D84" s="1"/>
      <c r="E84" s="210" t="s">
        <v>91</v>
      </c>
      <c r="F84" s="585"/>
      <c r="G84" s="804"/>
      <c r="H84" s="1"/>
      <c r="I84" s="708"/>
      <c r="J84" s="672"/>
      <c r="K84" s="745"/>
      <c r="L84" s="695"/>
      <c r="M84" s="66" t="s">
        <v>80</v>
      </c>
      <c r="N84" s="36"/>
      <c r="O84" s="23"/>
      <c r="P84" s="708"/>
      <c r="Q84" s="672"/>
      <c r="R84" s="66" t="s">
        <v>80</v>
      </c>
      <c r="S84" s="672"/>
      <c r="T84" s="42"/>
      <c r="U84" s="745"/>
      <c r="V84" s="695"/>
      <c r="W84" s="23"/>
      <c r="X84" s="711"/>
      <c r="Y84" s="672"/>
      <c r="Z84" s="68"/>
      <c r="AA84" s="691"/>
      <c r="AB84" s="42"/>
      <c r="AC84" s="307"/>
      <c r="AD84" s="21"/>
      <c r="AE84" s="711"/>
      <c r="AF84" s="825"/>
      <c r="AG84" s="826"/>
      <c r="AH84" s="672"/>
      <c r="AI84" s="658"/>
      <c r="AJ84" s="68"/>
      <c r="AK84" s="691"/>
      <c r="AL84" s="261" t="s">
        <v>61</v>
      </c>
      <c r="AM84" s="36"/>
      <c r="AN84" s="20"/>
      <c r="AO84" s="708"/>
      <c r="AP84" s="813"/>
      <c r="AQ84" s="309"/>
      <c r="AR84" s="691"/>
      <c r="AS84" s="617" t="s">
        <v>61</v>
      </c>
      <c r="AT84" s="307"/>
      <c r="AU84" s="21"/>
      <c r="AV84" s="708"/>
      <c r="AW84" s="660"/>
      <c r="AX84" s="63"/>
      <c r="AY84" s="691"/>
      <c r="AZ84" s="208" t="s">
        <v>80</v>
      </c>
      <c r="BA84" s="36"/>
      <c r="BB84" s="20"/>
      <c r="BC84" s="660"/>
      <c r="BD84" s="691"/>
      <c r="BE84" s="208" t="s">
        <v>80</v>
      </c>
      <c r="BF84" s="307"/>
      <c r="BG84" s="20"/>
      <c r="BH84" s="268"/>
      <c r="BI84" s="845"/>
      <c r="BJ84" s="40"/>
      <c r="BK84" s="44"/>
      <c r="BL84" s="36"/>
      <c r="BM84" s="20"/>
      <c r="BN84" s="268"/>
      <c r="BO84" s="845"/>
      <c r="BP84" s="309"/>
      <c r="BQ84" s="845"/>
      <c r="BR84" s="309"/>
      <c r="BS84" s="310"/>
      <c r="BT84" s="307"/>
      <c r="BU84" s="20"/>
      <c r="BV84" s="711"/>
      <c r="BW84" s="658"/>
      <c r="BX84" s="309"/>
      <c r="BY84" s="116" t="s">
        <v>61</v>
      </c>
      <c r="BZ84" s="36"/>
      <c r="CA84" s="20"/>
      <c r="CB84" s="271"/>
      <c r="CC84" s="781"/>
      <c r="CD84" s="309"/>
      <c r="CE84" s="44"/>
      <c r="CF84" s="36"/>
      <c r="CG84" s="20"/>
      <c r="CH84" s="711"/>
      <c r="CI84" s="660"/>
      <c r="CJ84" s="695"/>
      <c r="CK84" s="310"/>
      <c r="CL84" s="307"/>
      <c r="CM84" s="20"/>
      <c r="CN84" s="270"/>
      <c r="CO84" s="490"/>
      <c r="CP84" s="40"/>
      <c r="CQ84" s="44"/>
      <c r="CR84" s="36"/>
      <c r="CS84" s="20"/>
      <c r="CT84" s="708"/>
      <c r="CU84" s="754"/>
      <c r="CV84" s="73"/>
      <c r="CW84" s="42"/>
      <c r="CX84" s="307"/>
      <c r="CY84" s="566"/>
      <c r="CZ84" s="672"/>
      <c r="DA84" s="20"/>
      <c r="DB84" s="711"/>
      <c r="DC84" s="740"/>
      <c r="DD84" s="40"/>
      <c r="DE84" s="691"/>
      <c r="DF84" s="310"/>
      <c r="DG84" s="307"/>
      <c r="DH84" s="20"/>
      <c r="DI84" s="708"/>
      <c r="DJ84" s="768"/>
      <c r="DK84" s="40"/>
      <c r="DL84" s="44"/>
      <c r="DM84" s="36"/>
      <c r="DN84" s="20"/>
      <c r="DO84" s="270"/>
      <c r="DP84" s="760"/>
      <c r="DQ84" s="40"/>
      <c r="DR84" s="44"/>
      <c r="DS84" s="36"/>
      <c r="DT84" s="20"/>
      <c r="DU84" s="711"/>
      <c r="DV84" s="935"/>
      <c r="DW84" s="745"/>
      <c r="DX84" s="691"/>
      <c r="DY84" s="310"/>
      <c r="DZ84" s="307"/>
      <c r="EA84" s="20"/>
      <c r="EB84" s="270"/>
      <c r="EC84" s="781"/>
      <c r="ED84" s="40"/>
      <c r="EE84" s="44"/>
      <c r="EF84" s="36"/>
      <c r="EG84" s="20"/>
      <c r="EH84" s="708"/>
      <c r="EI84" s="781"/>
      <c r="EJ84" s="40"/>
      <c r="EK84" s="44"/>
      <c r="EL84" s="36"/>
      <c r="EM84" s="20"/>
      <c r="EN84" s="268"/>
    </row>
    <row r="85" spans="1:144" ht="19.899999999999999" customHeight="1" thickTop="1" thickBot="1" x14ac:dyDescent="0.25">
      <c r="B85" s="972"/>
      <c r="C85" s="34">
        <f>C84+1</f>
        <v>45996</v>
      </c>
      <c r="D85" s="1"/>
      <c r="E85" s="23"/>
      <c r="F85" s="526"/>
      <c r="G85" s="804"/>
      <c r="H85" s="1"/>
      <c r="I85" s="709"/>
      <c r="J85" s="672"/>
      <c r="K85" s="746"/>
      <c r="L85" s="696"/>
      <c r="M85" s="47"/>
      <c r="N85" s="48"/>
      <c r="O85" s="23"/>
      <c r="P85" s="709"/>
      <c r="Q85" s="672"/>
      <c r="R85" s="312"/>
      <c r="S85" s="672"/>
      <c r="T85" s="312"/>
      <c r="U85" s="746"/>
      <c r="V85" s="696"/>
      <c r="W85" s="23"/>
      <c r="X85" s="712"/>
      <c r="Y85" s="672"/>
      <c r="Z85" s="69"/>
      <c r="AA85" s="692"/>
      <c r="AB85" s="319"/>
      <c r="AC85" s="48"/>
      <c r="AD85" s="21"/>
      <c r="AE85" s="712"/>
      <c r="AF85" s="827"/>
      <c r="AG85" s="828"/>
      <c r="AH85" s="672"/>
      <c r="AI85" s="658"/>
      <c r="AJ85" s="69"/>
      <c r="AK85" s="692"/>
      <c r="AL85" s="88" t="s">
        <v>48</v>
      </c>
      <c r="AM85" s="48"/>
      <c r="AN85" s="20"/>
      <c r="AO85" s="709"/>
      <c r="AP85" s="813"/>
      <c r="AQ85" s="67"/>
      <c r="AR85" s="692"/>
      <c r="AS85" s="313"/>
      <c r="AT85" s="315"/>
      <c r="AU85" s="21"/>
      <c r="AV85" s="709"/>
      <c r="AW85" s="660"/>
      <c r="AX85" s="67"/>
      <c r="AY85" s="692"/>
      <c r="AZ85" s="47"/>
      <c r="BA85" s="48"/>
      <c r="BB85" s="20"/>
      <c r="BC85" s="660"/>
      <c r="BD85" s="692"/>
      <c r="BE85" s="312"/>
      <c r="BF85" s="48"/>
      <c r="BG85" s="20"/>
      <c r="BH85" s="268"/>
      <c r="BI85" s="845"/>
      <c r="BJ85" s="67"/>
      <c r="BK85" s="47"/>
      <c r="BL85" s="48"/>
      <c r="BM85" s="20"/>
      <c r="BN85" s="268"/>
      <c r="BO85" s="845"/>
      <c r="BP85" s="67"/>
      <c r="BQ85" s="845"/>
      <c r="BR85" s="67"/>
      <c r="BS85" s="312"/>
      <c r="BT85" s="48"/>
      <c r="BU85" s="20"/>
      <c r="BV85" s="712"/>
      <c r="BW85" s="658"/>
      <c r="BX85" s="67"/>
      <c r="BY85" s="88" t="s">
        <v>48</v>
      </c>
      <c r="BZ85" s="48"/>
      <c r="CA85" s="20"/>
      <c r="CB85" s="271"/>
      <c r="CC85" s="782"/>
      <c r="CD85" s="311"/>
      <c r="CE85" s="59"/>
      <c r="CF85" s="64"/>
      <c r="CG85" s="20"/>
      <c r="CH85" s="712"/>
      <c r="CI85" s="660"/>
      <c r="CJ85" s="696"/>
      <c r="CK85" s="59"/>
      <c r="CL85" s="315"/>
      <c r="CM85" s="20"/>
      <c r="CN85" s="270"/>
      <c r="CO85" s="490"/>
      <c r="CP85" s="45"/>
      <c r="CQ85" s="59"/>
      <c r="CR85" s="64"/>
      <c r="CS85" s="20"/>
      <c r="CT85" s="709"/>
      <c r="CU85" s="754"/>
      <c r="CV85" s="198"/>
      <c r="CW85" s="202" t="s">
        <v>125</v>
      </c>
      <c r="CX85" s="315"/>
      <c r="CY85" s="566"/>
      <c r="CZ85" s="673"/>
      <c r="DA85" s="20"/>
      <c r="DB85" s="712"/>
      <c r="DC85" s="1102"/>
      <c r="DD85" s="45"/>
      <c r="DE85" s="692"/>
      <c r="DF85" s="59"/>
      <c r="DG85" s="315"/>
      <c r="DH85" s="20"/>
      <c r="DI85" s="709"/>
      <c r="DJ85" s="768"/>
      <c r="DK85" s="45"/>
      <c r="DL85" s="59"/>
      <c r="DM85" s="64"/>
      <c r="DN85" s="20"/>
      <c r="DO85" s="270"/>
      <c r="DP85" s="760"/>
      <c r="DQ85" s="45"/>
      <c r="DR85" s="59"/>
      <c r="DS85" s="64"/>
      <c r="DT85" s="20"/>
      <c r="DU85" s="712"/>
      <c r="DV85" s="935"/>
      <c r="DW85" s="746"/>
      <c r="DX85" s="692"/>
      <c r="DY85" s="59"/>
      <c r="DZ85" s="315"/>
      <c r="EA85" s="20"/>
      <c r="EB85" s="270"/>
      <c r="EC85" s="781"/>
      <c r="ED85" s="45"/>
      <c r="EE85" s="59"/>
      <c r="EF85" s="64"/>
      <c r="EG85" s="20"/>
      <c r="EH85" s="709"/>
      <c r="EI85" s="781"/>
      <c r="EJ85" s="45"/>
      <c r="EK85" s="59"/>
      <c r="EL85" s="64"/>
      <c r="EM85" s="20"/>
      <c r="EN85" s="268"/>
    </row>
    <row r="86" spans="1:144" ht="33" customHeight="1" thickTop="1" thickBot="1" x14ac:dyDescent="0.25">
      <c r="B86" s="972">
        <f>B81+1</f>
        <v>50</v>
      </c>
      <c r="C86" s="89">
        <f>C81+7</f>
        <v>45999</v>
      </c>
      <c r="D86" s="4"/>
      <c r="E86" s="24"/>
      <c r="F86" s="525"/>
      <c r="G86" s="804"/>
      <c r="H86" s="4"/>
      <c r="I86" s="707" t="s">
        <v>99</v>
      </c>
      <c r="J86" s="672"/>
      <c r="K86" s="68"/>
      <c r="L86" s="694" t="s">
        <v>114</v>
      </c>
      <c r="M86" s="56"/>
      <c r="N86" s="57"/>
      <c r="O86" s="24"/>
      <c r="P86" s="707" t="s">
        <v>99</v>
      </c>
      <c r="Q86" s="672"/>
      <c r="R86" s="56"/>
      <c r="S86" s="672"/>
      <c r="T86" s="56"/>
      <c r="U86" s="68"/>
      <c r="V86" s="694" t="s">
        <v>114</v>
      </c>
      <c r="W86" s="24"/>
      <c r="X86" s="707" t="s">
        <v>44</v>
      </c>
      <c r="Y86" s="673"/>
      <c r="Z86" s="889">
        <v>1</v>
      </c>
      <c r="AA86" s="690" t="s">
        <v>108</v>
      </c>
      <c r="AB86" s="131" t="s">
        <v>48</v>
      </c>
      <c r="AC86" s="57"/>
      <c r="AD86" s="21"/>
      <c r="AE86" s="707" t="s">
        <v>44</v>
      </c>
      <c r="AF86" s="658" t="s">
        <v>352</v>
      </c>
      <c r="AG86" s="658" t="s">
        <v>353</v>
      </c>
      <c r="AH86" s="673"/>
      <c r="AI86" s="658"/>
      <c r="AJ86" s="889">
        <v>1</v>
      </c>
      <c r="AK86" s="690" t="s">
        <v>108</v>
      </c>
      <c r="AL86" s="131" t="s">
        <v>48</v>
      </c>
      <c r="AM86" s="57"/>
      <c r="AN86" s="20"/>
      <c r="AO86" s="268"/>
      <c r="AP86" s="813"/>
      <c r="AQ86" s="314"/>
      <c r="AR86" s="690" t="s">
        <v>109</v>
      </c>
      <c r="AS86" s="308"/>
      <c r="AT86" s="306"/>
      <c r="AU86" s="21"/>
      <c r="AV86" s="268"/>
      <c r="AW86" s="660"/>
      <c r="AX86" s="132"/>
      <c r="AY86" s="690" t="s">
        <v>109</v>
      </c>
      <c r="AZ86" s="56"/>
      <c r="BA86" s="57"/>
      <c r="BB86" s="20"/>
      <c r="BC86" s="660"/>
      <c r="BD86" s="690" t="s">
        <v>109</v>
      </c>
      <c r="BE86" s="56"/>
      <c r="BF86" s="57"/>
      <c r="BG86" s="20"/>
      <c r="BH86" s="268"/>
      <c r="BI86" s="845"/>
      <c r="BJ86" s="61"/>
      <c r="BK86" s="39"/>
      <c r="BL86" s="35"/>
      <c r="BM86" s="20"/>
      <c r="BN86" s="268"/>
      <c r="BO86" s="845"/>
      <c r="BP86" s="314"/>
      <c r="BQ86" s="845"/>
      <c r="BR86" s="314"/>
      <c r="BS86" s="308"/>
      <c r="BT86" s="306"/>
      <c r="BU86" s="20"/>
      <c r="BV86" s="707" t="s">
        <v>44</v>
      </c>
      <c r="BW86" s="740" t="s">
        <v>110</v>
      </c>
      <c r="BX86" s="900" t="s">
        <v>280</v>
      </c>
      <c r="BY86" s="56"/>
      <c r="BZ86" s="57"/>
      <c r="CA86" s="20"/>
      <c r="CB86" s="710" t="s">
        <v>123</v>
      </c>
      <c r="CC86" s="813" t="s">
        <v>111</v>
      </c>
      <c r="CD86" s="900" t="s">
        <v>278</v>
      </c>
      <c r="CE86" s="39"/>
      <c r="CF86" s="35"/>
      <c r="CG86" s="20"/>
      <c r="CH86" s="268"/>
      <c r="CI86" s="660"/>
      <c r="CJ86" s="694" t="s">
        <v>87</v>
      </c>
      <c r="CK86" s="308"/>
      <c r="CL86" s="35"/>
      <c r="CM86" s="20"/>
      <c r="CN86" s="270"/>
      <c r="CO86" s="490"/>
      <c r="CP86" s="61"/>
      <c r="CQ86" s="39"/>
      <c r="CR86" s="35"/>
      <c r="CS86" s="20"/>
      <c r="CT86" s="707" t="s">
        <v>69</v>
      </c>
      <c r="CU86" s="1109" t="s">
        <v>26</v>
      </c>
      <c r="CV86" s="37"/>
      <c r="CW86" s="58"/>
      <c r="CX86" s="201"/>
      <c r="CY86" s="567"/>
      <c r="CZ86" s="1109" t="s">
        <v>26</v>
      </c>
      <c r="DA86" s="20"/>
      <c r="DB86" s="710" t="s">
        <v>323</v>
      </c>
      <c r="DC86" s="1103" t="s">
        <v>40</v>
      </c>
      <c r="DD86" s="853">
        <v>3</v>
      </c>
      <c r="DE86" s="690" t="s">
        <v>76</v>
      </c>
      <c r="DF86" s="39"/>
      <c r="DG86" s="35"/>
      <c r="DH86" s="20"/>
      <c r="DI86" s="270"/>
      <c r="DJ86" s="768"/>
      <c r="DK86" s="61"/>
      <c r="DL86" s="39"/>
      <c r="DM86" s="35"/>
      <c r="DN86" s="20"/>
      <c r="DO86" s="270"/>
      <c r="DP86" s="760"/>
      <c r="DQ86" s="61"/>
      <c r="DR86" s="39"/>
      <c r="DS86" s="35"/>
      <c r="DT86" s="20"/>
      <c r="DU86" s="710" t="s">
        <v>323</v>
      </c>
      <c r="DV86" s="740" t="s">
        <v>112</v>
      </c>
      <c r="DW86" s="61"/>
      <c r="DX86" s="690" t="s">
        <v>76</v>
      </c>
      <c r="DY86" s="39"/>
      <c r="DZ86" s="306"/>
      <c r="EA86" s="20"/>
      <c r="EB86" s="270"/>
      <c r="EC86" s="781"/>
      <c r="ED86" s="61"/>
      <c r="EE86" s="39"/>
      <c r="EF86" s="35"/>
      <c r="EG86" s="20"/>
      <c r="EH86" s="270"/>
      <c r="EI86" s="781"/>
      <c r="EJ86" s="61"/>
      <c r="EK86" s="39"/>
      <c r="EL86" s="35"/>
      <c r="EM86" s="20"/>
      <c r="EN86" s="268"/>
    </row>
    <row r="87" spans="1:144" ht="17.25" customHeight="1" thickTop="1" thickBot="1" x14ac:dyDescent="0.25">
      <c r="B87" s="972"/>
      <c r="C87" s="33">
        <f>C86+1</f>
        <v>46000</v>
      </c>
      <c r="D87" s="1"/>
      <c r="E87" s="23"/>
      <c r="F87" s="526"/>
      <c r="G87" s="804"/>
      <c r="H87" s="1"/>
      <c r="I87" s="708"/>
      <c r="J87" s="672"/>
      <c r="K87" s="68"/>
      <c r="L87" s="695"/>
      <c r="M87" s="42"/>
      <c r="N87" s="43"/>
      <c r="O87" s="23"/>
      <c r="P87" s="708"/>
      <c r="Q87" s="672"/>
      <c r="R87" s="42"/>
      <c r="S87" s="672"/>
      <c r="T87" s="42"/>
      <c r="U87" s="68"/>
      <c r="V87" s="695"/>
      <c r="W87" s="23"/>
      <c r="X87" s="708"/>
      <c r="Y87" s="830" t="s">
        <v>355</v>
      </c>
      <c r="Z87" s="890"/>
      <c r="AA87" s="691"/>
      <c r="AB87" s="42"/>
      <c r="AC87" s="43"/>
      <c r="AD87" s="21"/>
      <c r="AE87" s="708"/>
      <c r="AF87" s="658"/>
      <c r="AG87" s="658"/>
      <c r="AH87" s="830" t="s">
        <v>354</v>
      </c>
      <c r="AI87" s="830" t="s">
        <v>355</v>
      </c>
      <c r="AJ87" s="890"/>
      <c r="AK87" s="691"/>
      <c r="AL87" s="42"/>
      <c r="AM87" s="43"/>
      <c r="AN87" s="20"/>
      <c r="AO87" s="268"/>
      <c r="AP87" s="813"/>
      <c r="AQ87" s="147"/>
      <c r="AR87" s="691"/>
      <c r="AS87" s="310"/>
      <c r="AT87" s="307"/>
      <c r="AU87" s="21"/>
      <c r="AV87" s="268"/>
      <c r="AW87" s="660"/>
      <c r="AX87" s="73"/>
      <c r="AY87" s="691"/>
      <c r="AZ87" s="42"/>
      <c r="BA87" s="43"/>
      <c r="BB87" s="20"/>
      <c r="BC87" s="660"/>
      <c r="BD87" s="691"/>
      <c r="BE87" s="42"/>
      <c r="BF87" s="43"/>
      <c r="BG87" s="20"/>
      <c r="BH87" s="268"/>
      <c r="BI87" s="845"/>
      <c r="BJ87" s="73"/>
      <c r="BK87" s="42"/>
      <c r="BL87" s="43"/>
      <c r="BM87" s="20"/>
      <c r="BN87" s="268"/>
      <c r="BO87" s="845"/>
      <c r="BP87" s="73"/>
      <c r="BQ87" s="845"/>
      <c r="BR87" s="73"/>
      <c r="BS87" s="42"/>
      <c r="BT87" s="43"/>
      <c r="BU87" s="20"/>
      <c r="BV87" s="708"/>
      <c r="BW87" s="740"/>
      <c r="BX87" s="901"/>
      <c r="BY87" s="42"/>
      <c r="BZ87" s="43"/>
      <c r="CA87" s="20"/>
      <c r="CB87" s="711"/>
      <c r="CC87" s="813"/>
      <c r="CD87" s="901"/>
      <c r="CE87" s="44"/>
      <c r="CF87" s="36"/>
      <c r="CG87" s="20"/>
      <c r="CH87" s="268"/>
      <c r="CI87" s="660"/>
      <c r="CJ87" s="695"/>
      <c r="CK87" s="310"/>
      <c r="CL87" s="36"/>
      <c r="CM87" s="20"/>
      <c r="CN87" s="270"/>
      <c r="CO87" s="490"/>
      <c r="CP87" s="40"/>
      <c r="CQ87" s="44"/>
      <c r="CR87" s="36"/>
      <c r="CS87" s="20"/>
      <c r="CT87" s="708"/>
      <c r="CU87" s="720"/>
      <c r="CV87" s="73"/>
      <c r="CW87" s="42"/>
      <c r="CX87" s="43"/>
      <c r="CY87" s="567"/>
      <c r="CZ87" s="720"/>
      <c r="DA87" s="20"/>
      <c r="DB87" s="711"/>
      <c r="DC87" s="848"/>
      <c r="DD87" s="850"/>
      <c r="DE87" s="691"/>
      <c r="DF87" s="44"/>
      <c r="DG87" s="36"/>
      <c r="DH87" s="20"/>
      <c r="DI87" s="270"/>
      <c r="DJ87" s="768"/>
      <c r="DK87" s="40"/>
      <c r="DL87" s="44"/>
      <c r="DM87" s="36"/>
      <c r="DN87" s="20"/>
      <c r="DO87" s="270"/>
      <c r="DP87" s="760"/>
      <c r="DQ87" s="40"/>
      <c r="DR87" s="44"/>
      <c r="DS87" s="36"/>
      <c r="DT87" s="20"/>
      <c r="DU87" s="711"/>
      <c r="DV87" s="740"/>
      <c r="DW87" s="40"/>
      <c r="DX87" s="691"/>
      <c r="DY87" s="44"/>
      <c r="DZ87" s="307"/>
      <c r="EA87" s="20"/>
      <c r="EB87" s="270"/>
      <c r="EC87" s="781"/>
      <c r="ED87" s="40"/>
      <c r="EE87" s="44"/>
      <c r="EF87" s="36"/>
      <c r="EG87" s="20"/>
      <c r="EH87" s="270"/>
      <c r="EI87" s="781"/>
      <c r="EJ87" s="40"/>
      <c r="EK87" s="44"/>
      <c r="EL87" s="36"/>
      <c r="EM87" s="20"/>
      <c r="EN87" s="268"/>
    </row>
    <row r="88" spans="1:144" ht="17.25" customHeight="1" thickTop="1" thickBot="1" x14ac:dyDescent="0.25">
      <c r="B88" s="972"/>
      <c r="C88" s="33">
        <f>C87+1</f>
        <v>46001</v>
      </c>
      <c r="D88" s="1"/>
      <c r="E88" s="23"/>
      <c r="F88" s="526"/>
      <c r="G88" s="804"/>
      <c r="H88" s="1"/>
      <c r="I88" s="708"/>
      <c r="J88" s="672"/>
      <c r="K88" s="68"/>
      <c r="L88" s="695"/>
      <c r="M88" s="49"/>
      <c r="N88" s="65"/>
      <c r="O88" s="23"/>
      <c r="P88" s="708"/>
      <c r="Q88" s="672"/>
      <c r="R88" s="49"/>
      <c r="S88" s="672"/>
      <c r="T88" s="49"/>
      <c r="U88" s="68"/>
      <c r="V88" s="695"/>
      <c r="W88" s="23"/>
      <c r="X88" s="708"/>
      <c r="Y88" s="830"/>
      <c r="Z88" s="890"/>
      <c r="AA88" s="691"/>
      <c r="AB88" s="49"/>
      <c r="AC88" s="65"/>
      <c r="AD88" s="21"/>
      <c r="AE88" s="708"/>
      <c r="AF88" s="658"/>
      <c r="AG88" s="658"/>
      <c r="AH88" s="830"/>
      <c r="AI88" s="830"/>
      <c r="AJ88" s="890"/>
      <c r="AK88" s="691"/>
      <c r="AL88" s="49"/>
      <c r="AM88" s="65"/>
      <c r="AN88" s="20"/>
      <c r="AO88" s="268"/>
      <c r="AP88" s="813"/>
      <c r="AQ88" s="147"/>
      <c r="AR88" s="691"/>
      <c r="AS88" s="310"/>
      <c r="AT88" s="307"/>
      <c r="AU88" s="21"/>
      <c r="AV88" s="268"/>
      <c r="AW88" s="660"/>
      <c r="AX88" s="68"/>
      <c r="AY88" s="691"/>
      <c r="AZ88" s="49"/>
      <c r="BA88" s="65"/>
      <c r="BB88" s="20"/>
      <c r="BC88" s="660"/>
      <c r="BD88" s="691"/>
      <c r="BE88" s="49"/>
      <c r="BF88" s="65"/>
      <c r="BG88" s="20"/>
      <c r="BH88" s="268"/>
      <c r="BI88" s="845"/>
      <c r="BJ88" s="68"/>
      <c r="BK88" s="49"/>
      <c r="BL88" s="65"/>
      <c r="BM88" s="20"/>
      <c r="BN88" s="268"/>
      <c r="BO88" s="845"/>
      <c r="BP88" s="68"/>
      <c r="BQ88" s="845"/>
      <c r="BR88" s="68"/>
      <c r="BS88" s="49"/>
      <c r="BT88" s="65"/>
      <c r="BU88" s="20"/>
      <c r="BV88" s="708"/>
      <c r="BW88" s="740"/>
      <c r="BX88" s="901"/>
      <c r="BY88" s="49"/>
      <c r="BZ88" s="65"/>
      <c r="CA88" s="20"/>
      <c r="CB88" s="711"/>
      <c r="CC88" s="813"/>
      <c r="CD88" s="901"/>
      <c r="CE88" s="44"/>
      <c r="CF88" s="36"/>
      <c r="CG88" s="20"/>
      <c r="CH88" s="268"/>
      <c r="CI88" s="660"/>
      <c r="CJ88" s="695"/>
      <c r="CK88" s="310"/>
      <c r="CL88" s="36"/>
      <c r="CM88" s="20"/>
      <c r="CN88" s="270"/>
      <c r="CO88" s="490"/>
      <c r="CP88" s="40"/>
      <c r="CQ88" s="44"/>
      <c r="CR88" s="36"/>
      <c r="CS88" s="20"/>
      <c r="CT88" s="708"/>
      <c r="CU88" s="720"/>
      <c r="CV88" s="73"/>
      <c r="CW88" s="42"/>
      <c r="CX88" s="43"/>
      <c r="CY88" s="567"/>
      <c r="CZ88" s="720"/>
      <c r="DA88" s="20"/>
      <c r="DB88" s="711"/>
      <c r="DC88" s="1104"/>
      <c r="DD88" s="824"/>
      <c r="DE88" s="691"/>
      <c r="DF88" s="44"/>
      <c r="DG88" s="36"/>
      <c r="DH88" s="20"/>
      <c r="DI88" s="270"/>
      <c r="DJ88" s="768"/>
      <c r="DK88" s="40"/>
      <c r="DL88" s="44"/>
      <c r="DM88" s="36"/>
      <c r="DN88" s="20"/>
      <c r="DO88" s="270"/>
      <c r="DP88" s="760"/>
      <c r="DQ88" s="40"/>
      <c r="DR88" s="44"/>
      <c r="DS88" s="36"/>
      <c r="DT88" s="20"/>
      <c r="DU88" s="711"/>
      <c r="DV88" s="740"/>
      <c r="DW88" s="40"/>
      <c r="DX88" s="691"/>
      <c r="DY88" s="44"/>
      <c r="DZ88" s="307"/>
      <c r="EA88" s="20"/>
      <c r="EB88" s="270"/>
      <c r="EC88" s="781"/>
      <c r="ED88" s="40"/>
      <c r="EE88" s="44"/>
      <c r="EF88" s="36"/>
      <c r="EG88" s="20"/>
      <c r="EH88" s="270"/>
      <c r="EI88" s="781"/>
      <c r="EJ88" s="40"/>
      <c r="EK88" s="44"/>
      <c r="EL88" s="36"/>
      <c r="EM88" s="20"/>
      <c r="EN88" s="268"/>
    </row>
    <row r="89" spans="1:144" ht="48.75" customHeight="1" thickTop="1" thickBot="1" x14ac:dyDescent="0.25">
      <c r="B89" s="972"/>
      <c r="C89" s="33">
        <f>C88+1</f>
        <v>46002</v>
      </c>
      <c r="D89" s="1"/>
      <c r="E89" s="22" t="s">
        <v>402</v>
      </c>
      <c r="G89" s="804"/>
      <c r="H89" s="1"/>
      <c r="I89" s="708"/>
      <c r="J89" s="672"/>
      <c r="K89" s="68"/>
      <c r="L89" s="695"/>
      <c r="M89" s="66" t="s">
        <v>80</v>
      </c>
      <c r="N89" s="36"/>
      <c r="O89" s="23"/>
      <c r="P89" s="708"/>
      <c r="Q89" s="672"/>
      <c r="R89" s="66" t="s">
        <v>80</v>
      </c>
      <c r="S89" s="672"/>
      <c r="T89" s="42"/>
      <c r="U89" s="68"/>
      <c r="V89" s="695"/>
      <c r="W89" s="23"/>
      <c r="X89" s="708"/>
      <c r="Y89" s="830"/>
      <c r="Z89" s="890"/>
      <c r="AA89" s="691"/>
      <c r="AB89" s="49"/>
      <c r="AC89" s="307"/>
      <c r="AD89" s="21"/>
      <c r="AE89" s="708"/>
      <c r="AF89" s="658"/>
      <c r="AG89" s="658"/>
      <c r="AH89" s="830"/>
      <c r="AI89" s="830"/>
      <c r="AJ89" s="890"/>
      <c r="AK89" s="691"/>
      <c r="AL89" s="116" t="s">
        <v>61</v>
      </c>
      <c r="AM89" s="36"/>
      <c r="AN89" s="20"/>
      <c r="AO89" s="268"/>
      <c r="AP89" s="813"/>
      <c r="AQ89" s="147"/>
      <c r="AR89" s="691"/>
      <c r="AS89" s="194" t="s">
        <v>80</v>
      </c>
      <c r="AT89" s="307"/>
      <c r="AU89" s="21"/>
      <c r="AV89" s="268"/>
      <c r="AW89" s="660"/>
      <c r="AX89" s="40"/>
      <c r="AY89" s="691"/>
      <c r="AZ89" s="194" t="s">
        <v>80</v>
      </c>
      <c r="BA89" s="36"/>
      <c r="BB89" s="20"/>
      <c r="BC89" s="660"/>
      <c r="BD89" s="691"/>
      <c r="BE89" s="194" t="s">
        <v>80</v>
      </c>
      <c r="BF89" s="307"/>
      <c r="BG89" s="20"/>
      <c r="BH89" s="268"/>
      <c r="BI89" s="845"/>
      <c r="BJ89" s="40"/>
      <c r="BK89" s="44"/>
      <c r="BL89" s="36"/>
      <c r="BM89" s="20"/>
      <c r="BN89" s="268"/>
      <c r="BO89" s="845"/>
      <c r="BP89" s="309"/>
      <c r="BQ89" s="845"/>
      <c r="BR89" s="309"/>
      <c r="BS89" s="310"/>
      <c r="BT89" s="307"/>
      <c r="BU89" s="20"/>
      <c r="BV89" s="708"/>
      <c r="BW89" s="740"/>
      <c r="BX89" s="901"/>
      <c r="BY89" s="42"/>
      <c r="BZ89" s="36"/>
      <c r="CA89" s="20"/>
      <c r="CB89" s="711"/>
      <c r="CC89" s="813"/>
      <c r="CD89" s="901"/>
      <c r="CE89" s="44"/>
      <c r="CF89" s="36"/>
      <c r="CG89" s="20"/>
      <c r="CH89" s="268"/>
      <c r="CI89" s="660"/>
      <c r="CJ89" s="695"/>
      <c r="CK89" s="621" t="s">
        <v>80</v>
      </c>
      <c r="CL89" s="36"/>
      <c r="CM89" s="20"/>
      <c r="CN89" s="270"/>
      <c r="CO89" s="490"/>
      <c r="CP89" s="40"/>
      <c r="CQ89" s="44"/>
      <c r="CR89" s="36"/>
      <c r="CS89" s="20"/>
      <c r="CT89" s="708"/>
      <c r="CU89" s="720"/>
      <c r="CV89" s="73"/>
      <c r="CW89" s="42"/>
      <c r="CX89" s="43"/>
      <c r="CY89" s="567"/>
      <c r="CZ89" s="720"/>
      <c r="DA89" s="20"/>
      <c r="DB89" s="711"/>
      <c r="DC89" s="873" t="s">
        <v>106</v>
      </c>
      <c r="DD89" s="309"/>
      <c r="DE89" s="691"/>
      <c r="DF89" s="66" t="s">
        <v>80</v>
      </c>
      <c r="DG89" s="36"/>
      <c r="DH89" s="20"/>
      <c r="DI89" s="270"/>
      <c r="DJ89" s="768"/>
      <c r="DK89" s="40"/>
      <c r="DL89" s="44"/>
      <c r="DM89" s="36"/>
      <c r="DN89" s="20"/>
      <c r="DO89" s="270"/>
      <c r="DP89" s="760"/>
      <c r="DQ89" s="40"/>
      <c r="DR89" s="44"/>
      <c r="DS89" s="36"/>
      <c r="DT89" s="20"/>
      <c r="DU89" s="711"/>
      <c r="DV89" s="740"/>
      <c r="DW89" s="40"/>
      <c r="DX89" s="691"/>
      <c r="DY89" s="66" t="s">
        <v>80</v>
      </c>
      <c r="DZ89" s="307"/>
      <c r="EA89" s="20"/>
      <c r="EB89" s="270"/>
      <c r="EC89" s="781"/>
      <c r="ED89" s="40"/>
      <c r="EE89" s="44"/>
      <c r="EF89" s="36"/>
      <c r="EG89" s="20"/>
      <c r="EH89" s="270"/>
      <c r="EI89" s="781"/>
      <c r="EJ89" s="40"/>
      <c r="EK89" s="44"/>
      <c r="EL89" s="36"/>
      <c r="EM89" s="20"/>
      <c r="EN89" s="268"/>
    </row>
    <row r="90" spans="1:144" ht="17.25" customHeight="1" thickTop="1" thickBot="1" x14ac:dyDescent="0.25">
      <c r="B90" s="972"/>
      <c r="C90" s="34">
        <f>C89+1</f>
        <v>46003</v>
      </c>
      <c r="D90" s="1"/>
      <c r="E90" s="23"/>
      <c r="F90" s="526"/>
      <c r="G90" s="804"/>
      <c r="H90" s="1"/>
      <c r="I90" s="709"/>
      <c r="J90" s="673"/>
      <c r="K90" s="69"/>
      <c r="L90" s="696"/>
      <c r="M90" s="259" t="s">
        <v>48</v>
      </c>
      <c r="N90" s="48"/>
      <c r="O90" s="23"/>
      <c r="P90" s="709"/>
      <c r="Q90" s="673"/>
      <c r="R90" s="312"/>
      <c r="S90" s="673"/>
      <c r="T90" s="259" t="s">
        <v>48</v>
      </c>
      <c r="U90" s="69"/>
      <c r="V90" s="696"/>
      <c r="W90" s="23"/>
      <c r="X90" s="709"/>
      <c r="Y90" s="830"/>
      <c r="Z90" s="891"/>
      <c r="AA90" s="692"/>
      <c r="AB90" s="312"/>
      <c r="AC90" s="48"/>
      <c r="AD90" s="21"/>
      <c r="AE90" s="709"/>
      <c r="AF90" s="658"/>
      <c r="AG90" s="658"/>
      <c r="AH90" s="830"/>
      <c r="AI90" s="830"/>
      <c r="AJ90" s="891"/>
      <c r="AK90" s="692"/>
      <c r="AL90" s="47"/>
      <c r="AM90" s="48"/>
      <c r="AN90" s="20"/>
      <c r="AO90" s="268"/>
      <c r="AP90" s="813"/>
      <c r="AQ90" s="311"/>
      <c r="AR90" s="692"/>
      <c r="AS90" s="313"/>
      <c r="AT90" s="315"/>
      <c r="AU90" s="21"/>
      <c r="AV90" s="268"/>
      <c r="AW90" s="660"/>
      <c r="AX90" s="67"/>
      <c r="AY90" s="692"/>
      <c r="AZ90" s="47"/>
      <c r="BA90" s="48"/>
      <c r="BB90" s="20"/>
      <c r="BC90" s="660"/>
      <c r="BD90" s="692"/>
      <c r="BE90" s="312"/>
      <c r="BF90" s="48"/>
      <c r="BG90" s="20"/>
      <c r="BH90" s="268"/>
      <c r="BI90" s="845"/>
      <c r="BJ90" s="67"/>
      <c r="BK90" s="47"/>
      <c r="BL90" s="48"/>
      <c r="BM90" s="20"/>
      <c r="BN90" s="268"/>
      <c r="BO90" s="845"/>
      <c r="BP90" s="67"/>
      <c r="BQ90" s="845"/>
      <c r="BR90" s="67"/>
      <c r="BS90" s="312"/>
      <c r="BT90" s="48"/>
      <c r="BU90" s="20"/>
      <c r="BV90" s="709"/>
      <c r="BW90" s="740"/>
      <c r="BX90" s="902"/>
      <c r="BY90" s="47"/>
      <c r="BZ90" s="48"/>
      <c r="CA90" s="20"/>
      <c r="CB90" s="712"/>
      <c r="CC90" s="813"/>
      <c r="CD90" s="902"/>
      <c r="CE90" s="59"/>
      <c r="CF90" s="64"/>
      <c r="CG90" s="20"/>
      <c r="CH90" s="269"/>
      <c r="CI90" s="660"/>
      <c r="CJ90" s="696"/>
      <c r="CK90" s="313"/>
      <c r="CL90" s="64"/>
      <c r="CM90" s="20"/>
      <c r="CN90" s="270"/>
      <c r="CO90" s="490"/>
      <c r="CP90" s="45"/>
      <c r="CQ90" s="59"/>
      <c r="CR90" s="64"/>
      <c r="CS90" s="20"/>
      <c r="CT90" s="709"/>
      <c r="CU90" s="720"/>
      <c r="CV90" s="198"/>
      <c r="CW90" s="199"/>
      <c r="CX90" s="200"/>
      <c r="CY90" s="567"/>
      <c r="CZ90" s="720"/>
      <c r="DA90" s="20"/>
      <c r="DB90" s="712"/>
      <c r="DC90" s="813"/>
      <c r="DD90" s="311"/>
      <c r="DE90" s="692"/>
      <c r="DF90" s="59"/>
      <c r="DG90" s="64"/>
      <c r="DH90" s="20"/>
      <c r="DI90" s="270"/>
      <c r="DJ90" s="768"/>
      <c r="DK90" s="45"/>
      <c r="DL90" s="59"/>
      <c r="DM90" s="64"/>
      <c r="DN90" s="20"/>
      <c r="DO90" s="270"/>
      <c r="DP90" s="760"/>
      <c r="DQ90" s="45"/>
      <c r="DR90" s="59"/>
      <c r="DS90" s="64"/>
      <c r="DT90" s="20"/>
      <c r="DU90" s="712"/>
      <c r="DV90" s="740"/>
      <c r="DW90" s="45"/>
      <c r="DX90" s="692"/>
      <c r="DY90" s="59"/>
      <c r="DZ90" s="315"/>
      <c r="EA90" s="20"/>
      <c r="EB90" s="270"/>
      <c r="EC90" s="781"/>
      <c r="ED90" s="45"/>
      <c r="EE90" s="59"/>
      <c r="EF90" s="64"/>
      <c r="EG90" s="20"/>
      <c r="EH90" s="270"/>
      <c r="EI90" s="781"/>
      <c r="EJ90" s="45"/>
      <c r="EK90" s="59"/>
      <c r="EL90" s="64"/>
      <c r="EM90" s="20"/>
      <c r="EN90" s="268"/>
    </row>
    <row r="91" spans="1:144" ht="16.5" customHeight="1" thickTop="1" thickBot="1" x14ac:dyDescent="0.25">
      <c r="B91" s="972">
        <f>B86+1</f>
        <v>51</v>
      </c>
      <c r="C91" s="89">
        <f>C86+7</f>
        <v>46006</v>
      </c>
      <c r="D91" s="4"/>
      <c r="E91" s="24"/>
      <c r="F91" s="525"/>
      <c r="G91" s="804"/>
      <c r="H91" s="4"/>
      <c r="I91" s="707" t="s">
        <v>44</v>
      </c>
      <c r="J91" s="734" t="s">
        <v>321</v>
      </c>
      <c r="K91" s="750">
        <v>1</v>
      </c>
      <c r="L91" s="694" t="s">
        <v>117</v>
      </c>
      <c r="M91" s="56"/>
      <c r="N91" s="62"/>
      <c r="O91" s="24"/>
      <c r="P91" s="707" t="s">
        <v>44</v>
      </c>
      <c r="Q91" s="734" t="s">
        <v>321</v>
      </c>
      <c r="R91" s="56"/>
      <c r="S91" s="734" t="s">
        <v>255</v>
      </c>
      <c r="T91" s="56"/>
      <c r="U91" s="750">
        <v>1</v>
      </c>
      <c r="V91" s="694" t="s">
        <v>117</v>
      </c>
      <c r="W91" s="24"/>
      <c r="X91" s="270"/>
      <c r="Y91" s="830"/>
      <c r="Z91" s="750">
        <v>1</v>
      </c>
      <c r="AA91" s="690" t="s">
        <v>115</v>
      </c>
      <c r="AB91" s="72"/>
      <c r="AC91" s="62"/>
      <c r="AD91" s="21"/>
      <c r="AE91" s="270"/>
      <c r="AF91" s="658"/>
      <c r="AG91" s="658"/>
      <c r="AH91" s="830"/>
      <c r="AI91" s="830"/>
      <c r="AJ91" s="750">
        <v>1</v>
      </c>
      <c r="AK91" s="690" t="s">
        <v>115</v>
      </c>
      <c r="AL91" s="72"/>
      <c r="AM91" s="62"/>
      <c r="AN91" s="20"/>
      <c r="AO91" s="707" t="s">
        <v>116</v>
      </c>
      <c r="AP91" s="813"/>
      <c r="AQ91" s="314"/>
      <c r="AR91" s="308"/>
      <c r="AS91" s="308"/>
      <c r="AT91" s="722" t="s">
        <v>392</v>
      </c>
      <c r="AU91" s="21"/>
      <c r="AV91" s="707" t="s">
        <v>116</v>
      </c>
      <c r="AW91" s="660"/>
      <c r="AX91" s="71"/>
      <c r="AY91" s="74"/>
      <c r="AZ91" s="56"/>
      <c r="BA91" s="722" t="s">
        <v>392</v>
      </c>
      <c r="BB91" s="20"/>
      <c r="BC91" s="660"/>
      <c r="BD91" s="74"/>
      <c r="BE91" s="56"/>
      <c r="BF91" s="722" t="s">
        <v>392</v>
      </c>
      <c r="BG91" s="20"/>
      <c r="BH91" s="268"/>
      <c r="BI91" s="845"/>
      <c r="BJ91" s="61"/>
      <c r="BK91" s="39"/>
      <c r="BL91" s="35"/>
      <c r="BM91" s="20"/>
      <c r="BN91" s="268"/>
      <c r="BO91" s="845"/>
      <c r="BP91" s="314"/>
      <c r="BQ91" s="845"/>
      <c r="BR91" s="314"/>
      <c r="BS91" s="308"/>
      <c r="BT91" s="306"/>
      <c r="BU91" s="20"/>
      <c r="BV91" s="707" t="s">
        <v>99</v>
      </c>
      <c r="BW91" s="740"/>
      <c r="BX91" s="900" t="s">
        <v>281</v>
      </c>
      <c r="BY91" s="72"/>
      <c r="BZ91" s="62"/>
      <c r="CA91" s="20"/>
      <c r="CB91" s="270"/>
      <c r="CC91" s="813"/>
      <c r="CD91" s="900" t="s">
        <v>279</v>
      </c>
      <c r="CE91" s="39"/>
      <c r="CF91" s="35"/>
      <c r="CG91" s="20"/>
      <c r="CH91" s="707" t="s">
        <v>66</v>
      </c>
      <c r="CI91" s="660"/>
      <c r="CJ91" s="308"/>
      <c r="CK91" s="308"/>
      <c r="CL91" s="306"/>
      <c r="CM91" s="20"/>
      <c r="CN91" s="270"/>
      <c r="CO91" s="490"/>
      <c r="CP91" s="61"/>
      <c r="CQ91" s="39"/>
      <c r="CR91" s="35"/>
      <c r="CS91" s="20"/>
      <c r="CT91" s="270"/>
      <c r="CU91" s="720"/>
      <c r="CV91" s="37"/>
      <c r="CW91" s="58"/>
      <c r="CX91" s="201"/>
      <c r="CY91" s="567"/>
      <c r="CZ91" s="720"/>
      <c r="DA91" s="20"/>
      <c r="DB91" s="707" t="s">
        <v>66</v>
      </c>
      <c r="DC91" s="813"/>
      <c r="DD91" s="61"/>
      <c r="DE91" s="690" t="s">
        <v>87</v>
      </c>
      <c r="DF91" s="308"/>
      <c r="DG91" s="35"/>
      <c r="DH91" s="20"/>
      <c r="DI91" s="270"/>
      <c r="DJ91" s="768"/>
      <c r="DK91" s="61"/>
      <c r="DL91" s="39"/>
      <c r="DM91" s="35"/>
      <c r="DN91" s="20"/>
      <c r="DO91" s="270"/>
      <c r="DP91" s="760"/>
      <c r="DQ91" s="61"/>
      <c r="DR91" s="39"/>
      <c r="DS91" s="35"/>
      <c r="DT91" s="20"/>
      <c r="DU91" s="707" t="s">
        <v>66</v>
      </c>
      <c r="DV91" s="740"/>
      <c r="DW91" s="61"/>
      <c r="DX91" s="690" t="s">
        <v>87</v>
      </c>
      <c r="DY91" s="308"/>
      <c r="DZ91" s="35"/>
      <c r="EA91" s="20"/>
      <c r="EB91" s="270"/>
      <c r="EC91" s="781"/>
      <c r="ED91" s="61"/>
      <c r="EE91" s="39"/>
      <c r="EF91" s="35"/>
      <c r="EG91" s="20"/>
      <c r="EH91" s="270"/>
      <c r="EI91" s="781"/>
      <c r="EJ91" s="61"/>
      <c r="EK91" s="39"/>
      <c r="EL91" s="35"/>
      <c r="EM91" s="20"/>
      <c r="EN91" s="268"/>
    </row>
    <row r="92" spans="1:144" ht="17.25" customHeight="1" thickTop="1" thickBot="1" x14ac:dyDescent="0.25">
      <c r="B92" s="972"/>
      <c r="C92" s="33">
        <f>C91+1</f>
        <v>46007</v>
      </c>
      <c r="D92" s="1"/>
      <c r="E92" s="23"/>
      <c r="F92" s="526"/>
      <c r="G92" s="804"/>
      <c r="H92" s="1"/>
      <c r="I92" s="708"/>
      <c r="J92" s="672"/>
      <c r="K92" s="751"/>
      <c r="L92" s="695"/>
      <c r="M92" s="42"/>
      <c r="N92" s="43"/>
      <c r="O92" s="23"/>
      <c r="P92" s="708"/>
      <c r="Q92" s="672"/>
      <c r="R92" s="42"/>
      <c r="S92" s="672"/>
      <c r="T92" s="42"/>
      <c r="U92" s="751"/>
      <c r="V92" s="695"/>
      <c r="W92" s="23"/>
      <c r="X92" s="270"/>
      <c r="Y92" s="830"/>
      <c r="Z92" s="751"/>
      <c r="AA92" s="691"/>
      <c r="AB92" s="42"/>
      <c r="AC92" s="43"/>
      <c r="AD92" s="21"/>
      <c r="AE92" s="270"/>
      <c r="AF92" s="658"/>
      <c r="AG92" s="658"/>
      <c r="AH92" s="830"/>
      <c r="AI92" s="830"/>
      <c r="AJ92" s="751"/>
      <c r="AK92" s="691"/>
      <c r="AL92" s="42"/>
      <c r="AM92" s="43"/>
      <c r="AN92" s="20"/>
      <c r="AO92" s="708"/>
      <c r="AP92" s="813"/>
      <c r="AQ92" s="147"/>
      <c r="AR92" s="310"/>
      <c r="AS92" s="310"/>
      <c r="AT92" s="723"/>
      <c r="AU92" s="21"/>
      <c r="AV92" s="708"/>
      <c r="AW92" s="660"/>
      <c r="AX92" s="73"/>
      <c r="AY92" s="52"/>
      <c r="AZ92" s="42"/>
      <c r="BA92" s="723"/>
      <c r="BB92" s="20"/>
      <c r="BC92" s="660"/>
      <c r="BD92" s="52"/>
      <c r="BE92" s="42"/>
      <c r="BF92" s="723"/>
      <c r="BG92" s="20"/>
      <c r="BH92" s="268"/>
      <c r="BI92" s="845"/>
      <c r="BJ92" s="73"/>
      <c r="BK92" s="42"/>
      <c r="BL92" s="43"/>
      <c r="BM92" s="20"/>
      <c r="BN92" s="268"/>
      <c r="BO92" s="845"/>
      <c r="BP92" s="73"/>
      <c r="BQ92" s="845"/>
      <c r="BR92" s="73"/>
      <c r="BS92" s="42"/>
      <c r="BT92" s="43"/>
      <c r="BU92" s="20"/>
      <c r="BV92" s="708"/>
      <c r="BW92" s="740"/>
      <c r="BX92" s="901"/>
      <c r="BY92" s="42"/>
      <c r="BZ92" s="43"/>
      <c r="CA92" s="20"/>
      <c r="CB92" s="270"/>
      <c r="CC92" s="813"/>
      <c r="CD92" s="901"/>
      <c r="CE92" s="44"/>
      <c r="CF92" s="36"/>
      <c r="CG92" s="20"/>
      <c r="CH92" s="708"/>
      <c r="CI92" s="660"/>
      <c r="CJ92" s="310"/>
      <c r="CK92" s="310"/>
      <c r="CL92" s="307"/>
      <c r="CM92" s="20"/>
      <c r="CN92" s="270"/>
      <c r="CO92" s="490"/>
      <c r="CP92" s="40"/>
      <c r="CQ92" s="44"/>
      <c r="CR92" s="36"/>
      <c r="CS92" s="20"/>
      <c r="CT92" s="270"/>
      <c r="CU92" s="720"/>
      <c r="CV92" s="73"/>
      <c r="CW92" s="42"/>
      <c r="CX92" s="43"/>
      <c r="CY92" s="567"/>
      <c r="CZ92" s="720"/>
      <c r="DA92" s="20"/>
      <c r="DB92" s="708"/>
      <c r="DC92" s="813"/>
      <c r="DD92" s="40"/>
      <c r="DE92" s="691"/>
      <c r="DF92" s="44"/>
      <c r="DG92" s="36"/>
      <c r="DH92" s="20"/>
      <c r="DI92" s="270"/>
      <c r="DJ92" s="768"/>
      <c r="DK92" s="40"/>
      <c r="DL92" s="44"/>
      <c r="DM92" s="36"/>
      <c r="DN92" s="20"/>
      <c r="DO92" s="270"/>
      <c r="DP92" s="760"/>
      <c r="DQ92" s="40"/>
      <c r="DR92" s="44"/>
      <c r="DS92" s="36"/>
      <c r="DT92" s="20"/>
      <c r="DU92" s="708"/>
      <c r="DV92" s="740"/>
      <c r="DW92" s="40"/>
      <c r="DX92" s="691"/>
      <c r="DY92" s="44"/>
      <c r="DZ92" s="36"/>
      <c r="EA92" s="20"/>
      <c r="EB92" s="270"/>
      <c r="EC92" s="781"/>
      <c r="ED92" s="40"/>
      <c r="EE92" s="44"/>
      <c r="EF92" s="36"/>
      <c r="EG92" s="20"/>
      <c r="EH92" s="270"/>
      <c r="EI92" s="781"/>
      <c r="EJ92" s="40"/>
      <c r="EK92" s="44"/>
      <c r="EL92" s="36"/>
      <c r="EM92" s="20"/>
      <c r="EN92" s="268"/>
    </row>
    <row r="93" spans="1:144" ht="17.25" customHeight="1" thickTop="1" thickBot="1" x14ac:dyDescent="0.25">
      <c r="B93" s="972"/>
      <c r="C93" s="33">
        <f>C92+1</f>
        <v>46008</v>
      </c>
      <c r="D93" s="1"/>
      <c r="E93" s="23"/>
      <c r="F93" s="526"/>
      <c r="G93" s="804"/>
      <c r="H93" s="1"/>
      <c r="I93" s="708"/>
      <c r="J93" s="672"/>
      <c r="K93" s="751"/>
      <c r="L93" s="695"/>
      <c r="M93" s="50"/>
      <c r="N93" s="60"/>
      <c r="O93" s="23"/>
      <c r="P93" s="708"/>
      <c r="Q93" s="672"/>
      <c r="R93" s="50"/>
      <c r="S93" s="672"/>
      <c r="T93" s="50"/>
      <c r="U93" s="751"/>
      <c r="V93" s="695"/>
      <c r="W93" s="23"/>
      <c r="X93" s="270"/>
      <c r="Y93" s="830"/>
      <c r="Z93" s="751"/>
      <c r="AA93" s="691"/>
      <c r="AB93" s="50"/>
      <c r="AC93" s="60"/>
      <c r="AD93" s="21"/>
      <c r="AE93" s="270"/>
      <c r="AF93" s="658"/>
      <c r="AG93" s="658"/>
      <c r="AH93" s="830"/>
      <c r="AI93" s="830"/>
      <c r="AJ93" s="751"/>
      <c r="AK93" s="691"/>
      <c r="AL93" s="50"/>
      <c r="AM93" s="60"/>
      <c r="AN93" s="20"/>
      <c r="AO93" s="708"/>
      <c r="AP93" s="813"/>
      <c r="AQ93" s="147"/>
      <c r="AR93" s="310"/>
      <c r="AS93" s="310"/>
      <c r="AT93" s="723"/>
      <c r="AU93" s="21"/>
      <c r="AV93" s="708"/>
      <c r="AW93" s="660"/>
      <c r="AX93" s="63"/>
      <c r="AY93" s="54"/>
      <c r="AZ93" s="50"/>
      <c r="BA93" s="723"/>
      <c r="BB93" s="20"/>
      <c r="BC93" s="660"/>
      <c r="BD93" s="54"/>
      <c r="BE93" s="50"/>
      <c r="BF93" s="723"/>
      <c r="BG93" s="20"/>
      <c r="BH93" s="268"/>
      <c r="BI93" s="845"/>
      <c r="BJ93" s="63"/>
      <c r="BK93" s="50"/>
      <c r="BL93" s="60"/>
      <c r="BM93" s="20"/>
      <c r="BN93" s="268"/>
      <c r="BO93" s="845"/>
      <c r="BP93" s="63"/>
      <c r="BQ93" s="845"/>
      <c r="BR93" s="63"/>
      <c r="BS93" s="50"/>
      <c r="BT93" s="60"/>
      <c r="BU93" s="20"/>
      <c r="BV93" s="708"/>
      <c r="BW93" s="740"/>
      <c r="BX93" s="901"/>
      <c r="BY93" s="50"/>
      <c r="BZ93" s="60"/>
      <c r="CA93" s="20"/>
      <c r="CB93" s="270"/>
      <c r="CC93" s="813"/>
      <c r="CD93" s="901"/>
      <c r="CE93" s="44"/>
      <c r="CF93" s="36"/>
      <c r="CG93" s="20"/>
      <c r="CH93" s="708"/>
      <c r="CI93" s="660"/>
      <c r="CJ93" s="310"/>
      <c r="CK93" s="310"/>
      <c r="CL93" s="307"/>
      <c r="CM93" s="20"/>
      <c r="CN93" s="270"/>
      <c r="CO93" s="490"/>
      <c r="CP93" s="40"/>
      <c r="CQ93" s="44"/>
      <c r="CR93" s="36"/>
      <c r="CS93" s="20"/>
      <c r="CT93" s="270"/>
      <c r="CU93" s="720"/>
      <c r="CV93" s="73"/>
      <c r="CW93" s="42"/>
      <c r="CX93" s="43"/>
      <c r="CY93" s="567"/>
      <c r="CZ93" s="720"/>
      <c r="DA93" s="20"/>
      <c r="DB93" s="708"/>
      <c r="DC93" s="813"/>
      <c r="DD93" s="40"/>
      <c r="DE93" s="691"/>
      <c r="DF93" s="183" t="s">
        <v>48</v>
      </c>
      <c r="DG93" s="36"/>
      <c r="DH93" s="20"/>
      <c r="DI93" s="270"/>
      <c r="DJ93" s="768"/>
      <c r="DK93" s="40"/>
      <c r="DL93" s="44"/>
      <c r="DM93" s="36"/>
      <c r="DN93" s="20"/>
      <c r="DO93" s="270"/>
      <c r="DP93" s="760"/>
      <c r="DQ93" s="40"/>
      <c r="DR93" s="44"/>
      <c r="DS93" s="36"/>
      <c r="DT93" s="20"/>
      <c r="DU93" s="708"/>
      <c r="DV93" s="740"/>
      <c r="DW93" s="40"/>
      <c r="DX93" s="691"/>
      <c r="DY93" s="116" t="s">
        <v>61</v>
      </c>
      <c r="DZ93" s="36"/>
      <c r="EA93" s="20"/>
      <c r="EB93" s="270"/>
      <c r="EC93" s="781"/>
      <c r="ED93" s="40"/>
      <c r="EE93" s="44"/>
      <c r="EF93" s="36"/>
      <c r="EG93" s="20"/>
      <c r="EH93" s="270"/>
      <c r="EI93" s="781"/>
      <c r="EJ93" s="40"/>
      <c r="EK93" s="44"/>
      <c r="EL93" s="36"/>
      <c r="EM93" s="20"/>
      <c r="EN93" s="268"/>
    </row>
    <row r="94" spans="1:144" ht="17.25" customHeight="1" thickTop="1" thickBot="1" x14ac:dyDescent="0.25">
      <c r="B94" s="972"/>
      <c r="C94" s="33">
        <f>C93+1</f>
        <v>46009</v>
      </c>
      <c r="D94" s="1"/>
      <c r="E94" s="23"/>
      <c r="F94" s="526"/>
      <c r="G94" s="804"/>
      <c r="H94" s="1"/>
      <c r="I94" s="708"/>
      <c r="J94" s="672"/>
      <c r="K94" s="751"/>
      <c r="L94" s="695"/>
      <c r="M94" s="116" t="s">
        <v>113</v>
      </c>
      <c r="N94" s="36"/>
      <c r="O94" s="23"/>
      <c r="P94" s="708"/>
      <c r="Q94" s="672"/>
      <c r="R94" s="621" t="s">
        <v>80</v>
      </c>
      <c r="S94" s="672"/>
      <c r="T94" s="116" t="s">
        <v>113</v>
      </c>
      <c r="U94" s="751"/>
      <c r="V94" s="695"/>
      <c r="W94" s="23"/>
      <c r="X94" s="270"/>
      <c r="Y94" s="830"/>
      <c r="Z94" s="751"/>
      <c r="AA94" s="691"/>
      <c r="AB94" s="612" t="s">
        <v>61</v>
      </c>
      <c r="AC94" s="307"/>
      <c r="AD94" s="21"/>
      <c r="AE94" s="270"/>
      <c r="AF94" s="658"/>
      <c r="AG94" s="658"/>
      <c r="AH94" s="830"/>
      <c r="AI94" s="830"/>
      <c r="AJ94" s="751"/>
      <c r="AK94" s="691"/>
      <c r="AL94" s="612" t="s">
        <v>61</v>
      </c>
      <c r="AM94" s="36"/>
      <c r="AN94" s="20"/>
      <c r="AO94" s="708"/>
      <c r="AP94" s="813"/>
      <c r="AQ94" s="147"/>
      <c r="AR94" s="310"/>
      <c r="AS94" s="116" t="s">
        <v>61</v>
      </c>
      <c r="AT94" s="723"/>
      <c r="AU94" s="21"/>
      <c r="AV94" s="708"/>
      <c r="AW94" s="660"/>
      <c r="AX94" s="40"/>
      <c r="AY94" s="41"/>
      <c r="AZ94" s="116" t="s">
        <v>61</v>
      </c>
      <c r="BA94" s="723"/>
      <c r="BB94" s="20"/>
      <c r="BC94" s="660"/>
      <c r="BD94" s="41"/>
      <c r="BE94" s="116" t="s">
        <v>61</v>
      </c>
      <c r="BF94" s="723"/>
      <c r="BG94" s="20"/>
      <c r="BH94" s="268"/>
      <c r="BI94" s="845"/>
      <c r="BJ94" s="40"/>
      <c r="BK94" s="44"/>
      <c r="BL94" s="36"/>
      <c r="BM94" s="20"/>
      <c r="BN94" s="268"/>
      <c r="BO94" s="845"/>
      <c r="BP94" s="309"/>
      <c r="BQ94" s="845"/>
      <c r="BR94" s="309"/>
      <c r="BS94" s="310"/>
      <c r="BT94" s="307"/>
      <c r="BU94" s="20"/>
      <c r="BV94" s="708"/>
      <c r="BW94" s="740"/>
      <c r="BX94" s="901"/>
      <c r="BY94" s="44"/>
      <c r="BZ94" s="36"/>
      <c r="CA94" s="20"/>
      <c r="CB94" s="270"/>
      <c r="CC94" s="813"/>
      <c r="CD94" s="901"/>
      <c r="CE94" s="44"/>
      <c r="CF94" s="36"/>
      <c r="CG94" s="20"/>
      <c r="CH94" s="708"/>
      <c r="CI94" s="660"/>
      <c r="CJ94" s="310"/>
      <c r="CK94" s="116" t="s">
        <v>61</v>
      </c>
      <c r="CL94" s="307"/>
      <c r="CM94" s="20"/>
      <c r="CN94" s="270"/>
      <c r="CO94" s="490"/>
      <c r="CP94" s="40"/>
      <c r="CQ94" s="44"/>
      <c r="CR94" s="36"/>
      <c r="CS94" s="20"/>
      <c r="CT94" s="270"/>
      <c r="CU94" s="720"/>
      <c r="CV94" s="73"/>
      <c r="CW94" s="42"/>
      <c r="CX94" s="43"/>
      <c r="CY94" s="567"/>
      <c r="CZ94" s="720"/>
      <c r="DA94" s="20"/>
      <c r="DB94" s="708"/>
      <c r="DC94" s="813"/>
      <c r="DD94" s="40"/>
      <c r="DE94" s="691"/>
      <c r="DF94" s="116" t="s">
        <v>61</v>
      </c>
      <c r="DG94" s="36"/>
      <c r="DH94" s="20"/>
      <c r="DI94" s="270"/>
      <c r="DJ94" s="768"/>
      <c r="DK94" s="40"/>
      <c r="DL94" s="44"/>
      <c r="DM94" s="36"/>
      <c r="DN94" s="20"/>
      <c r="DO94" s="270"/>
      <c r="DP94" s="760"/>
      <c r="DQ94" s="40"/>
      <c r="DR94" s="44"/>
      <c r="DS94" s="36"/>
      <c r="DT94" s="20"/>
      <c r="DU94" s="708"/>
      <c r="DV94" s="740"/>
      <c r="DW94" s="40"/>
      <c r="DX94" s="691"/>
      <c r="DY94" s="614" t="s">
        <v>48</v>
      </c>
      <c r="DZ94" s="36"/>
      <c r="EA94" s="20"/>
      <c r="EB94" s="270"/>
      <c r="EC94" s="781"/>
      <c r="ED94" s="40"/>
      <c r="EE94" s="44"/>
      <c r="EF94" s="36"/>
      <c r="EG94" s="20"/>
      <c r="EH94" s="270"/>
      <c r="EI94" s="781"/>
      <c r="EJ94" s="40"/>
      <c r="EK94" s="44"/>
      <c r="EL94" s="36"/>
      <c r="EM94" s="20"/>
      <c r="EN94" s="268"/>
    </row>
    <row r="95" spans="1:144" ht="48.75" thickTop="1" thickBot="1" x14ac:dyDescent="0.25">
      <c r="B95" s="972"/>
      <c r="C95" s="34">
        <f>C94+1</f>
        <v>46010</v>
      </c>
      <c r="D95" s="1"/>
      <c r="E95" s="23"/>
      <c r="F95" s="526"/>
      <c r="G95" s="805"/>
      <c r="H95" s="1"/>
      <c r="I95" s="709"/>
      <c r="J95" s="735"/>
      <c r="K95" s="752"/>
      <c r="L95" s="696"/>
      <c r="M95" s="312"/>
      <c r="N95" s="48"/>
      <c r="O95" s="23"/>
      <c r="P95" s="709"/>
      <c r="Q95" s="735"/>
      <c r="R95" s="312"/>
      <c r="S95" s="735"/>
      <c r="T95" s="312"/>
      <c r="U95" s="752"/>
      <c r="V95" s="696"/>
      <c r="W95" s="23"/>
      <c r="X95" s="270"/>
      <c r="Y95" s="831"/>
      <c r="Z95" s="752"/>
      <c r="AA95" s="692"/>
      <c r="AB95" s="312"/>
      <c r="AC95" s="48"/>
      <c r="AD95" s="21"/>
      <c r="AE95" s="270"/>
      <c r="AF95" s="658"/>
      <c r="AG95" s="658"/>
      <c r="AH95" s="830"/>
      <c r="AI95" s="831"/>
      <c r="AJ95" s="752"/>
      <c r="AK95" s="692"/>
      <c r="AL95" s="47"/>
      <c r="AM95" s="48"/>
      <c r="AN95" s="20"/>
      <c r="AO95" s="709"/>
      <c r="AP95" s="911"/>
      <c r="AQ95" s="311"/>
      <c r="AR95" s="313"/>
      <c r="AS95" s="88" t="s">
        <v>48</v>
      </c>
      <c r="AT95" s="724"/>
      <c r="AU95" s="21"/>
      <c r="AV95" s="709"/>
      <c r="AW95" s="661"/>
      <c r="AX95" s="67"/>
      <c r="AY95" s="55"/>
      <c r="AZ95" s="88" t="s">
        <v>48</v>
      </c>
      <c r="BA95" s="724"/>
      <c r="BB95" s="20"/>
      <c r="BC95" s="661"/>
      <c r="BD95" s="55"/>
      <c r="BE95" s="88" t="s">
        <v>48</v>
      </c>
      <c r="BF95" s="724"/>
      <c r="BG95" s="20"/>
      <c r="BH95" s="268"/>
      <c r="BI95" s="845"/>
      <c r="BJ95" s="67"/>
      <c r="BK95" s="47"/>
      <c r="BL95" s="48"/>
      <c r="BM95" s="20"/>
      <c r="BN95" s="268"/>
      <c r="BO95" s="845"/>
      <c r="BP95" s="67"/>
      <c r="BQ95" s="845"/>
      <c r="BR95" s="67"/>
      <c r="BS95" s="312"/>
      <c r="BT95" s="48"/>
      <c r="BU95" s="20"/>
      <c r="BV95" s="709"/>
      <c r="BW95" s="987"/>
      <c r="BX95" s="902"/>
      <c r="BY95" s="47"/>
      <c r="BZ95" s="48"/>
      <c r="CA95" s="20"/>
      <c r="CB95" s="270"/>
      <c r="CC95" s="813"/>
      <c r="CD95" s="902"/>
      <c r="CE95" s="59"/>
      <c r="CF95" s="64"/>
      <c r="CG95" s="20"/>
      <c r="CH95" s="709"/>
      <c r="CI95" s="663"/>
      <c r="CJ95" s="313"/>
      <c r="CK95" s="316" t="s">
        <v>48</v>
      </c>
      <c r="CL95" s="315"/>
      <c r="CM95" s="20"/>
      <c r="CN95" s="270"/>
      <c r="CO95" s="490"/>
      <c r="CP95" s="45"/>
      <c r="CQ95" s="59"/>
      <c r="CR95" s="64"/>
      <c r="CS95" s="20"/>
      <c r="CT95" s="270"/>
      <c r="CU95" s="720"/>
      <c r="CV95" s="198"/>
      <c r="CW95" s="199"/>
      <c r="CX95" s="200"/>
      <c r="CY95" s="567"/>
      <c r="CZ95" s="720"/>
      <c r="DA95" s="20"/>
      <c r="DB95" s="709"/>
      <c r="DC95" s="839"/>
      <c r="DD95" s="45"/>
      <c r="DE95" s="692"/>
      <c r="DF95" s="312"/>
      <c r="DG95" s="64"/>
      <c r="DH95" s="20"/>
      <c r="DI95" s="270"/>
      <c r="DJ95" s="768"/>
      <c r="DK95" s="45"/>
      <c r="DL95" s="59"/>
      <c r="DM95" s="64"/>
      <c r="DN95" s="20"/>
      <c r="DO95" s="270"/>
      <c r="DP95" s="760"/>
      <c r="DQ95" s="45"/>
      <c r="DR95" s="59"/>
      <c r="DS95" s="64"/>
      <c r="DT95" s="20"/>
      <c r="DU95" s="709"/>
      <c r="DV95" s="619" t="s">
        <v>411</v>
      </c>
      <c r="DW95" s="45"/>
      <c r="DX95" s="692"/>
      <c r="DY95" s="618" t="s">
        <v>412</v>
      </c>
      <c r="DZ95" s="64"/>
      <c r="EA95" s="20"/>
      <c r="EB95" s="270"/>
      <c r="EC95" s="781"/>
      <c r="ED95" s="45"/>
      <c r="EE95" s="59"/>
      <c r="EF95" s="64"/>
      <c r="EG95" s="20"/>
      <c r="EH95" s="270"/>
      <c r="EI95" s="781"/>
      <c r="EJ95" s="45"/>
      <c r="EK95" s="59"/>
      <c r="EL95" s="64"/>
      <c r="EM95" s="20"/>
      <c r="EN95" s="268"/>
    </row>
    <row r="96" spans="1:144" ht="16.5" customHeight="1" thickBot="1" x14ac:dyDescent="0.25">
      <c r="A96" s="6" t="s">
        <v>70</v>
      </c>
      <c r="B96" s="972">
        <f>B91+1</f>
        <v>52</v>
      </c>
      <c r="C96" s="332">
        <f>C91+7</f>
        <v>46013</v>
      </c>
      <c r="D96" s="4"/>
      <c r="E96" s="24"/>
      <c r="F96" s="525"/>
      <c r="G96" s="24"/>
      <c r="H96" s="4"/>
      <c r="I96" s="265"/>
      <c r="J96" s="697" t="s">
        <v>68</v>
      </c>
      <c r="K96" s="133"/>
      <c r="L96" s="103"/>
      <c r="M96" s="103"/>
      <c r="N96" s="104"/>
      <c r="O96" s="24"/>
      <c r="P96" s="624"/>
      <c r="Q96" s="697" t="s">
        <v>68</v>
      </c>
      <c r="R96" s="103"/>
      <c r="S96" s="697" t="s">
        <v>68</v>
      </c>
      <c r="T96" s="103"/>
      <c r="U96" s="133"/>
      <c r="V96" s="103"/>
      <c r="W96" s="24"/>
      <c r="X96" s="707" t="s">
        <v>92</v>
      </c>
      <c r="Y96" s="697" t="s">
        <v>68</v>
      </c>
      <c r="Z96" s="133"/>
      <c r="AA96" s="145"/>
      <c r="AB96" s="103"/>
      <c r="AC96" s="104"/>
      <c r="AD96" s="21"/>
      <c r="AE96" s="707" t="s">
        <v>92</v>
      </c>
      <c r="AF96" s="647" t="s">
        <v>68</v>
      </c>
      <c r="AG96" s="647" t="s">
        <v>68</v>
      </c>
      <c r="AH96" s="647" t="s">
        <v>68</v>
      </c>
      <c r="AI96" s="697" t="s">
        <v>68</v>
      </c>
      <c r="AJ96" s="133"/>
      <c r="AK96" s="145"/>
      <c r="AL96" s="103"/>
      <c r="AM96" s="104"/>
      <c r="AN96" s="20"/>
      <c r="AO96" s="270"/>
      <c r="AP96" s="647" t="s">
        <v>68</v>
      </c>
      <c r="AQ96" s="133"/>
      <c r="AR96" s="103"/>
      <c r="AS96" s="103"/>
      <c r="AT96" s="104"/>
      <c r="AU96" s="21"/>
      <c r="AV96" s="270"/>
      <c r="AW96" s="647" t="s">
        <v>68</v>
      </c>
      <c r="AX96" s="133"/>
      <c r="AY96" s="145"/>
      <c r="AZ96" s="103"/>
      <c r="BA96" s="104"/>
      <c r="BB96" s="20"/>
      <c r="BC96" s="647" t="s">
        <v>68</v>
      </c>
      <c r="BD96" s="145"/>
      <c r="BE96" s="103"/>
      <c r="BF96" s="104"/>
      <c r="BG96" s="20"/>
      <c r="BH96" s="268"/>
      <c r="BI96" s="845"/>
      <c r="BJ96" s="314"/>
      <c r="BK96" s="308"/>
      <c r="BL96" s="306"/>
      <c r="BM96" s="20"/>
      <c r="BN96" s="268"/>
      <c r="BO96" s="845"/>
      <c r="BP96" s="314"/>
      <c r="BQ96" s="845"/>
      <c r="BR96" s="314"/>
      <c r="BS96" s="308"/>
      <c r="BT96" s="306"/>
      <c r="BU96" s="20"/>
      <c r="BV96" s="270"/>
      <c r="BW96" s="697" t="s">
        <v>68</v>
      </c>
      <c r="BX96" s="133"/>
      <c r="BY96" s="103"/>
      <c r="BZ96" s="104"/>
      <c r="CA96" s="20"/>
      <c r="CB96" s="270"/>
      <c r="CC96" s="719" t="s">
        <v>26</v>
      </c>
      <c r="CD96" s="314"/>
      <c r="CE96" s="308"/>
      <c r="CF96" s="306"/>
      <c r="CG96" s="20"/>
      <c r="CH96" s="707" t="s">
        <v>69</v>
      </c>
      <c r="CI96" s="946" t="s">
        <v>26</v>
      </c>
      <c r="CJ96" s="83"/>
      <c r="CK96" s="83"/>
      <c r="CL96" s="84"/>
      <c r="CM96" s="20"/>
      <c r="CN96" s="270"/>
      <c r="CO96" s="490"/>
      <c r="CP96" s="314"/>
      <c r="CQ96" s="308"/>
      <c r="CR96" s="306"/>
      <c r="CS96" s="20"/>
      <c r="CT96" s="270"/>
      <c r="CU96" s="720"/>
      <c r="CV96" s="314"/>
      <c r="CW96" s="308"/>
      <c r="CX96" s="306"/>
      <c r="CY96" s="566"/>
      <c r="CZ96" s="720"/>
      <c r="DA96" s="20"/>
      <c r="DB96" s="707" t="s">
        <v>69</v>
      </c>
      <c r="DC96" s="720" t="s">
        <v>26</v>
      </c>
      <c r="DD96" s="81"/>
      <c r="DE96" s="83"/>
      <c r="DF96" s="83"/>
      <c r="DG96" s="84"/>
      <c r="DH96" s="20"/>
      <c r="DI96" s="270"/>
      <c r="DJ96" s="768"/>
      <c r="DK96" s="314"/>
      <c r="DL96" s="308"/>
      <c r="DM96" s="306"/>
      <c r="DN96" s="20"/>
      <c r="DO96" s="270"/>
      <c r="DP96" s="760"/>
      <c r="DQ96" s="314"/>
      <c r="DR96" s="308"/>
      <c r="DS96" s="306"/>
      <c r="DT96" s="20"/>
      <c r="DU96" s="707" t="s">
        <v>69</v>
      </c>
      <c r="DV96" s="719" t="s">
        <v>26</v>
      </c>
      <c r="DW96" s="81"/>
      <c r="DX96" s="83"/>
      <c r="DY96" s="308"/>
      <c r="DZ96" s="84"/>
      <c r="EA96" s="20"/>
      <c r="EB96" s="270"/>
      <c r="EC96" s="781"/>
      <c r="ED96" s="314"/>
      <c r="EE96" s="308"/>
      <c r="EF96" s="306"/>
      <c r="EG96" s="20"/>
      <c r="EH96" s="270"/>
      <c r="EI96" s="781"/>
      <c r="EJ96" s="314"/>
      <c r="EK96" s="308"/>
      <c r="EL96" s="306"/>
      <c r="EM96" s="20"/>
      <c r="EN96" s="268"/>
    </row>
    <row r="97" spans="1:144" ht="16.5" thickBot="1" x14ac:dyDescent="0.25">
      <c r="A97" s="6" t="s">
        <v>70</v>
      </c>
      <c r="B97" s="972"/>
      <c r="C97" s="302">
        <f>C96+1</f>
        <v>46014</v>
      </c>
      <c r="D97" s="1"/>
      <c r="E97" s="23"/>
      <c r="F97" s="526"/>
      <c r="G97" s="23"/>
      <c r="H97" s="1"/>
      <c r="I97" s="265"/>
      <c r="J97" s="647"/>
      <c r="K97" s="124"/>
      <c r="L97" s="126"/>
      <c r="M97" s="126"/>
      <c r="N97" s="127"/>
      <c r="O97" s="23"/>
      <c r="P97" s="624"/>
      <c r="Q97" s="647"/>
      <c r="R97" s="126"/>
      <c r="S97" s="647"/>
      <c r="T97" s="126"/>
      <c r="U97" s="124"/>
      <c r="V97" s="126"/>
      <c r="W97" s="23"/>
      <c r="X97" s="708"/>
      <c r="Y97" s="647"/>
      <c r="Z97" s="124"/>
      <c r="AA97" s="125"/>
      <c r="AB97" s="126"/>
      <c r="AC97" s="127"/>
      <c r="AD97" s="21"/>
      <c r="AE97" s="708"/>
      <c r="AF97" s="647"/>
      <c r="AG97" s="647"/>
      <c r="AH97" s="647"/>
      <c r="AI97" s="647"/>
      <c r="AJ97" s="124"/>
      <c r="AK97" s="125"/>
      <c r="AL97" s="126"/>
      <c r="AM97" s="127"/>
      <c r="AN97" s="20"/>
      <c r="AO97" s="270"/>
      <c r="AP97" s="647"/>
      <c r="AQ97" s="138"/>
      <c r="AR97" s="126"/>
      <c r="AS97" s="126"/>
      <c r="AT97" s="127"/>
      <c r="AU97" s="21"/>
      <c r="AV97" s="270"/>
      <c r="AW97" s="647"/>
      <c r="AX97" s="124"/>
      <c r="AY97" s="125"/>
      <c r="AZ97" s="126"/>
      <c r="BA97" s="127"/>
      <c r="BB97" s="20"/>
      <c r="BC97" s="647"/>
      <c r="BD97" s="125"/>
      <c r="BE97" s="126"/>
      <c r="BF97" s="127"/>
      <c r="BG97" s="20"/>
      <c r="BH97" s="268"/>
      <c r="BI97" s="845"/>
      <c r="BJ97" s="369"/>
      <c r="BK97" s="370"/>
      <c r="BL97" s="371"/>
      <c r="BM97" s="20"/>
      <c r="BN97" s="268"/>
      <c r="BO97" s="845"/>
      <c r="BP97" s="369"/>
      <c r="BQ97" s="845"/>
      <c r="BR97" s="369"/>
      <c r="BS97" s="370"/>
      <c r="BT97" s="371"/>
      <c r="BU97" s="20"/>
      <c r="BV97" s="270"/>
      <c r="BW97" s="647"/>
      <c r="BX97" s="121"/>
      <c r="BY97" s="107"/>
      <c r="BZ97" s="123"/>
      <c r="CA97" s="20"/>
      <c r="CB97" s="270"/>
      <c r="CC97" s="720"/>
      <c r="CD97" s="369"/>
      <c r="CE97" s="370"/>
      <c r="CF97" s="371"/>
      <c r="CG97" s="20"/>
      <c r="CH97" s="708"/>
      <c r="CI97" s="946"/>
      <c r="CJ97" s="310"/>
      <c r="CK97" s="310"/>
      <c r="CL97" s="307"/>
      <c r="CM97" s="20"/>
      <c r="CN97" s="270"/>
      <c r="CO97" s="490"/>
      <c r="CP97" s="369"/>
      <c r="CQ97" s="370"/>
      <c r="CR97" s="371"/>
      <c r="CS97" s="20"/>
      <c r="CT97" s="270"/>
      <c r="CU97" s="720"/>
      <c r="CV97" s="369"/>
      <c r="CW97" s="370"/>
      <c r="CX97" s="371"/>
      <c r="CY97" s="568"/>
      <c r="CZ97" s="720"/>
      <c r="DA97" s="20"/>
      <c r="DB97" s="708"/>
      <c r="DC97" s="720"/>
      <c r="DD97" s="147"/>
      <c r="DE97" s="310"/>
      <c r="DF97" s="310"/>
      <c r="DG97" s="307"/>
      <c r="DH97" s="20"/>
      <c r="DI97" s="270"/>
      <c r="DJ97" s="768"/>
      <c r="DK97" s="369"/>
      <c r="DL97" s="370"/>
      <c r="DM97" s="371"/>
      <c r="DN97" s="20"/>
      <c r="DO97" s="270"/>
      <c r="DP97" s="760"/>
      <c r="DQ97" s="369"/>
      <c r="DR97" s="370"/>
      <c r="DS97" s="371"/>
      <c r="DT97" s="20"/>
      <c r="DU97" s="708"/>
      <c r="DV97" s="720"/>
      <c r="DW97" s="147"/>
      <c r="DX97" s="310"/>
      <c r="DY97" s="310"/>
      <c r="DZ97" s="307"/>
      <c r="EA97" s="20"/>
      <c r="EB97" s="270"/>
      <c r="EC97" s="781"/>
      <c r="ED97" s="369"/>
      <c r="EE97" s="370"/>
      <c r="EF97" s="371"/>
      <c r="EG97" s="20"/>
      <c r="EH97" s="270"/>
      <c r="EI97" s="781"/>
      <c r="EJ97" s="369"/>
      <c r="EK97" s="370"/>
      <c r="EL97" s="371"/>
      <c r="EM97" s="20"/>
      <c r="EN97" s="268"/>
    </row>
    <row r="98" spans="1:144" ht="16.5" customHeight="1" thickBot="1" x14ac:dyDescent="0.25">
      <c r="A98" s="6" t="s">
        <v>71</v>
      </c>
      <c r="B98" s="972"/>
      <c r="C98" s="221">
        <f>C97+1</f>
        <v>46015</v>
      </c>
      <c r="D98" s="1"/>
      <c r="E98" s="23"/>
      <c r="F98" s="526"/>
      <c r="G98" s="23"/>
      <c r="H98" s="1"/>
      <c r="I98" s="265"/>
      <c r="J98" s="647"/>
      <c r="K98" s="124"/>
      <c r="L98" s="126"/>
      <c r="M98" s="126"/>
      <c r="N98" s="127"/>
      <c r="O98" s="23"/>
      <c r="P98" s="624"/>
      <c r="Q98" s="647"/>
      <c r="R98" s="126"/>
      <c r="S98" s="647"/>
      <c r="T98" s="126"/>
      <c r="U98" s="124"/>
      <c r="V98" s="126"/>
      <c r="W98" s="23"/>
      <c r="X98" s="708"/>
      <c r="Y98" s="647"/>
      <c r="Z98" s="124"/>
      <c r="AA98" s="125"/>
      <c r="AB98" s="126"/>
      <c r="AC98" s="127"/>
      <c r="AD98" s="21"/>
      <c r="AE98" s="708"/>
      <c r="AF98" s="647"/>
      <c r="AG98" s="647"/>
      <c r="AH98" s="647"/>
      <c r="AI98" s="647"/>
      <c r="AJ98" s="124"/>
      <c r="AK98" s="125"/>
      <c r="AL98" s="126"/>
      <c r="AM98" s="127"/>
      <c r="AN98" s="20"/>
      <c r="AO98" s="270"/>
      <c r="AP98" s="647"/>
      <c r="AQ98" s="138"/>
      <c r="AR98" s="126"/>
      <c r="AS98" s="126"/>
      <c r="AT98" s="127"/>
      <c r="AU98" s="21"/>
      <c r="AV98" s="270"/>
      <c r="AW98" s="647"/>
      <c r="AX98" s="124"/>
      <c r="AY98" s="125"/>
      <c r="AZ98" s="126"/>
      <c r="BA98" s="127"/>
      <c r="BB98" s="20"/>
      <c r="BC98" s="647"/>
      <c r="BD98" s="125"/>
      <c r="BE98" s="126"/>
      <c r="BF98" s="127"/>
      <c r="BG98" s="20"/>
      <c r="BH98" s="268"/>
      <c r="BI98" s="845"/>
      <c r="BJ98" s="309"/>
      <c r="BK98" s="310"/>
      <c r="BL98" s="307"/>
      <c r="BM98" s="20"/>
      <c r="BN98" s="268"/>
      <c r="BO98" s="845"/>
      <c r="BP98" s="309"/>
      <c r="BQ98" s="845"/>
      <c r="BR98" s="309"/>
      <c r="BS98" s="310"/>
      <c r="BT98" s="307"/>
      <c r="BU98" s="20"/>
      <c r="BV98" s="270"/>
      <c r="BW98" s="647"/>
      <c r="BX98" s="124"/>
      <c r="BY98" s="126"/>
      <c r="BZ98" s="127"/>
      <c r="CA98" s="20"/>
      <c r="CB98" s="270"/>
      <c r="CC98" s="720"/>
      <c r="CD98" s="309"/>
      <c r="CE98" s="310"/>
      <c r="CF98" s="307"/>
      <c r="CG98" s="20"/>
      <c r="CH98" s="708"/>
      <c r="CI98" s="946"/>
      <c r="CJ98" s="310"/>
      <c r="CK98" s="310"/>
      <c r="CL98" s="307"/>
      <c r="CM98" s="20"/>
      <c r="CN98" s="270"/>
      <c r="CO98" s="490"/>
      <c r="CP98" s="309"/>
      <c r="CQ98" s="310"/>
      <c r="CR98" s="307"/>
      <c r="CS98" s="20"/>
      <c r="CT98" s="270"/>
      <c r="CU98" s="720"/>
      <c r="CV98" s="309"/>
      <c r="CW98" s="310"/>
      <c r="CX98" s="307"/>
      <c r="CY98" s="566"/>
      <c r="CZ98" s="720"/>
      <c r="DA98" s="20"/>
      <c r="DB98" s="708"/>
      <c r="DC98" s="720"/>
      <c r="DD98" s="147"/>
      <c r="DE98" s="310"/>
      <c r="DF98" s="310"/>
      <c r="DG98" s="307"/>
      <c r="DH98" s="20"/>
      <c r="DI98" s="270"/>
      <c r="DJ98" s="768"/>
      <c r="DK98" s="309"/>
      <c r="DL98" s="310"/>
      <c r="DM98" s="307"/>
      <c r="DN98" s="20"/>
      <c r="DO98" s="270"/>
      <c r="DP98" s="760"/>
      <c r="DQ98" s="309"/>
      <c r="DR98" s="310"/>
      <c r="DS98" s="307"/>
      <c r="DT98" s="20"/>
      <c r="DU98" s="708"/>
      <c r="DV98" s="720"/>
      <c r="DW98" s="147"/>
      <c r="DX98" s="310"/>
      <c r="DY98" s="310"/>
      <c r="DZ98" s="307"/>
      <c r="EA98" s="20"/>
      <c r="EB98" s="270"/>
      <c r="EC98" s="781"/>
      <c r="ED98" s="309"/>
      <c r="EE98" s="310"/>
      <c r="EF98" s="307"/>
      <c r="EG98" s="20"/>
      <c r="EH98" s="270"/>
      <c r="EI98" s="781"/>
      <c r="EJ98" s="309"/>
      <c r="EK98" s="310"/>
      <c r="EL98" s="307"/>
      <c r="EM98" s="20"/>
      <c r="EN98" s="268"/>
    </row>
    <row r="99" spans="1:144" ht="16.5" customHeight="1" thickBot="1" x14ac:dyDescent="0.25">
      <c r="A99" s="6" t="s">
        <v>62</v>
      </c>
      <c r="B99" s="972"/>
      <c r="C99" s="331">
        <f>C98+1</f>
        <v>46016</v>
      </c>
      <c r="D99" s="1"/>
      <c r="E99" s="23"/>
      <c r="F99" s="526"/>
      <c r="G99" s="23"/>
      <c r="H99" s="1"/>
      <c r="I99" s="265"/>
      <c r="J99" s="647"/>
      <c r="K99" s="124"/>
      <c r="L99" s="126"/>
      <c r="M99" s="126"/>
      <c r="N99" s="127"/>
      <c r="O99" s="23"/>
      <c r="P99" s="624"/>
      <c r="Q99" s="647"/>
      <c r="R99" s="126"/>
      <c r="S99" s="647"/>
      <c r="T99" s="126"/>
      <c r="U99" s="124"/>
      <c r="V99" s="126"/>
      <c r="W99" s="23"/>
      <c r="X99" s="708"/>
      <c r="Y99" s="647"/>
      <c r="Z99" s="124"/>
      <c r="AA99" s="125"/>
      <c r="AB99" s="126"/>
      <c r="AC99" s="127"/>
      <c r="AD99" s="21"/>
      <c r="AE99" s="708"/>
      <c r="AF99" s="647"/>
      <c r="AG99" s="647"/>
      <c r="AH99" s="647"/>
      <c r="AI99" s="647"/>
      <c r="AJ99" s="124"/>
      <c r="AK99" s="125"/>
      <c r="AL99" s="126"/>
      <c r="AM99" s="127"/>
      <c r="AN99" s="20"/>
      <c r="AO99" s="270"/>
      <c r="AP99" s="647"/>
      <c r="AQ99" s="138"/>
      <c r="AR99" s="126"/>
      <c r="AS99" s="126"/>
      <c r="AT99" s="127"/>
      <c r="AU99" s="21"/>
      <c r="AV99" s="270"/>
      <c r="AW99" s="647"/>
      <c r="AX99" s="124"/>
      <c r="AY99" s="125"/>
      <c r="AZ99" s="126"/>
      <c r="BA99" s="127"/>
      <c r="BB99" s="20"/>
      <c r="BC99" s="647"/>
      <c r="BD99" s="125"/>
      <c r="BE99" s="126"/>
      <c r="BF99" s="127"/>
      <c r="BG99" s="20"/>
      <c r="BH99" s="268"/>
      <c r="BI99" s="845"/>
      <c r="BJ99" s="238"/>
      <c r="BK99" s="239"/>
      <c r="BL99" s="240"/>
      <c r="BM99" s="20"/>
      <c r="BN99" s="268"/>
      <c r="BO99" s="845"/>
      <c r="BP99" s="238"/>
      <c r="BQ99" s="845"/>
      <c r="BR99" s="238"/>
      <c r="BS99" s="239"/>
      <c r="BT99" s="240"/>
      <c r="BU99" s="20"/>
      <c r="BV99" s="270"/>
      <c r="BW99" s="647"/>
      <c r="BX99" s="124"/>
      <c r="BY99" s="126"/>
      <c r="BZ99" s="127"/>
      <c r="CA99" s="20"/>
      <c r="CB99" s="270"/>
      <c r="CC99" s="720"/>
      <c r="CD99" s="238"/>
      <c r="CE99" s="239"/>
      <c r="CF99" s="240"/>
      <c r="CG99" s="20"/>
      <c r="CH99" s="708"/>
      <c r="CI99" s="946"/>
      <c r="CJ99" s="239"/>
      <c r="CK99" s="239"/>
      <c r="CL99" s="240"/>
      <c r="CM99" s="20"/>
      <c r="CN99" s="270"/>
      <c r="CO99" s="490"/>
      <c r="CP99" s="238"/>
      <c r="CQ99" s="239"/>
      <c r="CR99" s="240"/>
      <c r="CS99" s="20"/>
      <c r="CT99" s="270"/>
      <c r="CU99" s="720"/>
      <c r="CV99" s="238"/>
      <c r="CW99" s="239"/>
      <c r="CX99" s="240"/>
      <c r="CY99" s="566"/>
      <c r="CZ99" s="720"/>
      <c r="DA99" s="20"/>
      <c r="DB99" s="708"/>
      <c r="DC99" s="720"/>
      <c r="DD99" s="252"/>
      <c r="DE99" s="239"/>
      <c r="DF99" s="239"/>
      <c r="DG99" s="240"/>
      <c r="DH99" s="20"/>
      <c r="DI99" s="270"/>
      <c r="DJ99" s="768"/>
      <c r="DK99" s="238"/>
      <c r="DL99" s="239"/>
      <c r="DM99" s="240"/>
      <c r="DN99" s="20"/>
      <c r="DO99" s="270"/>
      <c r="DP99" s="760"/>
      <c r="DQ99" s="238"/>
      <c r="DR99" s="239"/>
      <c r="DS99" s="240"/>
      <c r="DT99" s="20"/>
      <c r="DU99" s="708"/>
      <c r="DV99" s="720"/>
      <c r="DW99" s="252"/>
      <c r="DX99" s="239"/>
      <c r="DY99" s="239"/>
      <c r="DZ99" s="240"/>
      <c r="EA99" s="20"/>
      <c r="EB99" s="270"/>
      <c r="EC99" s="781"/>
      <c r="ED99" s="238"/>
      <c r="EE99" s="239"/>
      <c r="EF99" s="240"/>
      <c r="EG99" s="20"/>
      <c r="EH99" s="270"/>
      <c r="EI99" s="781"/>
      <c r="EJ99" s="238"/>
      <c r="EK99" s="239"/>
      <c r="EL99" s="240"/>
      <c r="EM99" s="20"/>
      <c r="EN99" s="268"/>
    </row>
    <row r="100" spans="1:144" ht="32.25" customHeight="1" thickBot="1" x14ac:dyDescent="0.25">
      <c r="A100" s="6" t="s">
        <v>62</v>
      </c>
      <c r="B100" s="972"/>
      <c r="C100" s="34">
        <f>C99+1</f>
        <v>46017</v>
      </c>
      <c r="D100" s="1"/>
      <c r="E100" s="23"/>
      <c r="F100" s="526"/>
      <c r="G100" s="23"/>
      <c r="H100" s="1"/>
      <c r="I100" s="265"/>
      <c r="J100" s="647"/>
      <c r="K100" s="174"/>
      <c r="L100" s="176"/>
      <c r="M100" s="176"/>
      <c r="N100" s="177"/>
      <c r="O100" s="23"/>
      <c r="P100" s="624"/>
      <c r="Q100" s="647"/>
      <c r="R100" s="176"/>
      <c r="S100" s="647"/>
      <c r="T100" s="176"/>
      <c r="U100" s="174"/>
      <c r="V100" s="176"/>
      <c r="W100" s="23"/>
      <c r="X100" s="709"/>
      <c r="Y100" s="647"/>
      <c r="Z100" s="174"/>
      <c r="AA100" s="175"/>
      <c r="AB100" s="176"/>
      <c r="AC100" s="177"/>
      <c r="AD100" s="21"/>
      <c r="AE100" s="709"/>
      <c r="AF100" s="647"/>
      <c r="AG100" s="647"/>
      <c r="AH100" s="647"/>
      <c r="AI100" s="647"/>
      <c r="AJ100" s="174"/>
      <c r="AK100" s="175"/>
      <c r="AL100" s="176"/>
      <c r="AM100" s="177"/>
      <c r="AN100" s="20"/>
      <c r="AO100" s="270"/>
      <c r="AP100" s="647"/>
      <c r="AQ100" s="111"/>
      <c r="AR100" s="109"/>
      <c r="AS100" s="109"/>
      <c r="AT100" s="110"/>
      <c r="AU100" s="21"/>
      <c r="AV100" s="270"/>
      <c r="AW100" s="647"/>
      <c r="AX100" s="111"/>
      <c r="AY100" s="144"/>
      <c r="AZ100" s="109"/>
      <c r="BA100" s="110"/>
      <c r="BB100" s="20"/>
      <c r="BC100" s="647"/>
      <c r="BD100" s="144"/>
      <c r="BE100" s="109"/>
      <c r="BF100" s="110"/>
      <c r="BG100" s="20"/>
      <c r="BH100" s="268"/>
      <c r="BI100" s="845"/>
      <c r="BJ100" s="67"/>
      <c r="BK100" s="47"/>
      <c r="BL100" s="48"/>
      <c r="BM100" s="20"/>
      <c r="BN100" s="268"/>
      <c r="BO100" s="845"/>
      <c r="BP100" s="67"/>
      <c r="BQ100" s="845"/>
      <c r="BR100" s="67"/>
      <c r="BS100" s="312"/>
      <c r="BT100" s="48"/>
      <c r="BU100" s="20"/>
      <c r="BV100" s="270"/>
      <c r="BW100" s="647"/>
      <c r="BX100" s="128"/>
      <c r="BY100" s="108"/>
      <c r="BZ100" s="130"/>
      <c r="CA100" s="20"/>
      <c r="CB100" s="270"/>
      <c r="CC100" s="720"/>
      <c r="CD100" s="67"/>
      <c r="CE100" s="47"/>
      <c r="CF100" s="48"/>
      <c r="CG100" s="20"/>
      <c r="CH100" s="709"/>
      <c r="CI100" s="946"/>
      <c r="CJ100" s="59"/>
      <c r="CK100" s="59"/>
      <c r="CL100" s="64"/>
      <c r="CM100" s="20"/>
      <c r="CN100" s="270"/>
      <c r="CO100" s="490"/>
      <c r="CP100" s="67"/>
      <c r="CQ100" s="312"/>
      <c r="CR100" s="48"/>
      <c r="CS100" s="20"/>
      <c r="CT100" s="270"/>
      <c r="CU100" s="720"/>
      <c r="CV100" s="67"/>
      <c r="CW100" s="312"/>
      <c r="CX100" s="48"/>
      <c r="CY100" s="568"/>
      <c r="CZ100" s="720"/>
      <c r="DA100" s="20"/>
      <c r="DB100" s="709"/>
      <c r="DC100" s="720"/>
      <c r="DD100" s="311"/>
      <c r="DE100" s="313"/>
      <c r="DF100" s="313"/>
      <c r="DG100" s="315"/>
      <c r="DH100" s="20"/>
      <c r="DI100" s="270"/>
      <c r="DJ100" s="768"/>
      <c r="DK100" s="67"/>
      <c r="DL100" s="312"/>
      <c r="DM100" s="48"/>
      <c r="DN100" s="20"/>
      <c r="DO100" s="270"/>
      <c r="DP100" s="760"/>
      <c r="DQ100" s="67"/>
      <c r="DR100" s="312"/>
      <c r="DS100" s="48"/>
      <c r="DT100" s="20"/>
      <c r="DU100" s="709"/>
      <c r="DV100" s="720"/>
      <c r="DW100" s="311"/>
      <c r="DX100" s="313"/>
      <c r="DY100" s="313"/>
      <c r="DZ100" s="315"/>
      <c r="EA100" s="20"/>
      <c r="EB100" s="270"/>
      <c r="EC100" s="781"/>
      <c r="ED100" s="67"/>
      <c r="EE100" s="312"/>
      <c r="EF100" s="48"/>
      <c r="EG100" s="20"/>
      <c r="EH100" s="270"/>
      <c r="EI100" s="781"/>
      <c r="EJ100" s="67"/>
      <c r="EK100" s="312"/>
      <c r="EL100" s="48"/>
      <c r="EM100" s="20"/>
      <c r="EN100" s="268"/>
    </row>
    <row r="101" spans="1:144" ht="16.5" customHeight="1" thickBot="1" x14ac:dyDescent="0.25">
      <c r="A101" s="6" t="s">
        <v>62</v>
      </c>
      <c r="B101" s="972">
        <v>1</v>
      </c>
      <c r="C101" s="89">
        <f>C96+7</f>
        <v>46020</v>
      </c>
      <c r="D101" s="4"/>
      <c r="E101" s="24"/>
      <c r="F101" s="525"/>
      <c r="G101" s="24"/>
      <c r="H101" s="4"/>
      <c r="I101" s="265"/>
      <c r="J101" s="647"/>
      <c r="K101" s="133"/>
      <c r="L101" s="103"/>
      <c r="M101" s="103"/>
      <c r="N101" s="104"/>
      <c r="O101" s="24"/>
      <c r="P101" s="624"/>
      <c r="Q101" s="647"/>
      <c r="R101" s="103"/>
      <c r="S101" s="647"/>
      <c r="T101" s="103"/>
      <c r="U101" s="133"/>
      <c r="V101" s="103"/>
      <c r="W101" s="24"/>
      <c r="X101" s="270"/>
      <c r="Y101" s="647"/>
      <c r="Z101" s="133"/>
      <c r="AA101" s="145"/>
      <c r="AB101" s="103"/>
      <c r="AC101" s="104"/>
      <c r="AD101" s="21"/>
      <c r="AE101" s="270"/>
      <c r="AF101" s="647"/>
      <c r="AG101" s="647"/>
      <c r="AH101" s="647"/>
      <c r="AI101" s="647"/>
      <c r="AJ101" s="133"/>
      <c r="AK101" s="145"/>
      <c r="AL101" s="103"/>
      <c r="AM101" s="104"/>
      <c r="AN101" s="21"/>
      <c r="AO101" s="270"/>
      <c r="AP101" s="647"/>
      <c r="AQ101" s="133"/>
      <c r="AR101" s="103"/>
      <c r="AS101" s="103"/>
      <c r="AT101" s="104"/>
      <c r="AU101" s="21"/>
      <c r="AV101" s="270"/>
      <c r="AW101" s="647"/>
      <c r="AX101" s="133"/>
      <c r="AY101" s="145"/>
      <c r="AZ101" s="103"/>
      <c r="BA101" s="104"/>
      <c r="BB101" s="21"/>
      <c r="BC101" s="647"/>
      <c r="BD101" s="145"/>
      <c r="BE101" s="103"/>
      <c r="BF101" s="104"/>
      <c r="BG101" s="21"/>
      <c r="BH101" s="268"/>
      <c r="BI101" s="845"/>
      <c r="BJ101" s="61"/>
      <c r="BK101" s="39"/>
      <c r="BL101" s="35"/>
      <c r="BM101" s="21"/>
      <c r="BN101" s="268"/>
      <c r="BO101" s="845"/>
      <c r="BP101" s="314"/>
      <c r="BQ101" s="845"/>
      <c r="BR101" s="314"/>
      <c r="BS101" s="308"/>
      <c r="BT101" s="306"/>
      <c r="BU101" s="21"/>
      <c r="BV101" s="270"/>
      <c r="BW101" s="647"/>
      <c r="BX101" s="133"/>
      <c r="BY101" s="103"/>
      <c r="BZ101" s="104"/>
      <c r="CA101" s="21"/>
      <c r="CB101" s="270"/>
      <c r="CC101" s="720"/>
      <c r="CD101" s="314"/>
      <c r="CE101" s="39"/>
      <c r="CF101" s="35"/>
      <c r="CG101" s="21"/>
      <c r="CH101" s="271"/>
      <c r="CI101" s="946"/>
      <c r="CJ101" s="39"/>
      <c r="CK101" s="39"/>
      <c r="CL101" s="35"/>
      <c r="CM101" s="21"/>
      <c r="CN101" s="270"/>
      <c r="CO101" s="490"/>
      <c r="CP101" s="314"/>
      <c r="CQ101" s="308"/>
      <c r="CR101" s="306"/>
      <c r="CS101" s="21"/>
      <c r="CT101" s="270"/>
      <c r="CU101" s="720"/>
      <c r="CV101" s="314"/>
      <c r="CW101" s="308"/>
      <c r="CX101" s="306"/>
      <c r="CY101" s="566"/>
      <c r="CZ101" s="720"/>
      <c r="DA101" s="21"/>
      <c r="DB101" s="270"/>
      <c r="DC101" s="720"/>
      <c r="DD101" s="314"/>
      <c r="DE101" s="308"/>
      <c r="DF101" s="308"/>
      <c r="DG101" s="306"/>
      <c r="DH101" s="20"/>
      <c r="DI101" s="270"/>
      <c r="DJ101" s="768"/>
      <c r="DK101" s="314"/>
      <c r="DL101" s="308"/>
      <c r="DM101" s="306"/>
      <c r="DN101" s="20"/>
      <c r="DO101" s="270"/>
      <c r="DP101" s="760"/>
      <c r="DQ101" s="314"/>
      <c r="DR101" s="308"/>
      <c r="DS101" s="306"/>
      <c r="DT101" s="20"/>
      <c r="DU101" s="707" t="s">
        <v>81</v>
      </c>
      <c r="DV101" s="720"/>
      <c r="DW101" s="314"/>
      <c r="DX101" s="308"/>
      <c r="DY101" s="308"/>
      <c r="DZ101" s="306"/>
      <c r="EA101" s="20"/>
      <c r="EB101" s="707" t="s">
        <v>81</v>
      </c>
      <c r="EC101" s="781"/>
      <c r="ED101" s="314"/>
      <c r="EE101" s="308"/>
      <c r="EF101" s="306"/>
      <c r="EG101" s="20"/>
      <c r="EH101" s="270"/>
      <c r="EI101" s="781"/>
      <c r="EJ101" s="314"/>
      <c r="EK101" s="308"/>
      <c r="EL101" s="306"/>
      <c r="EM101" s="20"/>
      <c r="EN101" s="268"/>
    </row>
    <row r="102" spans="1:144" ht="16.5" customHeight="1" thickBot="1" x14ac:dyDescent="0.25">
      <c r="A102" s="6" t="s">
        <v>62</v>
      </c>
      <c r="B102" s="972"/>
      <c r="C102" s="33">
        <f>C101+1</f>
        <v>46021</v>
      </c>
      <c r="D102" s="1"/>
      <c r="E102" s="23"/>
      <c r="F102" s="526"/>
      <c r="G102" s="23"/>
      <c r="H102" s="1"/>
      <c r="I102" s="265"/>
      <c r="J102" s="647"/>
      <c r="K102" s="124"/>
      <c r="L102" s="126"/>
      <c r="M102" s="126"/>
      <c r="N102" s="127"/>
      <c r="O102" s="23"/>
      <c r="P102" s="624"/>
      <c r="Q102" s="647"/>
      <c r="R102" s="126"/>
      <c r="S102" s="647"/>
      <c r="T102" s="126"/>
      <c r="U102" s="124"/>
      <c r="V102" s="126"/>
      <c r="W102" s="23"/>
      <c r="X102" s="270"/>
      <c r="Y102" s="647"/>
      <c r="Z102" s="124"/>
      <c r="AA102" s="125"/>
      <c r="AB102" s="126"/>
      <c r="AC102" s="127"/>
      <c r="AD102" s="21"/>
      <c r="AE102" s="270"/>
      <c r="AF102" s="647"/>
      <c r="AG102" s="647"/>
      <c r="AH102" s="647"/>
      <c r="AI102" s="647"/>
      <c r="AJ102" s="124"/>
      <c r="AK102" s="125"/>
      <c r="AL102" s="126"/>
      <c r="AM102" s="127"/>
      <c r="AN102" s="21"/>
      <c r="AO102" s="270"/>
      <c r="AP102" s="647"/>
      <c r="AQ102" s="138"/>
      <c r="AR102" s="126"/>
      <c r="AS102" s="126"/>
      <c r="AT102" s="127"/>
      <c r="AU102" s="21"/>
      <c r="AV102" s="270"/>
      <c r="AW102" s="647"/>
      <c r="AX102" s="124"/>
      <c r="AY102" s="125"/>
      <c r="AZ102" s="126"/>
      <c r="BA102" s="127"/>
      <c r="BB102" s="21"/>
      <c r="BC102" s="647"/>
      <c r="BD102" s="125"/>
      <c r="BE102" s="126"/>
      <c r="BF102" s="127"/>
      <c r="BG102" s="21"/>
      <c r="BH102" s="268"/>
      <c r="BI102" s="845"/>
      <c r="BJ102" s="63"/>
      <c r="BK102" s="50"/>
      <c r="BL102" s="60"/>
      <c r="BM102" s="21"/>
      <c r="BN102" s="268"/>
      <c r="BO102" s="845"/>
      <c r="BP102" s="63"/>
      <c r="BQ102" s="845"/>
      <c r="BR102" s="63"/>
      <c r="BS102" s="50"/>
      <c r="BT102" s="60"/>
      <c r="BU102" s="21"/>
      <c r="BV102" s="270"/>
      <c r="BW102" s="647"/>
      <c r="BX102" s="121"/>
      <c r="BY102" s="107"/>
      <c r="BZ102" s="123"/>
      <c r="CA102" s="21"/>
      <c r="CB102" s="270"/>
      <c r="CC102" s="720"/>
      <c r="CD102" s="63"/>
      <c r="CE102" s="50"/>
      <c r="CF102" s="60"/>
      <c r="CG102" s="21"/>
      <c r="CH102" s="271"/>
      <c r="CI102" s="946"/>
      <c r="CJ102" s="44"/>
      <c r="CK102" s="44"/>
      <c r="CL102" s="36"/>
      <c r="CM102" s="21"/>
      <c r="CN102" s="271"/>
      <c r="CO102" s="490"/>
      <c r="CP102" s="63"/>
      <c r="CQ102" s="50"/>
      <c r="CR102" s="60"/>
      <c r="CS102" s="21"/>
      <c r="CT102" s="270"/>
      <c r="CU102" s="720"/>
      <c r="CV102" s="63"/>
      <c r="CW102" s="50"/>
      <c r="CX102" s="60"/>
      <c r="CY102" s="568"/>
      <c r="CZ102" s="720"/>
      <c r="DA102" s="21"/>
      <c r="DB102" s="270"/>
      <c r="DC102" s="720"/>
      <c r="DD102" s="147"/>
      <c r="DE102" s="310"/>
      <c r="DF102" s="310"/>
      <c r="DG102" s="307"/>
      <c r="DH102" s="20"/>
      <c r="DI102" s="270"/>
      <c r="DJ102" s="768"/>
      <c r="DK102" s="63"/>
      <c r="DL102" s="50"/>
      <c r="DM102" s="60"/>
      <c r="DN102" s="20"/>
      <c r="DO102" s="271"/>
      <c r="DP102" s="760"/>
      <c r="DQ102" s="63"/>
      <c r="DR102" s="50"/>
      <c r="DS102" s="60"/>
      <c r="DT102" s="20"/>
      <c r="DU102" s="708"/>
      <c r="DV102" s="720"/>
      <c r="DW102" s="147"/>
      <c r="DX102" s="310"/>
      <c r="DY102" s="310"/>
      <c r="DZ102" s="307"/>
      <c r="EA102" s="20"/>
      <c r="EB102" s="708"/>
      <c r="EC102" s="781"/>
      <c r="ED102" s="63"/>
      <c r="EE102" s="50"/>
      <c r="EF102" s="60"/>
      <c r="EG102" s="20"/>
      <c r="EH102" s="271"/>
      <c r="EI102" s="781"/>
      <c r="EJ102" s="63"/>
      <c r="EK102" s="50"/>
      <c r="EL102" s="60"/>
      <c r="EM102" s="20"/>
      <c r="EN102" s="268"/>
    </row>
    <row r="103" spans="1:144" ht="16.5" customHeight="1" thickBot="1" x14ac:dyDescent="0.25">
      <c r="A103" s="6" t="s">
        <v>71</v>
      </c>
      <c r="B103" s="972"/>
      <c r="C103" s="302">
        <f>C102+1</f>
        <v>46022</v>
      </c>
      <c r="D103" s="1"/>
      <c r="E103" s="23"/>
      <c r="F103" s="526"/>
      <c r="G103" s="23"/>
      <c r="H103" s="1"/>
      <c r="I103" s="265"/>
      <c r="J103" s="647"/>
      <c r="K103" s="124"/>
      <c r="L103" s="126"/>
      <c r="M103" s="126"/>
      <c r="N103" s="127"/>
      <c r="O103" s="23"/>
      <c r="P103" s="624"/>
      <c r="Q103" s="647"/>
      <c r="R103" s="126"/>
      <c r="S103" s="647"/>
      <c r="T103" s="126"/>
      <c r="U103" s="124"/>
      <c r="V103" s="126"/>
      <c r="W103" s="23"/>
      <c r="X103" s="270"/>
      <c r="Y103" s="647"/>
      <c r="Z103" s="124"/>
      <c r="AA103" s="125"/>
      <c r="AB103" s="126"/>
      <c r="AC103" s="127"/>
      <c r="AD103" s="21"/>
      <c r="AE103" s="270"/>
      <c r="AF103" s="647"/>
      <c r="AG103" s="647"/>
      <c r="AH103" s="647"/>
      <c r="AI103" s="647"/>
      <c r="AJ103" s="124"/>
      <c r="AK103" s="125"/>
      <c r="AL103" s="126"/>
      <c r="AM103" s="127"/>
      <c r="AN103" s="21"/>
      <c r="AO103" s="270"/>
      <c r="AP103" s="647"/>
      <c r="AQ103" s="138"/>
      <c r="AR103" s="126"/>
      <c r="AS103" s="126"/>
      <c r="AT103" s="127"/>
      <c r="AU103" s="21"/>
      <c r="AV103" s="270"/>
      <c r="AW103" s="647"/>
      <c r="AX103" s="124"/>
      <c r="AY103" s="125"/>
      <c r="AZ103" s="126"/>
      <c r="BA103" s="127"/>
      <c r="BB103" s="21"/>
      <c r="BC103" s="647"/>
      <c r="BD103" s="125"/>
      <c r="BE103" s="126"/>
      <c r="BF103" s="127"/>
      <c r="BG103" s="21"/>
      <c r="BH103" s="268"/>
      <c r="BI103" s="845"/>
      <c r="BJ103" s="309"/>
      <c r="BK103" s="310"/>
      <c r="BL103" s="307"/>
      <c r="BM103" s="21"/>
      <c r="BN103" s="268"/>
      <c r="BO103" s="845"/>
      <c r="BP103" s="309"/>
      <c r="BQ103" s="845"/>
      <c r="BR103" s="309"/>
      <c r="BS103" s="310"/>
      <c r="BT103" s="307"/>
      <c r="BU103" s="21"/>
      <c r="BV103" s="270"/>
      <c r="BW103" s="647"/>
      <c r="BX103" s="124"/>
      <c r="BY103" s="126"/>
      <c r="BZ103" s="127"/>
      <c r="CA103" s="21"/>
      <c r="CB103" s="270"/>
      <c r="CC103" s="720"/>
      <c r="CD103" s="309"/>
      <c r="CE103" s="310"/>
      <c r="CF103" s="307"/>
      <c r="CG103" s="21"/>
      <c r="CH103" s="271"/>
      <c r="CI103" s="946"/>
      <c r="CJ103" s="310"/>
      <c r="CK103" s="310"/>
      <c r="CL103" s="307"/>
      <c r="CM103" s="21"/>
      <c r="CN103" s="271"/>
      <c r="CO103" s="490"/>
      <c r="CP103" s="309"/>
      <c r="CQ103" s="310"/>
      <c r="CR103" s="307"/>
      <c r="CS103" s="21"/>
      <c r="CT103" s="270"/>
      <c r="CU103" s="720"/>
      <c r="CV103" s="309"/>
      <c r="CW103" s="310"/>
      <c r="CX103" s="307"/>
      <c r="CY103" s="566"/>
      <c r="CZ103" s="720"/>
      <c r="DA103" s="21"/>
      <c r="DB103" s="270"/>
      <c r="DC103" s="720"/>
      <c r="DD103" s="147"/>
      <c r="DE103" s="310"/>
      <c r="DF103" s="310"/>
      <c r="DG103" s="307"/>
      <c r="DH103" s="20"/>
      <c r="DI103" s="270"/>
      <c r="DJ103" s="768"/>
      <c r="DK103" s="309"/>
      <c r="DL103" s="310"/>
      <c r="DM103" s="307"/>
      <c r="DN103" s="20"/>
      <c r="DO103" s="271"/>
      <c r="DP103" s="760"/>
      <c r="DQ103" s="309"/>
      <c r="DR103" s="310"/>
      <c r="DS103" s="307"/>
      <c r="DT103" s="20"/>
      <c r="DU103" s="708"/>
      <c r="DV103" s="720"/>
      <c r="DW103" s="147"/>
      <c r="DX103" s="310"/>
      <c r="DY103" s="310"/>
      <c r="DZ103" s="307"/>
      <c r="EA103" s="20"/>
      <c r="EB103" s="708"/>
      <c r="EC103" s="781"/>
      <c r="ED103" s="309"/>
      <c r="EE103" s="310"/>
      <c r="EF103" s="307"/>
      <c r="EG103" s="20"/>
      <c r="EH103" s="271"/>
      <c r="EI103" s="781"/>
      <c r="EJ103" s="309"/>
      <c r="EK103" s="310"/>
      <c r="EL103" s="307"/>
      <c r="EM103" s="20"/>
      <c r="EN103" s="268"/>
    </row>
    <row r="104" spans="1:144" ht="16.5" customHeight="1" thickBot="1" x14ac:dyDescent="0.25">
      <c r="A104" s="6" t="s">
        <v>62</v>
      </c>
      <c r="B104" s="972"/>
      <c r="C104" s="331">
        <f>C103+1</f>
        <v>46023</v>
      </c>
      <c r="D104" s="1"/>
      <c r="E104" s="23"/>
      <c r="F104" s="526"/>
      <c r="G104" s="23"/>
      <c r="H104" s="1"/>
      <c r="I104" s="528"/>
      <c r="J104" s="647"/>
      <c r="K104" s="124"/>
      <c r="L104" s="126"/>
      <c r="M104" s="126"/>
      <c r="N104" s="127"/>
      <c r="O104" s="23"/>
      <c r="P104" s="623"/>
      <c r="Q104" s="647"/>
      <c r="R104" s="126"/>
      <c r="S104" s="647"/>
      <c r="T104" s="126"/>
      <c r="U104" s="124"/>
      <c r="V104" s="126"/>
      <c r="W104" s="23"/>
      <c r="X104" s="270"/>
      <c r="Y104" s="647"/>
      <c r="Z104" s="124"/>
      <c r="AA104" s="125"/>
      <c r="AB104" s="126"/>
      <c r="AC104" s="127"/>
      <c r="AD104" s="21"/>
      <c r="AE104" s="270"/>
      <c r="AF104" s="647"/>
      <c r="AG104" s="647"/>
      <c r="AH104" s="647"/>
      <c r="AI104" s="647"/>
      <c r="AJ104" s="124"/>
      <c r="AK104" s="125"/>
      <c r="AL104" s="126"/>
      <c r="AM104" s="127"/>
      <c r="AN104" s="21"/>
      <c r="AO104" s="270"/>
      <c r="AP104" s="647"/>
      <c r="AQ104" s="138"/>
      <c r="AR104" s="126"/>
      <c r="AS104" s="126"/>
      <c r="AT104" s="127"/>
      <c r="AU104" s="21"/>
      <c r="AV104" s="270"/>
      <c r="AW104" s="647"/>
      <c r="AX104" s="124"/>
      <c r="AY104" s="125"/>
      <c r="AZ104" s="126"/>
      <c r="BA104" s="127"/>
      <c r="BB104" s="21"/>
      <c r="BC104" s="647"/>
      <c r="BD104" s="125"/>
      <c r="BE104" s="126"/>
      <c r="BF104" s="127"/>
      <c r="BG104" s="21"/>
      <c r="BH104" s="268"/>
      <c r="BI104" s="845"/>
      <c r="BJ104" s="238"/>
      <c r="BK104" s="239"/>
      <c r="BL104" s="240"/>
      <c r="BM104" s="21"/>
      <c r="BN104" s="268"/>
      <c r="BO104" s="845"/>
      <c r="BP104" s="238"/>
      <c r="BQ104" s="845"/>
      <c r="BR104" s="238"/>
      <c r="BS104" s="239"/>
      <c r="BT104" s="240"/>
      <c r="BU104" s="21"/>
      <c r="BV104" s="270"/>
      <c r="BW104" s="647"/>
      <c r="BX104" s="124"/>
      <c r="BY104" s="126"/>
      <c r="BZ104" s="127"/>
      <c r="CA104" s="21"/>
      <c r="CB104" s="274"/>
      <c r="CC104" s="720"/>
      <c r="CD104" s="238"/>
      <c r="CE104" s="239"/>
      <c r="CF104" s="240"/>
      <c r="CG104" s="21"/>
      <c r="CH104" s="271"/>
      <c r="CI104" s="946"/>
      <c r="CJ104" s="239"/>
      <c r="CK104" s="239"/>
      <c r="CL104" s="240"/>
      <c r="CM104" s="21"/>
      <c r="CN104" s="271"/>
      <c r="CO104" s="490"/>
      <c r="CP104" s="238"/>
      <c r="CQ104" s="239"/>
      <c r="CR104" s="240"/>
      <c r="CS104" s="21"/>
      <c r="CT104" s="270"/>
      <c r="CU104" s="720"/>
      <c r="CV104" s="238"/>
      <c r="CW104" s="239"/>
      <c r="CX104" s="240"/>
      <c r="CY104" s="566"/>
      <c r="CZ104" s="720"/>
      <c r="DA104" s="21"/>
      <c r="DB104" s="270"/>
      <c r="DC104" s="720"/>
      <c r="DD104" s="252"/>
      <c r="DE104" s="239"/>
      <c r="DF104" s="239"/>
      <c r="DG104" s="240"/>
      <c r="DH104" s="20"/>
      <c r="DI104" s="270"/>
      <c r="DJ104" s="768"/>
      <c r="DK104" s="238"/>
      <c r="DL104" s="239"/>
      <c r="DM104" s="240"/>
      <c r="DN104" s="20"/>
      <c r="DO104" s="271"/>
      <c r="DP104" s="760"/>
      <c r="DQ104" s="238"/>
      <c r="DR104" s="239"/>
      <c r="DS104" s="240"/>
      <c r="DT104" s="20"/>
      <c r="DU104" s="708"/>
      <c r="DV104" s="720"/>
      <c r="DW104" s="252"/>
      <c r="DX104" s="239"/>
      <c r="DY104" s="239"/>
      <c r="DZ104" s="240"/>
      <c r="EA104" s="20"/>
      <c r="EB104" s="708"/>
      <c r="EC104" s="781"/>
      <c r="ED104" s="238"/>
      <c r="EE104" s="239"/>
      <c r="EF104" s="240"/>
      <c r="EG104" s="20"/>
      <c r="EH104" s="271"/>
      <c r="EI104" s="781"/>
      <c r="EJ104" s="238"/>
      <c r="EK104" s="239"/>
      <c r="EL104" s="240"/>
      <c r="EM104" s="20"/>
      <c r="EN104" s="268"/>
    </row>
    <row r="105" spans="1:144" ht="16.5" customHeight="1" thickBot="1" x14ac:dyDescent="0.25">
      <c r="A105" s="6" t="s">
        <v>62</v>
      </c>
      <c r="B105" s="972"/>
      <c r="C105" s="330">
        <f>C104+1</f>
        <v>46024</v>
      </c>
      <c r="D105" s="1"/>
      <c r="E105" s="23"/>
      <c r="F105" s="526"/>
      <c r="G105" s="23"/>
      <c r="H105" s="1"/>
      <c r="I105" s="528"/>
      <c r="J105" s="648"/>
      <c r="K105" s="111"/>
      <c r="L105" s="109"/>
      <c r="M105" s="109"/>
      <c r="N105" s="110"/>
      <c r="O105" s="23"/>
      <c r="P105" s="623"/>
      <c r="Q105" s="648"/>
      <c r="R105" s="109"/>
      <c r="S105" s="648"/>
      <c r="T105" s="109"/>
      <c r="U105" s="111"/>
      <c r="V105" s="109"/>
      <c r="W105" s="23"/>
      <c r="X105" s="270"/>
      <c r="Y105" s="648"/>
      <c r="Z105" s="111"/>
      <c r="AA105" s="144"/>
      <c r="AB105" s="109"/>
      <c r="AC105" s="110"/>
      <c r="AD105" s="21"/>
      <c r="AE105" s="270"/>
      <c r="AF105" s="648"/>
      <c r="AG105" s="648"/>
      <c r="AH105" s="648"/>
      <c r="AI105" s="648"/>
      <c r="AJ105" s="111"/>
      <c r="AK105" s="144"/>
      <c r="AL105" s="109"/>
      <c r="AM105" s="110"/>
      <c r="AN105" s="21"/>
      <c r="AO105" s="270"/>
      <c r="AP105" s="648"/>
      <c r="AQ105" s="111"/>
      <c r="AR105" s="109"/>
      <c r="AS105" s="109"/>
      <c r="AT105" s="110"/>
      <c r="AU105" s="21"/>
      <c r="AV105" s="270"/>
      <c r="AW105" s="648"/>
      <c r="AX105" s="111"/>
      <c r="AY105" s="144"/>
      <c r="AZ105" s="109"/>
      <c r="BA105" s="110"/>
      <c r="BB105" s="21"/>
      <c r="BC105" s="648"/>
      <c r="BD105" s="144"/>
      <c r="BE105" s="109"/>
      <c r="BF105" s="110"/>
      <c r="BG105" s="21"/>
      <c r="BH105" s="268"/>
      <c r="BI105" s="845"/>
      <c r="BJ105" s="67"/>
      <c r="BK105" s="47"/>
      <c r="BL105" s="48"/>
      <c r="BM105" s="21"/>
      <c r="BN105" s="268"/>
      <c r="BO105" s="845"/>
      <c r="BP105" s="67"/>
      <c r="BQ105" s="845"/>
      <c r="BR105" s="67"/>
      <c r="BS105" s="312"/>
      <c r="BT105" s="48"/>
      <c r="BU105" s="21"/>
      <c r="BV105" s="270"/>
      <c r="BW105" s="648"/>
      <c r="BX105" s="128"/>
      <c r="BY105" s="108"/>
      <c r="BZ105" s="130"/>
      <c r="CA105" s="21"/>
      <c r="CB105" s="274"/>
      <c r="CC105" s="720"/>
      <c r="CD105" s="67"/>
      <c r="CE105" s="47"/>
      <c r="CF105" s="48"/>
      <c r="CG105" s="21"/>
      <c r="CH105" s="271"/>
      <c r="CI105" s="946"/>
      <c r="CJ105" s="313"/>
      <c r="CK105" s="313"/>
      <c r="CL105" s="315"/>
      <c r="CM105" s="21"/>
      <c r="CN105" s="271"/>
      <c r="CO105" s="490"/>
      <c r="CP105" s="67"/>
      <c r="CQ105" s="312"/>
      <c r="CR105" s="48"/>
      <c r="CS105" s="21"/>
      <c r="CT105" s="270"/>
      <c r="CU105" s="720"/>
      <c r="CV105" s="67"/>
      <c r="CW105" s="312"/>
      <c r="CX105" s="48"/>
      <c r="CY105" s="568"/>
      <c r="CZ105" s="720"/>
      <c r="DA105" s="21"/>
      <c r="DB105" s="270"/>
      <c r="DC105" s="720"/>
      <c r="DD105" s="311"/>
      <c r="DE105" s="313"/>
      <c r="DF105" s="313"/>
      <c r="DG105" s="315"/>
      <c r="DH105" s="20"/>
      <c r="DI105" s="270"/>
      <c r="DJ105" s="768"/>
      <c r="DK105" s="67"/>
      <c r="DL105" s="312"/>
      <c r="DM105" s="48"/>
      <c r="DN105" s="20"/>
      <c r="DO105" s="271"/>
      <c r="DP105" s="760"/>
      <c r="DQ105" s="67"/>
      <c r="DR105" s="312"/>
      <c r="DS105" s="48"/>
      <c r="DT105" s="20"/>
      <c r="DU105" s="709"/>
      <c r="DV105" s="720"/>
      <c r="DW105" s="311"/>
      <c r="DX105" s="313"/>
      <c r="DY105" s="313"/>
      <c r="DZ105" s="315"/>
      <c r="EA105" s="20"/>
      <c r="EB105" s="709"/>
      <c r="EC105" s="781"/>
      <c r="ED105" s="67"/>
      <c r="EE105" s="312"/>
      <c r="EF105" s="48"/>
      <c r="EG105" s="20"/>
      <c r="EH105" s="271"/>
      <c r="EI105" s="781"/>
      <c r="EJ105" s="67"/>
      <c r="EK105" s="312"/>
      <c r="EL105" s="48"/>
      <c r="EM105" s="20"/>
      <c r="EN105" s="268"/>
    </row>
    <row r="106" spans="1:144" ht="15.75" customHeight="1" thickTop="1" thickBot="1" x14ac:dyDescent="0.25">
      <c r="B106" s="959">
        <f>B101+1</f>
        <v>2</v>
      </c>
      <c r="C106" s="89">
        <f>C101+7</f>
        <v>46027</v>
      </c>
      <c r="D106" s="4"/>
      <c r="E106" s="24"/>
      <c r="F106" s="525"/>
      <c r="G106" s="803" t="s">
        <v>363</v>
      </c>
      <c r="H106" s="4"/>
      <c r="I106" s="707" t="s">
        <v>99</v>
      </c>
      <c r="J106" s="671" t="s">
        <v>321</v>
      </c>
      <c r="K106" s="750">
        <v>1</v>
      </c>
      <c r="L106" s="694" t="s">
        <v>120</v>
      </c>
      <c r="M106" s="72"/>
      <c r="N106" s="62"/>
      <c r="O106" s="24"/>
      <c r="P106" s="707" t="s">
        <v>99</v>
      </c>
      <c r="Q106" s="671" t="s">
        <v>321</v>
      </c>
      <c r="R106" s="72"/>
      <c r="S106" s="671" t="s">
        <v>255</v>
      </c>
      <c r="T106" s="72"/>
      <c r="U106" s="750">
        <v>1</v>
      </c>
      <c r="V106" s="694" t="s">
        <v>120</v>
      </c>
      <c r="W106" s="24"/>
      <c r="X106" s="707" t="s">
        <v>99</v>
      </c>
      <c r="Y106" s="896" t="s">
        <v>355</v>
      </c>
      <c r="Z106" s="750">
        <v>1</v>
      </c>
      <c r="AA106" s="690" t="s">
        <v>118</v>
      </c>
      <c r="AB106" s="72"/>
      <c r="AC106" s="57"/>
      <c r="AD106" s="21"/>
      <c r="AE106" s="707" t="s">
        <v>99</v>
      </c>
      <c r="AF106" s="989" t="s">
        <v>348</v>
      </c>
      <c r="AG106" s="910" t="s">
        <v>356</v>
      </c>
      <c r="AH106" s="896" t="s">
        <v>357</v>
      </c>
      <c r="AI106" s="896" t="s">
        <v>355</v>
      </c>
      <c r="AJ106" s="750">
        <v>1</v>
      </c>
      <c r="AK106" s="690" t="s">
        <v>118</v>
      </c>
      <c r="AL106" s="72"/>
      <c r="AM106" s="57"/>
      <c r="AN106" s="21"/>
      <c r="AO106" s="707" t="s">
        <v>44</v>
      </c>
      <c r="AP106" s="835" t="s">
        <v>119</v>
      </c>
      <c r="AQ106" s="314"/>
      <c r="AR106" s="308"/>
      <c r="AS106" s="308"/>
      <c r="AT106" s="306"/>
      <c r="AU106" s="21"/>
      <c r="AV106" s="707" t="s">
        <v>44</v>
      </c>
      <c r="AW106" s="835" t="s">
        <v>119</v>
      </c>
      <c r="AX106" s="71"/>
      <c r="AY106" s="151"/>
      <c r="AZ106" s="151"/>
      <c r="BA106" s="62"/>
      <c r="BB106" s="21"/>
      <c r="BC106" s="835" t="s">
        <v>119</v>
      </c>
      <c r="BD106" s="151"/>
      <c r="BE106" s="151"/>
      <c r="BF106" s="62"/>
      <c r="BG106" s="21"/>
      <c r="BH106" s="268"/>
      <c r="BI106" s="845"/>
      <c r="BJ106" s="71"/>
      <c r="BK106" s="72"/>
      <c r="BL106" s="62"/>
      <c r="BM106" s="21"/>
      <c r="BN106" s="268"/>
      <c r="BO106" s="845"/>
      <c r="BP106" s="71"/>
      <c r="BQ106" s="845"/>
      <c r="BR106" s="71"/>
      <c r="BS106" s="72"/>
      <c r="BT106" s="62"/>
      <c r="BU106" s="21"/>
      <c r="BV106" s="270"/>
      <c r="BW106" s="953" t="s">
        <v>132</v>
      </c>
      <c r="BX106" s="900" t="s">
        <v>272</v>
      </c>
      <c r="BY106" s="72"/>
      <c r="BZ106" s="956" t="s">
        <v>125</v>
      </c>
      <c r="CA106" s="21"/>
      <c r="CB106" s="274"/>
      <c r="CC106" s="720"/>
      <c r="CD106" s="314"/>
      <c r="CE106" s="39"/>
      <c r="CF106" s="35"/>
      <c r="CG106" s="21"/>
      <c r="CH106" s="271"/>
      <c r="CI106" s="946"/>
      <c r="CJ106" s="39"/>
      <c r="CK106" s="39"/>
      <c r="CL106" s="35"/>
      <c r="CM106" s="21"/>
      <c r="CN106" s="707" t="s">
        <v>81</v>
      </c>
      <c r="CO106" s="490"/>
      <c r="CP106" s="61"/>
      <c r="CQ106" s="39"/>
      <c r="CR106" s="35"/>
      <c r="CS106" s="21"/>
      <c r="CT106" s="270"/>
      <c r="CU106" s="720"/>
      <c r="CV106" s="37"/>
      <c r="CW106" s="58"/>
      <c r="CX106" s="201"/>
      <c r="CY106" s="567"/>
      <c r="CZ106" s="720"/>
      <c r="DA106" s="21"/>
      <c r="DB106" s="270"/>
      <c r="DC106" s="720"/>
      <c r="DD106" s="61"/>
      <c r="DE106" s="39"/>
      <c r="DF106" s="39"/>
      <c r="DG106" s="35"/>
      <c r="DH106" s="20"/>
      <c r="DI106" s="270"/>
      <c r="DJ106" s="768"/>
      <c r="DK106" s="61"/>
      <c r="DL106" s="39"/>
      <c r="DM106" s="35"/>
      <c r="DN106" s="20"/>
      <c r="DO106" s="271"/>
      <c r="DP106" s="760"/>
      <c r="DQ106" s="61"/>
      <c r="DR106" s="39"/>
      <c r="DS106" s="35"/>
      <c r="DT106" s="20"/>
      <c r="DU106" s="270"/>
      <c r="DV106" s="861" t="s">
        <v>337</v>
      </c>
      <c r="DW106" s="61"/>
      <c r="DX106" s="690" t="s">
        <v>96</v>
      </c>
      <c r="DY106" s="620" t="s">
        <v>413</v>
      </c>
      <c r="DZ106" s="35"/>
      <c r="EA106" s="20"/>
      <c r="EB106" s="271"/>
      <c r="EC106" s="781"/>
      <c r="ED106" s="61"/>
      <c r="EE106" s="39"/>
      <c r="EF106" s="35"/>
      <c r="EG106" s="20"/>
      <c r="EH106" s="271"/>
      <c r="EI106" s="781"/>
      <c r="EJ106" s="61"/>
      <c r="EK106" s="39"/>
      <c r="EL106" s="35"/>
      <c r="EM106" s="20"/>
      <c r="EN106" s="268"/>
    </row>
    <row r="107" spans="1:144" ht="17.25" customHeight="1" thickTop="1" thickBot="1" x14ac:dyDescent="0.25">
      <c r="B107" s="960"/>
      <c r="C107" s="33">
        <f>C106+1</f>
        <v>46028</v>
      </c>
      <c r="D107" s="1"/>
      <c r="E107" s="23"/>
      <c r="F107" s="526"/>
      <c r="G107" s="804"/>
      <c r="H107" s="1"/>
      <c r="I107" s="708"/>
      <c r="J107" s="672"/>
      <c r="K107" s="751"/>
      <c r="L107" s="695"/>
      <c r="M107" s="42"/>
      <c r="N107" s="43"/>
      <c r="O107" s="23"/>
      <c r="P107" s="708"/>
      <c r="Q107" s="672"/>
      <c r="R107" s="42"/>
      <c r="S107" s="672"/>
      <c r="T107" s="42"/>
      <c r="U107" s="751"/>
      <c r="V107" s="695"/>
      <c r="W107" s="23"/>
      <c r="X107" s="708"/>
      <c r="Y107" s="830"/>
      <c r="Z107" s="751"/>
      <c r="AA107" s="691"/>
      <c r="AB107" s="42"/>
      <c r="AC107" s="43"/>
      <c r="AD107" s="21"/>
      <c r="AE107" s="708"/>
      <c r="AF107" s="658"/>
      <c r="AG107" s="658"/>
      <c r="AH107" s="830"/>
      <c r="AI107" s="830"/>
      <c r="AJ107" s="751"/>
      <c r="AK107" s="691"/>
      <c r="AL107" s="42"/>
      <c r="AM107" s="43"/>
      <c r="AN107" s="21"/>
      <c r="AO107" s="708"/>
      <c r="AP107" s="836"/>
      <c r="AQ107" s="147"/>
      <c r="AR107" s="310"/>
      <c r="AS107" s="310"/>
      <c r="AT107" s="307"/>
      <c r="AU107" s="21"/>
      <c r="AV107" s="708"/>
      <c r="AW107" s="836"/>
      <c r="AX107" s="73"/>
      <c r="AY107" s="79"/>
      <c r="AZ107" s="79"/>
      <c r="BA107" s="43"/>
      <c r="BB107" s="21"/>
      <c r="BC107" s="836"/>
      <c r="BD107" s="79"/>
      <c r="BE107" s="79"/>
      <c r="BF107" s="43"/>
      <c r="BG107" s="21"/>
      <c r="BH107" s="276"/>
      <c r="BI107" s="845"/>
      <c r="BJ107" s="73"/>
      <c r="BK107" s="42"/>
      <c r="BL107" s="43"/>
      <c r="BM107" s="21"/>
      <c r="BN107" s="276"/>
      <c r="BO107" s="845"/>
      <c r="BP107" s="73"/>
      <c r="BQ107" s="845"/>
      <c r="BR107" s="73"/>
      <c r="BS107" s="42"/>
      <c r="BT107" s="43"/>
      <c r="BU107" s="21"/>
      <c r="BV107" s="270"/>
      <c r="BW107" s="954"/>
      <c r="BX107" s="901"/>
      <c r="BY107" s="42"/>
      <c r="BZ107" s="957"/>
      <c r="CA107" s="21"/>
      <c r="CB107" s="274"/>
      <c r="CC107" s="720"/>
      <c r="CD107" s="309"/>
      <c r="CE107" s="44"/>
      <c r="CF107" s="36"/>
      <c r="CG107" s="21"/>
      <c r="CH107" s="271"/>
      <c r="CI107" s="946"/>
      <c r="CJ107" s="44"/>
      <c r="CK107" s="44"/>
      <c r="CL107" s="36"/>
      <c r="CM107" s="21"/>
      <c r="CN107" s="708"/>
      <c r="CO107" s="490"/>
      <c r="CP107" s="40"/>
      <c r="CQ107" s="44"/>
      <c r="CR107" s="36"/>
      <c r="CS107" s="21"/>
      <c r="CT107" s="270"/>
      <c r="CU107" s="720"/>
      <c r="CV107" s="73"/>
      <c r="CW107" s="42"/>
      <c r="CX107" s="43"/>
      <c r="CY107" s="567"/>
      <c r="CZ107" s="720"/>
      <c r="DA107" s="21"/>
      <c r="DB107" s="270"/>
      <c r="DC107" s="720"/>
      <c r="DD107" s="40"/>
      <c r="DE107" s="44"/>
      <c r="DF107" s="44"/>
      <c r="DG107" s="36"/>
      <c r="DH107" s="20"/>
      <c r="DI107" s="270"/>
      <c r="DJ107" s="768"/>
      <c r="DK107" s="40"/>
      <c r="DL107" s="44"/>
      <c r="DM107" s="36"/>
      <c r="DN107" s="20"/>
      <c r="DO107" s="271"/>
      <c r="DP107" s="760"/>
      <c r="DQ107" s="40"/>
      <c r="DR107" s="44"/>
      <c r="DS107" s="36"/>
      <c r="DT107" s="20"/>
      <c r="DU107" s="270"/>
      <c r="DV107" s="789"/>
      <c r="DW107" s="40"/>
      <c r="DX107" s="691"/>
      <c r="DY107" s="44"/>
      <c r="DZ107" s="36"/>
      <c r="EA107" s="20"/>
      <c r="EB107" s="271"/>
      <c r="EC107" s="781"/>
      <c r="ED107" s="40"/>
      <c r="EE107" s="44"/>
      <c r="EF107" s="36"/>
      <c r="EG107" s="20"/>
      <c r="EH107" s="271"/>
      <c r="EI107" s="781"/>
      <c r="EJ107" s="40"/>
      <c r="EK107" s="44"/>
      <c r="EL107" s="36"/>
      <c r="EM107" s="20"/>
      <c r="EN107" s="276"/>
    </row>
    <row r="108" spans="1:144" ht="17.25" thickTop="1" thickBot="1" x14ac:dyDescent="0.25">
      <c r="B108" s="960"/>
      <c r="C108" s="33">
        <f>C107+1</f>
        <v>46029</v>
      </c>
      <c r="D108" s="1"/>
      <c r="E108" s="23"/>
      <c r="F108" s="526"/>
      <c r="G108" s="804"/>
      <c r="H108" s="1"/>
      <c r="I108" s="708"/>
      <c r="J108" s="672"/>
      <c r="K108" s="751"/>
      <c r="L108" s="695"/>
      <c r="M108" s="49"/>
      <c r="N108" s="65"/>
      <c r="O108" s="24"/>
      <c r="P108" s="708"/>
      <c r="Q108" s="672"/>
      <c r="R108" s="49"/>
      <c r="S108" s="672"/>
      <c r="T108" s="49"/>
      <c r="U108" s="751"/>
      <c r="V108" s="695"/>
      <c r="W108" s="24"/>
      <c r="X108" s="708"/>
      <c r="Y108" s="830"/>
      <c r="Z108" s="751"/>
      <c r="AA108" s="691"/>
      <c r="AB108" s="49"/>
      <c r="AC108" s="65"/>
      <c r="AD108" s="21"/>
      <c r="AE108" s="708"/>
      <c r="AF108" s="658"/>
      <c r="AG108" s="658"/>
      <c r="AH108" s="830"/>
      <c r="AI108" s="830"/>
      <c r="AJ108" s="751"/>
      <c r="AK108" s="691"/>
      <c r="AL108" s="49"/>
      <c r="AM108" s="65"/>
      <c r="AN108" s="21"/>
      <c r="AO108" s="708"/>
      <c r="AP108" s="836"/>
      <c r="AQ108" s="147"/>
      <c r="AR108" s="310"/>
      <c r="AS108" s="310"/>
      <c r="AT108" s="307"/>
      <c r="AU108" s="21"/>
      <c r="AV108" s="708"/>
      <c r="AW108" s="836"/>
      <c r="AX108" s="68"/>
      <c r="AY108" s="179"/>
      <c r="AZ108" s="179"/>
      <c r="BA108" s="65"/>
      <c r="BB108" s="21"/>
      <c r="BC108" s="836"/>
      <c r="BD108" s="179"/>
      <c r="BE108" s="179"/>
      <c r="BF108" s="65"/>
      <c r="BG108" s="21"/>
      <c r="BH108" s="276"/>
      <c r="BI108" s="845"/>
      <c r="BJ108" s="68"/>
      <c r="BK108" s="49"/>
      <c r="BL108" s="65"/>
      <c r="BM108" s="21"/>
      <c r="BN108" s="276"/>
      <c r="BO108" s="845"/>
      <c r="BP108" s="68"/>
      <c r="BQ108" s="845"/>
      <c r="BR108" s="68"/>
      <c r="BS108" s="49"/>
      <c r="BT108" s="65"/>
      <c r="BU108" s="21"/>
      <c r="BV108" s="270"/>
      <c r="BW108" s="954"/>
      <c r="BX108" s="901"/>
      <c r="BY108" s="49"/>
      <c r="BZ108" s="957"/>
      <c r="CA108" s="21"/>
      <c r="CB108" s="274"/>
      <c r="CC108" s="720"/>
      <c r="CD108" s="309"/>
      <c r="CE108" s="44"/>
      <c r="CF108" s="36"/>
      <c r="CG108" s="21"/>
      <c r="CH108" s="271"/>
      <c r="CI108" s="946"/>
      <c r="CJ108" s="44"/>
      <c r="CK108" s="44"/>
      <c r="CL108" s="36"/>
      <c r="CM108" s="21"/>
      <c r="CN108" s="708"/>
      <c r="CO108" s="490"/>
      <c r="CP108" s="40"/>
      <c r="CQ108" s="44"/>
      <c r="CR108" s="36"/>
      <c r="CS108" s="21"/>
      <c r="CT108" s="270"/>
      <c r="CU108" s="720"/>
      <c r="CV108" s="73"/>
      <c r="CW108" s="42"/>
      <c r="CX108" s="43"/>
      <c r="CY108" s="567"/>
      <c r="CZ108" s="720"/>
      <c r="DA108" s="21"/>
      <c r="DB108" s="270"/>
      <c r="DC108" s="720"/>
      <c r="DD108" s="40"/>
      <c r="DE108" s="44"/>
      <c r="DF108" s="44"/>
      <c r="DG108" s="36"/>
      <c r="DH108" s="20"/>
      <c r="DI108" s="270"/>
      <c r="DJ108" s="768"/>
      <c r="DK108" s="40"/>
      <c r="DL108" s="44"/>
      <c r="DM108" s="36"/>
      <c r="DN108" s="20"/>
      <c r="DO108" s="271"/>
      <c r="DP108" s="760"/>
      <c r="DQ108" s="40"/>
      <c r="DR108" s="44"/>
      <c r="DS108" s="36"/>
      <c r="DT108" s="20"/>
      <c r="DU108" s="270"/>
      <c r="DV108" s="789"/>
      <c r="DW108" s="40"/>
      <c r="DX108" s="691"/>
      <c r="DY108" s="621" t="s">
        <v>61</v>
      </c>
      <c r="DZ108" s="36"/>
      <c r="EA108" s="20"/>
      <c r="EB108" s="271"/>
      <c r="EC108" s="781"/>
      <c r="ED108" s="40"/>
      <c r="EE108" s="44"/>
      <c r="EF108" s="36"/>
      <c r="EG108" s="20"/>
      <c r="EH108" s="271"/>
      <c r="EI108" s="781"/>
      <c r="EJ108" s="40"/>
      <c r="EK108" s="44"/>
      <c r="EL108" s="36"/>
      <c r="EM108" s="20"/>
      <c r="EN108" s="276"/>
    </row>
    <row r="109" spans="1:144" ht="17.25" thickTop="1" thickBot="1" x14ac:dyDescent="0.25">
      <c r="B109" s="960"/>
      <c r="C109" s="33">
        <f>C108+1</f>
        <v>46030</v>
      </c>
      <c r="D109" s="1"/>
      <c r="F109" s="585"/>
      <c r="G109" s="804"/>
      <c r="H109" s="1"/>
      <c r="I109" s="708"/>
      <c r="J109" s="672"/>
      <c r="K109" s="751"/>
      <c r="L109" s="695"/>
      <c r="M109" s="42"/>
      <c r="N109" s="65"/>
      <c r="O109" s="23"/>
      <c r="P109" s="708"/>
      <c r="Q109" s="672"/>
      <c r="R109" s="42"/>
      <c r="S109" s="672"/>
      <c r="T109" s="42"/>
      <c r="U109" s="751"/>
      <c r="V109" s="695"/>
      <c r="W109" s="23"/>
      <c r="X109" s="708"/>
      <c r="Y109" s="830"/>
      <c r="Z109" s="751"/>
      <c r="AA109" s="691"/>
      <c r="AB109" s="42"/>
      <c r="AC109" s="307"/>
      <c r="AD109" s="21"/>
      <c r="AE109" s="708"/>
      <c r="AF109" s="658"/>
      <c r="AG109" s="658"/>
      <c r="AH109" s="830"/>
      <c r="AI109" s="830"/>
      <c r="AJ109" s="751"/>
      <c r="AK109" s="691"/>
      <c r="AL109" s="66" t="s">
        <v>80</v>
      </c>
      <c r="AM109" s="307"/>
      <c r="AN109" s="21"/>
      <c r="AO109" s="708"/>
      <c r="AP109" s="836"/>
      <c r="AQ109" s="147"/>
      <c r="AR109" s="310"/>
      <c r="AS109" s="310"/>
      <c r="AT109" s="307"/>
      <c r="AU109" s="21"/>
      <c r="AV109" s="708"/>
      <c r="AW109" s="836"/>
      <c r="AX109" s="68"/>
      <c r="AY109" s="179"/>
      <c r="AZ109" s="179"/>
      <c r="BA109" s="65"/>
      <c r="BB109" s="21"/>
      <c r="BC109" s="836"/>
      <c r="BD109" s="179"/>
      <c r="BE109" s="179"/>
      <c r="BF109" s="65"/>
      <c r="BG109" s="21"/>
      <c r="BH109" s="276"/>
      <c r="BI109" s="845"/>
      <c r="BJ109" s="68"/>
      <c r="BK109" s="49"/>
      <c r="BL109" s="65"/>
      <c r="BM109" s="21"/>
      <c r="BN109" s="276"/>
      <c r="BO109" s="845"/>
      <c r="BP109" s="68"/>
      <c r="BQ109" s="845"/>
      <c r="BR109" s="68"/>
      <c r="BS109" s="49"/>
      <c r="BT109" s="65"/>
      <c r="BU109" s="21"/>
      <c r="BV109" s="270"/>
      <c r="BW109" s="954"/>
      <c r="BX109" s="901"/>
      <c r="BY109" s="66" t="s">
        <v>80</v>
      </c>
      <c r="BZ109" s="957"/>
      <c r="CA109" s="21"/>
      <c r="CB109" s="274"/>
      <c r="CC109" s="720"/>
      <c r="CD109" s="309"/>
      <c r="CE109" s="44"/>
      <c r="CF109" s="36"/>
      <c r="CG109" s="21"/>
      <c r="CH109" s="271"/>
      <c r="CI109" s="946"/>
      <c r="CJ109" s="44"/>
      <c r="CK109" s="44"/>
      <c r="CL109" s="36"/>
      <c r="CM109" s="21"/>
      <c r="CN109" s="708"/>
      <c r="CO109" s="490"/>
      <c r="CP109" s="40"/>
      <c r="CQ109" s="44"/>
      <c r="CR109" s="36"/>
      <c r="CS109" s="21"/>
      <c r="CT109" s="270"/>
      <c r="CU109" s="720"/>
      <c r="CV109" s="73"/>
      <c r="CW109" s="42"/>
      <c r="CX109" s="43"/>
      <c r="CY109" s="567"/>
      <c r="CZ109" s="720"/>
      <c r="DA109" s="21"/>
      <c r="DB109" s="270"/>
      <c r="DC109" s="720"/>
      <c r="DD109" s="40"/>
      <c r="DE109" s="44"/>
      <c r="DF109" s="44"/>
      <c r="DG109" s="36"/>
      <c r="DH109" s="20"/>
      <c r="DI109" s="270"/>
      <c r="DJ109" s="768"/>
      <c r="DK109" s="40"/>
      <c r="DL109" s="44"/>
      <c r="DM109" s="36"/>
      <c r="DN109" s="20"/>
      <c r="DO109" s="271"/>
      <c r="DP109" s="760"/>
      <c r="DQ109" s="40"/>
      <c r="DR109" s="44"/>
      <c r="DS109" s="36"/>
      <c r="DT109" s="20"/>
      <c r="DU109" s="271"/>
      <c r="DV109" s="789"/>
      <c r="DW109" s="40"/>
      <c r="DX109" s="691"/>
      <c r="DY109" s="310"/>
      <c r="DZ109" s="36"/>
      <c r="EA109" s="20"/>
      <c r="EB109" s="271"/>
      <c r="EC109" s="781"/>
      <c r="ED109" s="40"/>
      <c r="EE109" s="44"/>
      <c r="EF109" s="36"/>
      <c r="EG109" s="20"/>
      <c r="EH109" s="271"/>
      <c r="EI109" s="781"/>
      <c r="EJ109" s="40"/>
      <c r="EK109" s="44"/>
      <c r="EL109" s="36"/>
      <c r="EM109" s="20"/>
      <c r="EN109" s="276"/>
    </row>
    <row r="110" spans="1:144" ht="17.25" customHeight="1" thickTop="1" thickBot="1" x14ac:dyDescent="0.25">
      <c r="B110" s="961"/>
      <c r="C110" s="34">
        <f>C109+1</f>
        <v>46031</v>
      </c>
      <c r="D110" s="1"/>
      <c r="E110" s="23"/>
      <c r="F110" s="526"/>
      <c r="G110" s="804"/>
      <c r="H110" s="1"/>
      <c r="I110" s="709"/>
      <c r="J110" s="672"/>
      <c r="K110" s="752"/>
      <c r="L110" s="696"/>
      <c r="M110" s="47"/>
      <c r="N110" s="48"/>
      <c r="O110" s="23"/>
      <c r="P110" s="709"/>
      <c r="Q110" s="672"/>
      <c r="R110" s="312"/>
      <c r="S110" s="672"/>
      <c r="T110" s="312"/>
      <c r="U110" s="752"/>
      <c r="V110" s="696"/>
      <c r="W110" s="23"/>
      <c r="X110" s="709"/>
      <c r="Y110" s="830"/>
      <c r="Z110" s="752"/>
      <c r="AA110" s="692"/>
      <c r="AB110" s="312"/>
      <c r="AC110" s="48"/>
      <c r="AD110" s="21"/>
      <c r="AE110" s="709"/>
      <c r="AF110" s="658"/>
      <c r="AG110" s="658"/>
      <c r="AH110" s="830"/>
      <c r="AI110" s="830"/>
      <c r="AJ110" s="752"/>
      <c r="AK110" s="692"/>
      <c r="AL110" s="47"/>
      <c r="AM110" s="48"/>
      <c r="AN110" s="21"/>
      <c r="AO110" s="709"/>
      <c r="AP110" s="836"/>
      <c r="AQ110" s="311"/>
      <c r="AR110" s="313"/>
      <c r="AS110" s="313"/>
      <c r="AT110" s="315"/>
      <c r="AU110" s="21"/>
      <c r="AV110" s="709"/>
      <c r="AW110" s="836"/>
      <c r="AX110" s="67"/>
      <c r="AY110" s="80"/>
      <c r="AZ110" s="80"/>
      <c r="BA110" s="48"/>
      <c r="BB110" s="21"/>
      <c r="BC110" s="836"/>
      <c r="BD110" s="80"/>
      <c r="BE110" s="80"/>
      <c r="BF110" s="48"/>
      <c r="BG110" s="21"/>
      <c r="BH110" s="276"/>
      <c r="BI110" s="845"/>
      <c r="BJ110" s="67"/>
      <c r="BK110" s="47"/>
      <c r="BL110" s="48"/>
      <c r="BM110" s="21"/>
      <c r="BN110" s="276"/>
      <c r="BO110" s="845"/>
      <c r="BP110" s="67"/>
      <c r="BQ110" s="845"/>
      <c r="BR110" s="67"/>
      <c r="BS110" s="312"/>
      <c r="BT110" s="48"/>
      <c r="BU110" s="21"/>
      <c r="BV110" s="270"/>
      <c r="BW110" s="955"/>
      <c r="BX110" s="902"/>
      <c r="BY110" s="47"/>
      <c r="BZ110" s="958"/>
      <c r="CA110" s="21"/>
      <c r="CB110" s="274"/>
      <c r="CC110" s="721"/>
      <c r="CD110" s="311"/>
      <c r="CE110" s="59"/>
      <c r="CF110" s="64"/>
      <c r="CG110" s="21"/>
      <c r="CH110" s="271"/>
      <c r="CI110" s="946"/>
      <c r="CJ110" s="59"/>
      <c r="CK110" s="59"/>
      <c r="CL110" s="64"/>
      <c r="CM110" s="21"/>
      <c r="CN110" s="709"/>
      <c r="CO110" s="491"/>
      <c r="CP110" s="45"/>
      <c r="CQ110" s="59"/>
      <c r="CR110" s="64"/>
      <c r="CS110" s="21"/>
      <c r="CT110" s="270"/>
      <c r="CU110" s="720"/>
      <c r="CV110" s="198"/>
      <c r="CW110" s="199"/>
      <c r="CX110" s="200"/>
      <c r="CY110" s="567"/>
      <c r="CZ110" s="720"/>
      <c r="DA110" s="21"/>
      <c r="DB110" s="270"/>
      <c r="DC110" s="720"/>
      <c r="DD110" s="45"/>
      <c r="DE110" s="59"/>
      <c r="DF110" s="59"/>
      <c r="DG110" s="64"/>
      <c r="DH110" s="20"/>
      <c r="DI110" s="270"/>
      <c r="DJ110" s="768"/>
      <c r="DK110" s="45"/>
      <c r="DL110" s="59"/>
      <c r="DM110" s="64"/>
      <c r="DN110" s="20"/>
      <c r="DO110" s="268"/>
      <c r="DP110" s="760"/>
      <c r="DQ110" s="45"/>
      <c r="DR110" s="59"/>
      <c r="DS110" s="64"/>
      <c r="DT110" s="20"/>
      <c r="DU110" s="271"/>
      <c r="DV110" s="789"/>
      <c r="DW110" s="45"/>
      <c r="DX110" s="692"/>
      <c r="DY110" s="59"/>
      <c r="DZ110" s="64"/>
      <c r="EA110" s="20"/>
      <c r="EB110" s="271"/>
      <c r="EC110" s="781"/>
      <c r="ED110" s="45"/>
      <c r="EE110" s="59"/>
      <c r="EF110" s="64"/>
      <c r="EG110" s="20"/>
      <c r="EH110" s="268"/>
      <c r="EI110" s="781"/>
      <c r="EJ110" s="45"/>
      <c r="EK110" s="59"/>
      <c r="EL110" s="64"/>
      <c r="EM110" s="20"/>
      <c r="EN110" s="276"/>
    </row>
    <row r="111" spans="1:144" ht="31.5" customHeight="1" thickTop="1" thickBot="1" x14ac:dyDescent="0.25">
      <c r="B111" s="959">
        <f>B106+1</f>
        <v>3</v>
      </c>
      <c r="C111" s="89">
        <f>C106+7</f>
        <v>46034</v>
      </c>
      <c r="D111" s="4"/>
      <c r="E111" s="24"/>
      <c r="F111" s="525"/>
      <c r="G111" s="804"/>
      <c r="H111" s="4"/>
      <c r="I111" s="528"/>
      <c r="J111" s="672"/>
      <c r="K111" s="889">
        <v>1</v>
      </c>
      <c r="L111" s="694" t="s">
        <v>126</v>
      </c>
      <c r="M111" s="56"/>
      <c r="N111" s="57"/>
      <c r="O111" s="24"/>
      <c r="P111" s="623"/>
      <c r="Q111" s="672"/>
      <c r="R111" s="56"/>
      <c r="S111" s="672"/>
      <c r="T111" s="56"/>
      <c r="U111" s="889">
        <v>1</v>
      </c>
      <c r="V111" s="694" t="s">
        <v>126</v>
      </c>
      <c r="W111" s="24"/>
      <c r="X111" s="707" t="s">
        <v>99</v>
      </c>
      <c r="Y111" s="830"/>
      <c r="Z111" s="889">
        <v>1</v>
      </c>
      <c r="AA111" s="690" t="s">
        <v>121</v>
      </c>
      <c r="AB111" s="56"/>
      <c r="AC111" s="57"/>
      <c r="AD111" s="21"/>
      <c r="AE111" s="707" t="s">
        <v>99</v>
      </c>
      <c r="AF111" s="658"/>
      <c r="AG111" s="658"/>
      <c r="AH111" s="830"/>
      <c r="AI111" s="830"/>
      <c r="AJ111" s="889">
        <v>1</v>
      </c>
      <c r="AK111" s="690" t="s">
        <v>121</v>
      </c>
      <c r="AL111" s="56"/>
      <c r="AM111" s="57"/>
      <c r="AN111" s="21"/>
      <c r="AO111" s="707" t="s">
        <v>431</v>
      </c>
      <c r="AP111" s="719" t="s">
        <v>433</v>
      </c>
      <c r="AQ111" s="314"/>
      <c r="AR111" s="308"/>
      <c r="AS111" s="308"/>
      <c r="AT111" s="306"/>
      <c r="AU111" s="21"/>
      <c r="AV111" s="707" t="s">
        <v>431</v>
      </c>
      <c r="AW111" s="759" t="s">
        <v>404</v>
      </c>
      <c r="AX111" s="132"/>
      <c r="AY111" s="173"/>
      <c r="AZ111" s="56"/>
      <c r="BA111" s="57"/>
      <c r="BB111" s="21"/>
      <c r="BC111" s="734" t="s">
        <v>260</v>
      </c>
      <c r="BD111" s="173"/>
      <c r="BE111" s="56"/>
      <c r="BF111" s="57"/>
      <c r="BG111" s="21"/>
      <c r="BH111" s="707" t="s">
        <v>25</v>
      </c>
      <c r="BI111" s="845"/>
      <c r="BJ111" s="132"/>
      <c r="BK111" s="56"/>
      <c r="BL111" s="57"/>
      <c r="BM111" s="21"/>
      <c r="BN111" s="707" t="s">
        <v>25</v>
      </c>
      <c r="BO111" s="845"/>
      <c r="BP111" s="132"/>
      <c r="BQ111" s="845"/>
      <c r="BR111" s="132"/>
      <c r="BS111" s="56"/>
      <c r="BT111" s="57"/>
      <c r="BU111" s="21"/>
      <c r="BV111" s="270"/>
      <c r="BW111" s="875" t="s">
        <v>110</v>
      </c>
      <c r="BX111" s="132"/>
      <c r="BY111" s="56"/>
      <c r="BZ111" s="57"/>
      <c r="CA111" s="21"/>
      <c r="CB111" s="274"/>
      <c r="CC111" s="671" t="s">
        <v>110</v>
      </c>
      <c r="CD111" s="900" t="s">
        <v>280</v>
      </c>
      <c r="CE111" s="39"/>
      <c r="CF111" s="35"/>
      <c r="CG111" s="21"/>
      <c r="CH111" s="271"/>
      <c r="CI111" s="946"/>
      <c r="CJ111" s="39"/>
      <c r="CK111" s="39"/>
      <c r="CL111" s="35"/>
      <c r="CM111" s="21"/>
      <c r="CN111" s="710" t="s">
        <v>123</v>
      </c>
      <c r="CO111" s="674" t="s">
        <v>326</v>
      </c>
      <c r="CP111" s="643" t="s">
        <v>97</v>
      </c>
      <c r="CQ111" s="39"/>
      <c r="CR111" s="770" t="s">
        <v>122</v>
      </c>
      <c r="CS111" s="21"/>
      <c r="CT111" s="270"/>
      <c r="CU111" s="720"/>
      <c r="CV111" s="37"/>
      <c r="CW111" s="58"/>
      <c r="CX111" s="201"/>
      <c r="CY111" s="567"/>
      <c r="CZ111" s="720"/>
      <c r="DA111" s="21"/>
      <c r="DB111" s="270"/>
      <c r="DC111" s="720"/>
      <c r="DD111" s="61"/>
      <c r="DE111" s="39"/>
      <c r="DF111" s="39"/>
      <c r="DG111" s="35"/>
      <c r="DH111" s="20"/>
      <c r="DI111" s="707" t="s">
        <v>81</v>
      </c>
      <c r="DJ111" s="768"/>
      <c r="DK111" s="314"/>
      <c r="DL111" s="308"/>
      <c r="DM111" s="306"/>
      <c r="DN111" s="20"/>
      <c r="DO111" s="268"/>
      <c r="DP111" s="760"/>
      <c r="DQ111" s="61"/>
      <c r="DR111" s="39"/>
      <c r="DS111" s="35"/>
      <c r="DT111" s="20"/>
      <c r="DU111" s="271"/>
      <c r="DV111" s="789"/>
      <c r="DW111" s="61"/>
      <c r="DX111" s="690" t="s">
        <v>101</v>
      </c>
      <c r="DY111" s="39"/>
      <c r="DZ111" s="35"/>
      <c r="EA111" s="20"/>
      <c r="EB111" s="710" t="s">
        <v>123</v>
      </c>
      <c r="EC111" s="983" t="s">
        <v>342</v>
      </c>
      <c r="ED111" s="763" t="s">
        <v>97</v>
      </c>
      <c r="EE111" s="39"/>
      <c r="EF111" s="770" t="s">
        <v>54</v>
      </c>
      <c r="EG111" s="20"/>
      <c r="EH111" s="268"/>
      <c r="EI111" s="781"/>
      <c r="EJ111" s="61"/>
      <c r="EK111" s="39"/>
      <c r="EL111" s="35"/>
      <c r="EM111" s="20"/>
      <c r="EN111" s="707" t="s">
        <v>25</v>
      </c>
    </row>
    <row r="112" spans="1:144" ht="31.5" customHeight="1" thickTop="1" thickBot="1" x14ac:dyDescent="0.25">
      <c r="B112" s="960"/>
      <c r="C112" s="33">
        <f>C111+1</f>
        <v>46035</v>
      </c>
      <c r="D112" s="1"/>
      <c r="E112" s="23"/>
      <c r="F112" s="526"/>
      <c r="G112" s="804"/>
      <c r="H112" s="1"/>
      <c r="I112" s="528"/>
      <c r="J112" s="672"/>
      <c r="K112" s="890"/>
      <c r="L112" s="695"/>
      <c r="M112" s="42"/>
      <c r="N112" s="43"/>
      <c r="O112" s="23"/>
      <c r="P112" s="623"/>
      <c r="Q112" s="672"/>
      <c r="R112" s="42"/>
      <c r="S112" s="672"/>
      <c r="T112" s="42"/>
      <c r="U112" s="890"/>
      <c r="V112" s="695"/>
      <c r="W112" s="23"/>
      <c r="X112" s="708"/>
      <c r="Y112" s="830"/>
      <c r="Z112" s="890"/>
      <c r="AA112" s="691"/>
      <c r="AB112" s="42"/>
      <c r="AC112" s="43"/>
      <c r="AD112" s="21"/>
      <c r="AE112" s="708"/>
      <c r="AF112" s="658"/>
      <c r="AG112" s="658"/>
      <c r="AH112" s="830"/>
      <c r="AI112" s="830"/>
      <c r="AJ112" s="890"/>
      <c r="AK112" s="691"/>
      <c r="AL112" s="42"/>
      <c r="AM112" s="43"/>
      <c r="AN112" s="21"/>
      <c r="AO112" s="708"/>
      <c r="AP112" s="720"/>
      <c r="AQ112" s="147"/>
      <c r="AR112" s="310"/>
      <c r="AS112" s="310"/>
      <c r="AT112" s="307"/>
      <c r="AU112" s="21"/>
      <c r="AV112" s="708"/>
      <c r="AW112" s="760"/>
      <c r="AX112" s="73"/>
      <c r="AY112" s="52"/>
      <c r="AZ112" s="42"/>
      <c r="BA112" s="43"/>
      <c r="BB112" s="21"/>
      <c r="BC112" s="672"/>
      <c r="BD112" s="52"/>
      <c r="BE112" s="42"/>
      <c r="BF112" s="43"/>
      <c r="BG112" s="21"/>
      <c r="BH112" s="708"/>
      <c r="BI112" s="845"/>
      <c r="BJ112" s="73"/>
      <c r="BK112" s="42"/>
      <c r="BL112" s="43"/>
      <c r="BM112" s="21"/>
      <c r="BN112" s="708"/>
      <c r="BO112" s="845"/>
      <c r="BP112" s="73"/>
      <c r="BQ112" s="845"/>
      <c r="BR112" s="73"/>
      <c r="BS112" s="42"/>
      <c r="BT112" s="43"/>
      <c r="BU112" s="21"/>
      <c r="BV112" s="270"/>
      <c r="BW112" s="876"/>
      <c r="BX112" s="73"/>
      <c r="BY112" s="42"/>
      <c r="BZ112" s="43"/>
      <c r="CA112" s="21"/>
      <c r="CB112" s="274"/>
      <c r="CC112" s="672"/>
      <c r="CD112" s="901"/>
      <c r="CE112" s="44"/>
      <c r="CF112" s="36"/>
      <c r="CG112" s="21"/>
      <c r="CH112" s="271"/>
      <c r="CI112" s="946"/>
      <c r="CJ112" s="44"/>
      <c r="CK112" s="44"/>
      <c r="CL112" s="36"/>
      <c r="CM112" s="21"/>
      <c r="CN112" s="711"/>
      <c r="CO112" s="639"/>
      <c r="CP112" s="644"/>
      <c r="CQ112" s="44"/>
      <c r="CR112" s="771"/>
      <c r="CS112" s="21"/>
      <c r="CT112" s="270"/>
      <c r="CU112" s="720"/>
      <c r="CV112" s="73"/>
      <c r="CW112" s="42"/>
      <c r="CX112" s="43"/>
      <c r="CY112" s="567"/>
      <c r="CZ112" s="720"/>
      <c r="DA112" s="21"/>
      <c r="DB112" s="270"/>
      <c r="DC112" s="720"/>
      <c r="DD112" s="40"/>
      <c r="DE112" s="44"/>
      <c r="DF112" s="44"/>
      <c r="DG112" s="36"/>
      <c r="DH112" s="20"/>
      <c r="DI112" s="708"/>
      <c r="DJ112" s="768"/>
      <c r="DK112" s="309"/>
      <c r="DL112" s="310"/>
      <c r="DM112" s="307"/>
      <c r="DN112" s="20"/>
      <c r="DO112" s="268"/>
      <c r="DP112" s="760"/>
      <c r="DQ112" s="40"/>
      <c r="DR112" s="44"/>
      <c r="DS112" s="36"/>
      <c r="DT112" s="20"/>
      <c r="DU112" s="271"/>
      <c r="DV112" s="789"/>
      <c r="DW112" s="40"/>
      <c r="DX112" s="691"/>
      <c r="DY112" s="44"/>
      <c r="DZ112" s="36"/>
      <c r="EA112" s="20"/>
      <c r="EB112" s="711"/>
      <c r="EC112" s="740"/>
      <c r="ED112" s="764"/>
      <c r="EE112" s="44"/>
      <c r="EF112" s="771"/>
      <c r="EG112" s="20"/>
      <c r="EH112" s="268"/>
      <c r="EI112" s="781"/>
      <c r="EJ112" s="40"/>
      <c r="EK112" s="44"/>
      <c r="EL112" s="36"/>
      <c r="EM112" s="20"/>
      <c r="EN112" s="708"/>
    </row>
    <row r="113" spans="2:144" ht="31.5" customHeight="1" thickTop="1" thickBot="1" x14ac:dyDescent="0.25">
      <c r="B113" s="960"/>
      <c r="C113" s="33">
        <f>C112+1</f>
        <v>46036</v>
      </c>
      <c r="D113" s="1"/>
      <c r="E113" s="23"/>
      <c r="F113" s="526"/>
      <c r="G113" s="804"/>
      <c r="H113" s="1"/>
      <c r="I113" s="528"/>
      <c r="J113" s="672"/>
      <c r="K113" s="890"/>
      <c r="L113" s="695"/>
      <c r="M113" s="49"/>
      <c r="N113" s="65"/>
      <c r="O113" s="24"/>
      <c r="P113" s="623"/>
      <c r="Q113" s="672"/>
      <c r="R113" s="49"/>
      <c r="S113" s="672"/>
      <c r="T113" s="49"/>
      <c r="U113" s="890"/>
      <c r="V113" s="695"/>
      <c r="W113" s="24"/>
      <c r="X113" s="708"/>
      <c r="Y113" s="830"/>
      <c r="Z113" s="890"/>
      <c r="AA113" s="691"/>
      <c r="AB113" s="49"/>
      <c r="AC113" s="65"/>
      <c r="AD113" s="21"/>
      <c r="AE113" s="708"/>
      <c r="AF113" s="658"/>
      <c r="AG113" s="658"/>
      <c r="AH113" s="830"/>
      <c r="AI113" s="830"/>
      <c r="AJ113" s="890"/>
      <c r="AK113" s="691"/>
      <c r="AL113" s="49"/>
      <c r="AM113" s="65"/>
      <c r="AN113" s="21"/>
      <c r="AO113" s="708"/>
      <c r="AP113" s="720"/>
      <c r="AQ113" s="147"/>
      <c r="AR113" s="310"/>
      <c r="AS113" s="310"/>
      <c r="AT113" s="307"/>
      <c r="AU113" s="21"/>
      <c r="AV113" s="708"/>
      <c r="AW113" s="760"/>
      <c r="AX113" s="68"/>
      <c r="AY113" s="53"/>
      <c r="AZ113" s="49"/>
      <c r="BA113" s="65"/>
      <c r="BB113" s="21"/>
      <c r="BC113" s="672"/>
      <c r="BD113" s="53"/>
      <c r="BE113" s="49"/>
      <c r="BF113" s="65"/>
      <c r="BG113" s="21"/>
      <c r="BH113" s="708"/>
      <c r="BI113" s="845"/>
      <c r="BJ113" s="68"/>
      <c r="BK113" s="49"/>
      <c r="BL113" s="65"/>
      <c r="BM113" s="21"/>
      <c r="BN113" s="708"/>
      <c r="BO113" s="845"/>
      <c r="BP113" s="68"/>
      <c r="BQ113" s="845"/>
      <c r="BR113" s="68"/>
      <c r="BS113" s="49"/>
      <c r="BT113" s="65"/>
      <c r="BU113" s="21"/>
      <c r="BV113" s="274"/>
      <c r="BW113" s="876"/>
      <c r="BX113" s="68"/>
      <c r="BY113" s="49"/>
      <c r="BZ113" s="65"/>
      <c r="CA113" s="21"/>
      <c r="CB113" s="274"/>
      <c r="CC113" s="672"/>
      <c r="CD113" s="901"/>
      <c r="CE113" s="44"/>
      <c r="CF113" s="36"/>
      <c r="CG113" s="21"/>
      <c r="CH113" s="271"/>
      <c r="CI113" s="946"/>
      <c r="CJ113" s="44"/>
      <c r="CK113" s="44"/>
      <c r="CL113" s="36"/>
      <c r="CM113" s="21"/>
      <c r="CN113" s="711"/>
      <c r="CO113" s="639"/>
      <c r="CP113" s="644"/>
      <c r="CQ113" s="44"/>
      <c r="CR113" s="771"/>
      <c r="CS113" s="21"/>
      <c r="CT113" s="270"/>
      <c r="CU113" s="720"/>
      <c r="CV113" s="73"/>
      <c r="CW113" s="42"/>
      <c r="CX113" s="43"/>
      <c r="CY113" s="567"/>
      <c r="CZ113" s="720"/>
      <c r="DA113" s="21"/>
      <c r="DB113" s="270"/>
      <c r="DC113" s="720"/>
      <c r="DD113" s="40"/>
      <c r="DE113" s="44"/>
      <c r="DF113" s="44"/>
      <c r="DG113" s="36"/>
      <c r="DH113" s="20"/>
      <c r="DI113" s="708"/>
      <c r="DJ113" s="768"/>
      <c r="DK113" s="309"/>
      <c r="DL113" s="310"/>
      <c r="DM113" s="307"/>
      <c r="DN113" s="20"/>
      <c r="DO113" s="268"/>
      <c r="DP113" s="760"/>
      <c r="DQ113" s="40"/>
      <c r="DR113" s="44"/>
      <c r="DS113" s="36"/>
      <c r="DT113" s="20"/>
      <c r="DU113" s="271"/>
      <c r="DV113" s="789"/>
      <c r="DW113" s="40"/>
      <c r="DX113" s="691"/>
      <c r="DY113" s="44"/>
      <c r="DZ113" s="36"/>
      <c r="EA113" s="20"/>
      <c r="EB113" s="711"/>
      <c r="EC113" s="740"/>
      <c r="ED113" s="764"/>
      <c r="EE113" s="44"/>
      <c r="EF113" s="771"/>
      <c r="EG113" s="20"/>
      <c r="EH113" s="268"/>
      <c r="EI113" s="781"/>
      <c r="EJ113" s="40"/>
      <c r="EK113" s="44"/>
      <c r="EL113" s="36"/>
      <c r="EM113" s="20"/>
      <c r="EN113" s="708"/>
    </row>
    <row r="114" spans="2:144" ht="31.5" customHeight="1" thickTop="1" thickBot="1" x14ac:dyDescent="0.25">
      <c r="B114" s="960"/>
      <c r="C114" s="33">
        <f>C113+1</f>
        <v>46037</v>
      </c>
      <c r="D114" s="1"/>
      <c r="E114" s="210" t="s">
        <v>91</v>
      </c>
      <c r="G114" s="804"/>
      <c r="H114" s="1"/>
      <c r="I114" s="264"/>
      <c r="J114" s="672"/>
      <c r="K114" s="890"/>
      <c r="L114" s="695"/>
      <c r="M114" s="66" t="s">
        <v>80</v>
      </c>
      <c r="N114" s="36"/>
      <c r="O114" s="23"/>
      <c r="P114" s="623"/>
      <c r="Q114" s="672"/>
      <c r="R114" s="42"/>
      <c r="S114" s="672"/>
      <c r="T114" s="66" t="s">
        <v>80</v>
      </c>
      <c r="U114" s="890"/>
      <c r="V114" s="695"/>
      <c r="W114" s="23"/>
      <c r="X114" s="708"/>
      <c r="Y114" s="830"/>
      <c r="Z114" s="890"/>
      <c r="AA114" s="691"/>
      <c r="AB114" s="116" t="s">
        <v>61</v>
      </c>
      <c r="AC114" s="307"/>
      <c r="AD114" s="21"/>
      <c r="AE114" s="708"/>
      <c r="AF114" s="658"/>
      <c r="AG114" s="658"/>
      <c r="AH114" s="830"/>
      <c r="AI114" s="830"/>
      <c r="AJ114" s="890"/>
      <c r="AK114" s="691"/>
      <c r="AL114" s="116" t="s">
        <v>113</v>
      </c>
      <c r="AM114" s="36"/>
      <c r="AN114" s="21"/>
      <c r="AO114" s="708"/>
      <c r="AP114" s="720"/>
      <c r="AQ114" s="147"/>
      <c r="AR114" s="310"/>
      <c r="AS114" s="310"/>
      <c r="AT114" s="307"/>
      <c r="AU114" s="21"/>
      <c r="AV114" s="708"/>
      <c r="AW114" s="760"/>
      <c r="AX114" s="40"/>
      <c r="AY114" s="41"/>
      <c r="AZ114" s="42"/>
      <c r="BA114" s="36"/>
      <c r="BB114" s="21"/>
      <c r="BC114" s="672"/>
      <c r="BD114" s="41"/>
      <c r="BE114" s="42"/>
      <c r="BF114" s="307"/>
      <c r="BG114" s="21"/>
      <c r="BH114" s="708"/>
      <c r="BI114" s="845"/>
      <c r="BJ114" s="40"/>
      <c r="BK114" s="44"/>
      <c r="BL114" s="36"/>
      <c r="BM114" s="21"/>
      <c r="BN114" s="708"/>
      <c r="BO114" s="845"/>
      <c r="BP114" s="309"/>
      <c r="BQ114" s="845"/>
      <c r="BR114" s="309"/>
      <c r="BS114" s="310"/>
      <c r="BT114" s="307"/>
      <c r="BU114" s="21"/>
      <c r="BV114" s="274"/>
      <c r="BW114" s="876"/>
      <c r="BX114" s="40"/>
      <c r="BY114" s="42"/>
      <c r="BZ114" s="36"/>
      <c r="CA114" s="21"/>
      <c r="CB114" s="274"/>
      <c r="CC114" s="672"/>
      <c r="CD114" s="901"/>
      <c r="CE114" s="44"/>
      <c r="CF114" s="36"/>
      <c r="CG114" s="21"/>
      <c r="CH114" s="271"/>
      <c r="CI114" s="946"/>
      <c r="CJ114" s="44"/>
      <c r="CK114" s="44"/>
      <c r="CL114" s="36"/>
      <c r="CM114" s="21"/>
      <c r="CN114" s="711"/>
      <c r="CO114" s="639"/>
      <c r="CP114" s="644"/>
      <c r="CQ114" s="44"/>
      <c r="CR114" s="771"/>
      <c r="CS114" s="21"/>
      <c r="CT114" s="270"/>
      <c r="CU114" s="720"/>
      <c r="CV114" s="73"/>
      <c r="CW114" s="42"/>
      <c r="CX114" s="43"/>
      <c r="CY114" s="567"/>
      <c r="CZ114" s="720"/>
      <c r="DA114" s="21"/>
      <c r="DB114" s="270"/>
      <c r="DC114" s="720"/>
      <c r="DD114" s="40"/>
      <c r="DE114" s="44"/>
      <c r="DF114" s="44"/>
      <c r="DG114" s="36"/>
      <c r="DH114" s="20"/>
      <c r="DI114" s="708"/>
      <c r="DJ114" s="768"/>
      <c r="DK114" s="309"/>
      <c r="DL114" s="310"/>
      <c r="DM114" s="307"/>
      <c r="DN114" s="20"/>
      <c r="DO114" s="268"/>
      <c r="DP114" s="760"/>
      <c r="DQ114" s="40"/>
      <c r="DR114" s="44"/>
      <c r="DS114" s="36"/>
      <c r="DT114" s="20"/>
      <c r="DU114" s="271"/>
      <c r="DV114" s="789"/>
      <c r="DW114" s="40"/>
      <c r="DX114" s="691"/>
      <c r="DY114" s="66" t="s">
        <v>80</v>
      </c>
      <c r="DZ114" s="36"/>
      <c r="EA114" s="20"/>
      <c r="EB114" s="711"/>
      <c r="EC114" s="740"/>
      <c r="ED114" s="764"/>
      <c r="EE114" s="66" t="s">
        <v>80</v>
      </c>
      <c r="EF114" s="771"/>
      <c r="EG114" s="20"/>
      <c r="EH114" s="268"/>
      <c r="EI114" s="781"/>
      <c r="EJ114" s="40"/>
      <c r="EK114" s="44"/>
      <c r="EL114" s="36"/>
      <c r="EM114" s="20"/>
      <c r="EN114" s="708"/>
    </row>
    <row r="115" spans="2:144" ht="31.5" customHeight="1" thickTop="1" thickBot="1" x14ac:dyDescent="0.25">
      <c r="B115" s="961"/>
      <c r="C115" s="34">
        <f>C114+1</f>
        <v>46038</v>
      </c>
      <c r="D115" s="1"/>
      <c r="E115" s="23"/>
      <c r="F115" s="526"/>
      <c r="G115" s="804"/>
      <c r="H115" s="1"/>
      <c r="I115" s="264"/>
      <c r="J115" s="672"/>
      <c r="K115" s="891"/>
      <c r="L115" s="696"/>
      <c r="M115" s="47"/>
      <c r="N115" s="48"/>
      <c r="O115" s="23"/>
      <c r="P115" s="623"/>
      <c r="Q115" s="672"/>
      <c r="R115" s="312"/>
      <c r="S115" s="672"/>
      <c r="T115" s="312"/>
      <c r="U115" s="891"/>
      <c r="V115" s="696"/>
      <c r="W115" s="23"/>
      <c r="X115" s="709"/>
      <c r="Y115" s="830"/>
      <c r="Z115" s="891"/>
      <c r="AA115" s="692"/>
      <c r="AB115" s="312"/>
      <c r="AC115" s="48"/>
      <c r="AD115" s="21"/>
      <c r="AE115" s="709"/>
      <c r="AF115" s="658"/>
      <c r="AG115" s="658"/>
      <c r="AH115" s="830"/>
      <c r="AI115" s="830"/>
      <c r="AJ115" s="891"/>
      <c r="AK115" s="692"/>
      <c r="AL115" s="47"/>
      <c r="AM115" s="48"/>
      <c r="AN115" s="21"/>
      <c r="AO115" s="709"/>
      <c r="AP115" s="720"/>
      <c r="AQ115" s="311"/>
      <c r="AR115" s="313"/>
      <c r="AS115" s="313"/>
      <c r="AT115" s="315"/>
      <c r="AU115" s="21"/>
      <c r="AV115" s="709"/>
      <c r="AW115" s="760"/>
      <c r="AX115" s="67"/>
      <c r="AY115" s="55"/>
      <c r="AZ115" s="47"/>
      <c r="BA115" s="48"/>
      <c r="BB115" s="21"/>
      <c r="BC115" s="672"/>
      <c r="BD115" s="55"/>
      <c r="BE115" s="312"/>
      <c r="BF115" s="48"/>
      <c r="BG115" s="21"/>
      <c r="BH115" s="709"/>
      <c r="BI115" s="845"/>
      <c r="BJ115" s="67"/>
      <c r="BK115" s="47"/>
      <c r="BL115" s="48"/>
      <c r="BM115" s="21"/>
      <c r="BN115" s="709"/>
      <c r="BO115" s="845"/>
      <c r="BP115" s="67"/>
      <c r="BQ115" s="845"/>
      <c r="BR115" s="67"/>
      <c r="BS115" s="312"/>
      <c r="BT115" s="48"/>
      <c r="BU115" s="21"/>
      <c r="BV115" s="275"/>
      <c r="BW115" s="876"/>
      <c r="BX115" s="67"/>
      <c r="BY115" s="47"/>
      <c r="BZ115" s="48"/>
      <c r="CA115" s="21"/>
      <c r="CB115" s="274"/>
      <c r="CC115" s="672"/>
      <c r="CD115" s="902"/>
      <c r="CE115" s="59"/>
      <c r="CF115" s="64"/>
      <c r="CG115" s="21"/>
      <c r="CH115" s="271"/>
      <c r="CI115" s="946"/>
      <c r="CJ115" s="59"/>
      <c r="CK115" s="59"/>
      <c r="CL115" s="64"/>
      <c r="CM115" s="21"/>
      <c r="CN115" s="712"/>
      <c r="CO115" s="639"/>
      <c r="CP115" s="645"/>
      <c r="CQ115" s="59"/>
      <c r="CR115" s="772"/>
      <c r="CS115" s="21"/>
      <c r="CT115" s="270"/>
      <c r="CU115" s="720"/>
      <c r="CV115" s="198"/>
      <c r="CW115" s="199"/>
      <c r="CX115" s="200"/>
      <c r="CY115" s="567"/>
      <c r="CZ115" s="720"/>
      <c r="DA115" s="21"/>
      <c r="DB115" s="270"/>
      <c r="DC115" s="720"/>
      <c r="DD115" s="45"/>
      <c r="DE115" s="59"/>
      <c r="DF115" s="59"/>
      <c r="DG115" s="64"/>
      <c r="DH115" s="20"/>
      <c r="DI115" s="709"/>
      <c r="DJ115" s="769"/>
      <c r="DK115" s="311"/>
      <c r="DL115" s="313"/>
      <c r="DM115" s="315"/>
      <c r="DN115" s="20"/>
      <c r="DO115" s="268"/>
      <c r="DP115" s="760"/>
      <c r="DQ115" s="45"/>
      <c r="DR115" s="59"/>
      <c r="DS115" s="64"/>
      <c r="DT115" s="20"/>
      <c r="DU115" s="271"/>
      <c r="DV115" s="789"/>
      <c r="DW115" s="45"/>
      <c r="DX115" s="692"/>
      <c r="DY115" s="59"/>
      <c r="DZ115" s="64"/>
      <c r="EA115" s="20"/>
      <c r="EB115" s="712"/>
      <c r="EC115" s="740"/>
      <c r="ED115" s="765"/>
      <c r="EE115" s="59"/>
      <c r="EF115" s="772"/>
      <c r="EG115" s="20"/>
      <c r="EH115" s="268"/>
      <c r="EI115" s="781"/>
      <c r="EJ115" s="45"/>
      <c r="EK115" s="59"/>
      <c r="EL115" s="64"/>
      <c r="EM115" s="20"/>
      <c r="EN115" s="709"/>
    </row>
    <row r="116" spans="2:144" ht="17.25" customHeight="1" thickTop="1" thickBot="1" x14ac:dyDescent="0.25">
      <c r="B116" s="959">
        <f>B111+1</f>
        <v>4</v>
      </c>
      <c r="C116" s="89">
        <f>C111+7</f>
        <v>46041</v>
      </c>
      <c r="D116" s="4"/>
      <c r="E116" s="24"/>
      <c r="F116" s="525"/>
      <c r="G116" s="804"/>
      <c r="H116" s="4"/>
      <c r="I116" s="264"/>
      <c r="J116" s="672"/>
      <c r="K116" s="750">
        <v>1</v>
      </c>
      <c r="L116" s="694" t="s">
        <v>129</v>
      </c>
      <c r="M116" s="72"/>
      <c r="N116" s="62"/>
      <c r="O116" s="24"/>
      <c r="P116" s="623"/>
      <c r="Q116" s="672"/>
      <c r="R116" s="72"/>
      <c r="S116" s="672"/>
      <c r="T116" s="72"/>
      <c r="U116" s="750">
        <v>1</v>
      </c>
      <c r="V116" s="694" t="s">
        <v>129</v>
      </c>
      <c r="W116" s="24"/>
      <c r="X116" s="707" t="s">
        <v>330</v>
      </c>
      <c r="Y116" s="830"/>
      <c r="Z116" s="750">
        <v>1</v>
      </c>
      <c r="AA116" s="690" t="s">
        <v>127</v>
      </c>
      <c r="AB116" s="72"/>
      <c r="AC116" s="62"/>
      <c r="AD116" s="21"/>
      <c r="AE116" s="707" t="s">
        <v>330</v>
      </c>
      <c r="AF116" s="658"/>
      <c r="AG116" s="658"/>
      <c r="AH116" s="830"/>
      <c r="AI116" s="830"/>
      <c r="AJ116" s="750">
        <v>1</v>
      </c>
      <c r="AK116" s="690" t="s">
        <v>127</v>
      </c>
      <c r="AL116" s="72"/>
      <c r="AM116" s="62"/>
      <c r="AN116" s="21"/>
      <c r="AO116" s="271"/>
      <c r="AP116" s="720"/>
      <c r="AQ116" s="314"/>
      <c r="AR116" s="308"/>
      <c r="AS116" s="308"/>
      <c r="AT116" s="306"/>
      <c r="AU116" s="21"/>
      <c r="AV116" s="271"/>
      <c r="AW116" s="760"/>
      <c r="AX116" s="71"/>
      <c r="AY116" s="74"/>
      <c r="AZ116" s="72"/>
      <c r="BA116" s="62"/>
      <c r="BB116" s="21"/>
      <c r="BC116" s="672"/>
      <c r="BD116" s="71"/>
      <c r="BE116" s="72"/>
      <c r="BF116" s="62"/>
      <c r="BG116" s="21"/>
      <c r="BH116" s="713" t="s">
        <v>136</v>
      </c>
      <c r="BI116" s="845"/>
      <c r="BJ116" s="71"/>
      <c r="BK116" s="72"/>
      <c r="BL116" s="62"/>
      <c r="BM116" s="21"/>
      <c r="BN116" s="713" t="s">
        <v>136</v>
      </c>
      <c r="BO116" s="845"/>
      <c r="BP116" s="71"/>
      <c r="BQ116" s="845"/>
      <c r="BR116" s="71"/>
      <c r="BS116" s="72"/>
      <c r="BT116" s="62"/>
      <c r="BU116" s="21"/>
      <c r="BV116" s="707" t="s">
        <v>116</v>
      </c>
      <c r="BW116" s="876"/>
      <c r="BX116" s="71"/>
      <c r="BY116" s="72"/>
      <c r="BZ116" s="62"/>
      <c r="CA116" s="21"/>
      <c r="CB116" s="274"/>
      <c r="CC116" s="672"/>
      <c r="CD116" s="900" t="s">
        <v>281</v>
      </c>
      <c r="CE116" s="39"/>
      <c r="CF116" s="35"/>
      <c r="CG116" s="21"/>
      <c r="CH116" s="707" t="s">
        <v>81</v>
      </c>
      <c r="CI116" s="946"/>
      <c r="CJ116" s="39"/>
      <c r="CK116" s="39"/>
      <c r="CL116" s="35"/>
      <c r="CM116" s="21"/>
      <c r="CN116" s="271"/>
      <c r="CO116" s="639"/>
      <c r="CP116" s="643" t="s">
        <v>102</v>
      </c>
      <c r="CQ116" s="39"/>
      <c r="CR116" s="306"/>
      <c r="CS116" s="21"/>
      <c r="CT116" s="270"/>
      <c r="CU116" s="720"/>
      <c r="CV116" s="37"/>
      <c r="CW116" s="58"/>
      <c r="CX116" s="201"/>
      <c r="CY116" s="567"/>
      <c r="CZ116" s="720"/>
      <c r="DA116" s="21"/>
      <c r="DB116" s="707" t="s">
        <v>81</v>
      </c>
      <c r="DC116" s="720"/>
      <c r="DD116" s="61"/>
      <c r="DE116" s="39"/>
      <c r="DF116" s="39"/>
      <c r="DG116" s="35"/>
      <c r="DH116" s="20"/>
      <c r="DI116" s="271"/>
      <c r="DJ116" s="933" t="s">
        <v>365</v>
      </c>
      <c r="DK116" s="643" t="s">
        <v>102</v>
      </c>
      <c r="DL116" s="39"/>
      <c r="DM116" s="306"/>
      <c r="DN116" s="20"/>
      <c r="DO116" s="268"/>
      <c r="DP116" s="760"/>
      <c r="DQ116" s="61"/>
      <c r="DR116" s="39"/>
      <c r="DS116" s="35"/>
      <c r="DT116" s="20"/>
      <c r="DU116" s="707" t="s">
        <v>66</v>
      </c>
      <c r="DV116" s="789"/>
      <c r="DW116" s="61"/>
      <c r="DX116" s="690" t="s">
        <v>105</v>
      </c>
      <c r="DY116" s="39"/>
      <c r="DZ116" s="35"/>
      <c r="EA116" s="20"/>
      <c r="EB116" s="707" t="s">
        <v>81</v>
      </c>
      <c r="EC116" s="740"/>
      <c r="ED116" s="763" t="s">
        <v>102</v>
      </c>
      <c r="EE116" s="39"/>
      <c r="EF116" s="306"/>
      <c r="EG116" s="20"/>
      <c r="EH116" s="268"/>
      <c r="EI116" s="781"/>
      <c r="EJ116" s="61"/>
      <c r="EK116" s="39"/>
      <c r="EL116" s="35"/>
      <c r="EM116" s="20"/>
      <c r="EN116" s="713" t="s">
        <v>136</v>
      </c>
    </row>
    <row r="117" spans="2:144" ht="17.25" customHeight="1" thickTop="1" thickBot="1" x14ac:dyDescent="0.25">
      <c r="B117" s="960"/>
      <c r="C117" s="33">
        <f>C116+1</f>
        <v>46042</v>
      </c>
      <c r="D117" s="1"/>
      <c r="E117" s="23"/>
      <c r="F117" s="526"/>
      <c r="G117" s="804"/>
      <c r="H117" s="1"/>
      <c r="I117" s="264"/>
      <c r="J117" s="672"/>
      <c r="K117" s="751"/>
      <c r="L117" s="695"/>
      <c r="M117" s="42"/>
      <c r="N117" s="43"/>
      <c r="O117" s="23"/>
      <c r="P117" s="623"/>
      <c r="Q117" s="672"/>
      <c r="R117" s="42"/>
      <c r="S117" s="672"/>
      <c r="T117" s="42"/>
      <c r="U117" s="751"/>
      <c r="V117" s="695"/>
      <c r="W117" s="23"/>
      <c r="X117" s="708"/>
      <c r="Y117" s="830"/>
      <c r="Z117" s="751"/>
      <c r="AA117" s="691"/>
      <c r="AB117" s="42"/>
      <c r="AC117" s="43"/>
      <c r="AD117" s="21"/>
      <c r="AE117" s="708"/>
      <c r="AF117" s="658"/>
      <c r="AG117" s="658"/>
      <c r="AH117" s="830"/>
      <c r="AI117" s="830"/>
      <c r="AJ117" s="751"/>
      <c r="AK117" s="691"/>
      <c r="AL117" s="42"/>
      <c r="AM117" s="43"/>
      <c r="AN117" s="21"/>
      <c r="AO117" s="270"/>
      <c r="AP117" s="720"/>
      <c r="AQ117" s="147"/>
      <c r="AR117" s="310"/>
      <c r="AS117" s="310"/>
      <c r="AT117" s="307"/>
      <c r="AU117" s="21"/>
      <c r="AV117" s="270"/>
      <c r="AW117" s="760"/>
      <c r="AX117" s="73"/>
      <c r="AY117" s="52"/>
      <c r="AZ117" s="42"/>
      <c r="BA117" s="43"/>
      <c r="BB117" s="21"/>
      <c r="BC117" s="672"/>
      <c r="BD117" s="73"/>
      <c r="BE117" s="42"/>
      <c r="BF117" s="43"/>
      <c r="BG117" s="21"/>
      <c r="BH117" s="714"/>
      <c r="BI117" s="845"/>
      <c r="BJ117" s="73"/>
      <c r="BK117" s="42"/>
      <c r="BL117" s="43"/>
      <c r="BM117" s="21"/>
      <c r="BN117" s="714"/>
      <c r="BO117" s="845"/>
      <c r="BP117" s="73"/>
      <c r="BQ117" s="845"/>
      <c r="BR117" s="73"/>
      <c r="BS117" s="42"/>
      <c r="BT117" s="43"/>
      <c r="BU117" s="21"/>
      <c r="BV117" s="708"/>
      <c r="BW117" s="876"/>
      <c r="BX117" s="63"/>
      <c r="BY117" s="42"/>
      <c r="BZ117" s="43"/>
      <c r="CA117" s="21"/>
      <c r="CB117" s="274"/>
      <c r="CC117" s="672"/>
      <c r="CD117" s="901"/>
      <c r="CE117" s="44"/>
      <c r="CF117" s="36"/>
      <c r="CG117" s="21"/>
      <c r="CH117" s="708"/>
      <c r="CI117" s="946"/>
      <c r="CJ117" s="44"/>
      <c r="CK117" s="44"/>
      <c r="CL117" s="36"/>
      <c r="CM117" s="21"/>
      <c r="CN117" s="271"/>
      <c r="CO117" s="639"/>
      <c r="CP117" s="644"/>
      <c r="CQ117" s="44"/>
      <c r="CR117" s="307"/>
      <c r="CS117" s="21"/>
      <c r="CT117" s="270"/>
      <c r="CU117" s="720"/>
      <c r="CV117" s="73"/>
      <c r="CW117" s="42"/>
      <c r="CX117" s="43"/>
      <c r="CY117" s="567"/>
      <c r="CZ117" s="720"/>
      <c r="DA117" s="21"/>
      <c r="DB117" s="708"/>
      <c r="DC117" s="720"/>
      <c r="DD117" s="40"/>
      <c r="DE117" s="44"/>
      <c r="DF117" s="44"/>
      <c r="DG117" s="36"/>
      <c r="DH117" s="20"/>
      <c r="DI117" s="271"/>
      <c r="DJ117" s="933"/>
      <c r="DK117" s="644"/>
      <c r="DL117" s="44"/>
      <c r="DM117" s="307"/>
      <c r="DN117" s="20"/>
      <c r="DO117" s="268"/>
      <c r="DP117" s="760"/>
      <c r="DQ117" s="40"/>
      <c r="DR117" s="44"/>
      <c r="DS117" s="36"/>
      <c r="DT117" s="20"/>
      <c r="DU117" s="708"/>
      <c r="DV117" s="789"/>
      <c r="DW117" s="40"/>
      <c r="DX117" s="691"/>
      <c r="DY117" s="44"/>
      <c r="DZ117" s="36"/>
      <c r="EA117" s="20"/>
      <c r="EB117" s="708"/>
      <c r="EC117" s="740"/>
      <c r="ED117" s="764"/>
      <c r="EE117" s="44"/>
      <c r="EF117" s="307"/>
      <c r="EG117" s="20"/>
      <c r="EH117" s="268"/>
      <c r="EI117" s="781"/>
      <c r="EJ117" s="40"/>
      <c r="EK117" s="44"/>
      <c r="EL117" s="36"/>
      <c r="EM117" s="20"/>
      <c r="EN117" s="714"/>
    </row>
    <row r="118" spans="2:144" ht="17.25" customHeight="1" thickTop="1" thickBot="1" x14ac:dyDescent="0.25">
      <c r="B118" s="960"/>
      <c r="C118" s="33">
        <f>C117+1</f>
        <v>46043</v>
      </c>
      <c r="D118" s="1"/>
      <c r="E118" s="23"/>
      <c r="F118" s="526"/>
      <c r="G118" s="804"/>
      <c r="H118" s="1"/>
      <c r="I118" s="264"/>
      <c r="J118" s="672"/>
      <c r="K118" s="751"/>
      <c r="L118" s="695"/>
      <c r="M118" s="50"/>
      <c r="N118" s="60"/>
      <c r="O118" s="23"/>
      <c r="P118" s="623"/>
      <c r="Q118" s="672"/>
      <c r="R118" s="50"/>
      <c r="S118" s="672"/>
      <c r="T118" s="50"/>
      <c r="U118" s="751"/>
      <c r="V118" s="695"/>
      <c r="W118" s="23"/>
      <c r="X118" s="708"/>
      <c r="Y118" s="830"/>
      <c r="Z118" s="751"/>
      <c r="AA118" s="691"/>
      <c r="AB118" s="50"/>
      <c r="AC118" s="60"/>
      <c r="AD118" s="21"/>
      <c r="AE118" s="708"/>
      <c r="AF118" s="658"/>
      <c r="AG118" s="658"/>
      <c r="AH118" s="830"/>
      <c r="AI118" s="830"/>
      <c r="AJ118" s="751"/>
      <c r="AK118" s="691"/>
      <c r="AL118" s="50"/>
      <c r="AM118" s="60"/>
      <c r="AN118" s="21"/>
      <c r="AO118" s="270"/>
      <c r="AP118" s="720"/>
      <c r="AQ118" s="147"/>
      <c r="AR118" s="310"/>
      <c r="AS118" s="310"/>
      <c r="AT118" s="307"/>
      <c r="AU118" s="21"/>
      <c r="AV118" s="270"/>
      <c r="AW118" s="760"/>
      <c r="AX118" s="63"/>
      <c r="AY118" s="54"/>
      <c r="AZ118" s="50"/>
      <c r="BA118" s="60"/>
      <c r="BB118" s="21"/>
      <c r="BC118" s="672"/>
      <c r="BD118" s="63"/>
      <c r="BE118" s="50"/>
      <c r="BF118" s="60"/>
      <c r="BG118" s="21"/>
      <c r="BH118" s="714"/>
      <c r="BI118" s="845"/>
      <c r="BJ118" s="63"/>
      <c r="BK118" s="50"/>
      <c r="BL118" s="60"/>
      <c r="BM118" s="21"/>
      <c r="BN118" s="714"/>
      <c r="BO118" s="845"/>
      <c r="BP118" s="63"/>
      <c r="BQ118" s="845"/>
      <c r="BR118" s="63"/>
      <c r="BS118" s="50"/>
      <c r="BT118" s="60"/>
      <c r="BU118" s="21"/>
      <c r="BV118" s="708"/>
      <c r="BW118" s="876"/>
      <c r="BX118" s="63"/>
      <c r="BY118" s="50"/>
      <c r="BZ118" s="60"/>
      <c r="CA118" s="21"/>
      <c r="CB118" s="274"/>
      <c r="CC118" s="672"/>
      <c r="CD118" s="901"/>
      <c r="CE118" s="44"/>
      <c r="CF118" s="36"/>
      <c r="CG118" s="21"/>
      <c r="CH118" s="708"/>
      <c r="CI118" s="946"/>
      <c r="CJ118" s="44"/>
      <c r="CK118" s="44"/>
      <c r="CL118" s="36"/>
      <c r="CM118" s="21"/>
      <c r="CN118" s="271"/>
      <c r="CO118" s="639"/>
      <c r="CP118" s="644"/>
      <c r="CQ118" s="44"/>
      <c r="CR118" s="307"/>
      <c r="CS118" s="21"/>
      <c r="CT118" s="270"/>
      <c r="CU118" s="720"/>
      <c r="CV118" s="73"/>
      <c r="CW118" s="42"/>
      <c r="CX118" s="43"/>
      <c r="CY118" s="567"/>
      <c r="CZ118" s="720"/>
      <c r="DA118" s="21"/>
      <c r="DB118" s="708"/>
      <c r="DC118" s="720"/>
      <c r="DD118" s="40"/>
      <c r="DE118" s="44"/>
      <c r="DF118" s="44"/>
      <c r="DG118" s="36"/>
      <c r="DH118" s="20"/>
      <c r="DI118" s="271"/>
      <c r="DJ118" s="933"/>
      <c r="DK118" s="644"/>
      <c r="DL118" s="44"/>
      <c r="DM118" s="307"/>
      <c r="DN118" s="20"/>
      <c r="DO118" s="268"/>
      <c r="DP118" s="760"/>
      <c r="DQ118" s="40"/>
      <c r="DR118" s="44"/>
      <c r="DS118" s="36"/>
      <c r="DT118" s="20"/>
      <c r="DU118" s="708"/>
      <c r="DV118" s="789"/>
      <c r="DW118" s="40"/>
      <c r="DX118" s="691"/>
      <c r="DY118" s="116" t="s">
        <v>61</v>
      </c>
      <c r="DZ118" s="36"/>
      <c r="EA118" s="20"/>
      <c r="EB118" s="708"/>
      <c r="EC118" s="740"/>
      <c r="ED118" s="764"/>
      <c r="EE118" s="621" t="s">
        <v>61</v>
      </c>
      <c r="EF118" s="307"/>
      <c r="EG118" s="20"/>
      <c r="EH118" s="268"/>
      <c r="EI118" s="781"/>
      <c r="EJ118" s="40"/>
      <c r="EK118" s="44"/>
      <c r="EL118" s="36"/>
      <c r="EM118" s="20"/>
      <c r="EN118" s="714"/>
    </row>
    <row r="119" spans="2:144" ht="17.25" customHeight="1" thickTop="1" thickBot="1" x14ac:dyDescent="0.25">
      <c r="B119" s="960"/>
      <c r="C119" s="33">
        <f>C118+1</f>
        <v>46044</v>
      </c>
      <c r="D119" s="1"/>
      <c r="G119" s="804"/>
      <c r="H119" s="1"/>
      <c r="I119" s="264"/>
      <c r="J119" s="672"/>
      <c r="K119" s="751"/>
      <c r="L119" s="695"/>
      <c r="M119" s="261" t="s">
        <v>61</v>
      </c>
      <c r="N119" s="60"/>
      <c r="O119" s="23"/>
      <c r="P119" s="623"/>
      <c r="Q119" s="672"/>
      <c r="R119" s="261" t="s">
        <v>61</v>
      </c>
      <c r="S119" s="672"/>
      <c r="T119" s="42"/>
      <c r="U119" s="751"/>
      <c r="V119" s="695"/>
      <c r="W119" s="23"/>
      <c r="X119" s="708"/>
      <c r="Y119" s="830"/>
      <c r="Z119" s="751"/>
      <c r="AA119" s="691"/>
      <c r="AB119" s="615" t="s">
        <v>80</v>
      </c>
      <c r="AC119" s="60"/>
      <c r="AD119" s="21"/>
      <c r="AE119" s="708"/>
      <c r="AF119" s="658"/>
      <c r="AG119" s="658"/>
      <c r="AH119" s="830"/>
      <c r="AI119" s="830"/>
      <c r="AJ119" s="751"/>
      <c r="AK119" s="691"/>
      <c r="AL119" s="615" t="s">
        <v>80</v>
      </c>
      <c r="AM119" s="60"/>
      <c r="AN119" s="21"/>
      <c r="AO119" s="270"/>
      <c r="AP119" s="720"/>
      <c r="AQ119" s="147"/>
      <c r="AR119" s="310"/>
      <c r="AS119" s="66" t="s">
        <v>80</v>
      </c>
      <c r="AT119" s="307"/>
      <c r="AU119" s="21"/>
      <c r="AV119" s="270"/>
      <c r="AW119" s="760"/>
      <c r="AX119" s="63"/>
      <c r="AY119" s="54"/>
      <c r="AZ119" s="66" t="s">
        <v>80</v>
      </c>
      <c r="BA119" s="60"/>
      <c r="BB119" s="21"/>
      <c r="BC119" s="672"/>
      <c r="BD119" s="63"/>
      <c r="BE119" s="66" t="s">
        <v>80</v>
      </c>
      <c r="BF119" s="60"/>
      <c r="BG119" s="21"/>
      <c r="BH119" s="714"/>
      <c r="BI119" s="845"/>
      <c r="BJ119" s="63"/>
      <c r="BK119" s="50"/>
      <c r="BL119" s="60"/>
      <c r="BM119" s="21"/>
      <c r="BN119" s="714"/>
      <c r="BO119" s="845"/>
      <c r="BP119" s="63"/>
      <c r="BQ119" s="845"/>
      <c r="BR119" s="63"/>
      <c r="BS119" s="50"/>
      <c r="BT119" s="60"/>
      <c r="BU119" s="21"/>
      <c r="BV119" s="708"/>
      <c r="BW119" s="876"/>
      <c r="BX119" s="63"/>
      <c r="BY119" s="50"/>
      <c r="BZ119" s="60"/>
      <c r="CA119" s="21"/>
      <c r="CB119" s="274"/>
      <c r="CC119" s="672"/>
      <c r="CD119" s="901"/>
      <c r="CE119" s="44"/>
      <c r="CF119" s="36"/>
      <c r="CG119" s="21"/>
      <c r="CH119" s="708"/>
      <c r="CI119" s="946"/>
      <c r="CJ119" s="44"/>
      <c r="CK119" s="44"/>
      <c r="CL119" s="36"/>
      <c r="CM119" s="21"/>
      <c r="CN119" s="271"/>
      <c r="CO119" s="639"/>
      <c r="CP119" s="644"/>
      <c r="CQ119" s="66" t="s">
        <v>80</v>
      </c>
      <c r="CR119" s="307"/>
      <c r="CS119" s="21"/>
      <c r="CT119" s="270"/>
      <c r="CU119" s="720"/>
      <c r="CV119" s="73"/>
      <c r="CW119" s="42"/>
      <c r="CX119" s="43"/>
      <c r="CY119" s="567"/>
      <c r="CZ119" s="720"/>
      <c r="DA119" s="21"/>
      <c r="DB119" s="708"/>
      <c r="DC119" s="720"/>
      <c r="DD119" s="40"/>
      <c r="DE119" s="44"/>
      <c r="DF119" s="44"/>
      <c r="DG119" s="36"/>
      <c r="DH119" s="20"/>
      <c r="DI119" s="271"/>
      <c r="DJ119" s="933"/>
      <c r="DK119" s="644"/>
      <c r="DL119" s="44"/>
      <c r="DM119" s="307"/>
      <c r="DN119" s="20"/>
      <c r="DO119" s="268"/>
      <c r="DP119" s="760"/>
      <c r="DQ119" s="40"/>
      <c r="DR119" s="44"/>
      <c r="DS119" s="36"/>
      <c r="DT119" s="20"/>
      <c r="DU119" s="708"/>
      <c r="DV119" s="789"/>
      <c r="DW119" s="40"/>
      <c r="DX119" s="691"/>
      <c r="DY119" s="310"/>
      <c r="DZ119" s="36"/>
      <c r="EA119" s="20"/>
      <c r="EB119" s="708"/>
      <c r="EC119" s="740"/>
      <c r="ED119" s="764"/>
      <c r="EE119" s="310"/>
      <c r="EF119" s="307"/>
      <c r="EG119" s="20"/>
      <c r="EH119" s="268"/>
      <c r="EI119" s="781"/>
      <c r="EJ119" s="40"/>
      <c r="EK119" s="44"/>
      <c r="EL119" s="36"/>
      <c r="EM119" s="20"/>
      <c r="EN119" s="714"/>
    </row>
    <row r="120" spans="2:144" ht="33" customHeight="1" thickTop="1" thickBot="1" x14ac:dyDescent="0.25">
      <c r="B120" s="961"/>
      <c r="C120" s="34">
        <f>C119+1</f>
        <v>46045</v>
      </c>
      <c r="D120" s="1"/>
      <c r="E120" s="23"/>
      <c r="F120" s="526"/>
      <c r="G120" s="805"/>
      <c r="H120" s="1"/>
      <c r="I120" s="264"/>
      <c r="J120" s="672"/>
      <c r="K120" s="752"/>
      <c r="L120" s="696"/>
      <c r="M120" s="47"/>
      <c r="N120" s="48"/>
      <c r="O120" s="23"/>
      <c r="P120" s="623"/>
      <c r="Q120" s="672"/>
      <c r="R120" s="312"/>
      <c r="S120" s="672"/>
      <c r="T120" s="312"/>
      <c r="U120" s="752"/>
      <c r="V120" s="696"/>
      <c r="W120" s="23"/>
      <c r="X120" s="708"/>
      <c r="Y120" s="830"/>
      <c r="Z120" s="752"/>
      <c r="AA120" s="692"/>
      <c r="AB120" s="312"/>
      <c r="AC120" s="48"/>
      <c r="AD120" s="21"/>
      <c r="AE120" s="708"/>
      <c r="AF120" s="658"/>
      <c r="AG120" s="658"/>
      <c r="AH120" s="830"/>
      <c r="AI120" s="830"/>
      <c r="AJ120" s="752"/>
      <c r="AK120" s="692"/>
      <c r="AL120" s="88" t="s">
        <v>48</v>
      </c>
      <c r="AM120" s="48"/>
      <c r="AN120" s="21"/>
      <c r="AO120" s="270"/>
      <c r="AP120" s="720"/>
      <c r="AQ120" s="311"/>
      <c r="AR120" s="313"/>
      <c r="AS120" s="313"/>
      <c r="AT120" s="315"/>
      <c r="AU120" s="21"/>
      <c r="AV120" s="270"/>
      <c r="AW120" s="760"/>
      <c r="AX120" s="67"/>
      <c r="AY120" s="55"/>
      <c r="AZ120" s="47"/>
      <c r="BA120" s="48"/>
      <c r="BB120" s="21"/>
      <c r="BC120" s="672"/>
      <c r="BD120" s="67"/>
      <c r="BE120" s="312"/>
      <c r="BF120" s="48"/>
      <c r="BG120" s="21"/>
      <c r="BH120" s="715"/>
      <c r="BI120" s="845"/>
      <c r="BJ120" s="67"/>
      <c r="BK120" s="47"/>
      <c r="BL120" s="48"/>
      <c r="BM120" s="21"/>
      <c r="BN120" s="715"/>
      <c r="BO120" s="845"/>
      <c r="BP120" s="67"/>
      <c r="BQ120" s="845"/>
      <c r="BR120" s="67"/>
      <c r="BS120" s="312"/>
      <c r="BT120" s="48"/>
      <c r="BU120" s="21"/>
      <c r="BV120" s="709"/>
      <c r="BW120" s="876"/>
      <c r="BX120" s="67"/>
      <c r="BY120" s="312"/>
      <c r="BZ120" s="48"/>
      <c r="CA120" s="21"/>
      <c r="CB120" s="274"/>
      <c r="CC120" s="672"/>
      <c r="CD120" s="902"/>
      <c r="CE120" s="313"/>
      <c r="CF120" s="64"/>
      <c r="CG120" s="21"/>
      <c r="CH120" s="709"/>
      <c r="CI120" s="947"/>
      <c r="CJ120" s="59"/>
      <c r="CK120" s="59"/>
      <c r="CL120" s="64"/>
      <c r="CM120" s="21"/>
      <c r="CN120" s="271"/>
      <c r="CO120" s="639"/>
      <c r="CP120" s="645"/>
      <c r="CQ120" s="59"/>
      <c r="CR120" s="315"/>
      <c r="CS120" s="21"/>
      <c r="CT120" s="270"/>
      <c r="CU120" s="720"/>
      <c r="CV120" s="198"/>
      <c r="CW120" s="199"/>
      <c r="CX120" s="200"/>
      <c r="CY120" s="567"/>
      <c r="CZ120" s="720"/>
      <c r="DA120" s="21"/>
      <c r="DB120" s="709"/>
      <c r="DC120" s="721"/>
      <c r="DD120" s="45"/>
      <c r="DE120" s="59"/>
      <c r="DF120" s="59"/>
      <c r="DG120" s="64"/>
      <c r="DH120" s="20"/>
      <c r="DI120" s="271"/>
      <c r="DJ120" s="933"/>
      <c r="DK120" s="645"/>
      <c r="DL120" s="59"/>
      <c r="DM120" s="315"/>
      <c r="DN120" s="20"/>
      <c r="DO120" s="268"/>
      <c r="DP120" s="760"/>
      <c r="DQ120" s="45"/>
      <c r="DR120" s="59"/>
      <c r="DS120" s="64"/>
      <c r="DT120" s="20"/>
      <c r="DU120" s="709"/>
      <c r="DV120" s="796"/>
      <c r="DW120" s="45"/>
      <c r="DX120" s="692"/>
      <c r="DY120" s="183" t="s">
        <v>48</v>
      </c>
      <c r="DZ120" s="64"/>
      <c r="EA120" s="20"/>
      <c r="EB120" s="709"/>
      <c r="EC120" s="740"/>
      <c r="ED120" s="765"/>
      <c r="EE120" s="59"/>
      <c r="EF120" s="315"/>
      <c r="EG120" s="20"/>
      <c r="EH120" s="268"/>
      <c r="EI120" s="781"/>
      <c r="EJ120" s="45"/>
      <c r="EK120" s="59"/>
      <c r="EL120" s="64"/>
      <c r="EM120" s="20"/>
      <c r="EN120" s="715"/>
    </row>
    <row r="121" spans="2:144" ht="26.25" customHeight="1" thickTop="1" thickBot="1" x14ac:dyDescent="0.25">
      <c r="B121" s="959">
        <f>B116+1</f>
        <v>5</v>
      </c>
      <c r="C121" s="89">
        <f>C116+7</f>
        <v>46048</v>
      </c>
      <c r="D121" s="4"/>
      <c r="E121" s="24"/>
      <c r="F121" s="525"/>
      <c r="G121" s="803" t="s">
        <v>363</v>
      </c>
      <c r="H121" s="4"/>
      <c r="I121" s="264"/>
      <c r="J121" s="672"/>
      <c r="K121" s="314"/>
      <c r="L121" s="690" t="s">
        <v>134</v>
      </c>
      <c r="M121" s="72"/>
      <c r="N121" s="62"/>
      <c r="O121" s="24"/>
      <c r="P121" s="623"/>
      <c r="Q121" s="672"/>
      <c r="R121" s="72"/>
      <c r="S121" s="672"/>
      <c r="T121" s="72"/>
      <c r="U121" s="314"/>
      <c r="V121" s="690" t="s">
        <v>134</v>
      </c>
      <c r="W121" s="24"/>
      <c r="X121" s="707" t="s">
        <v>44</v>
      </c>
      <c r="Y121" s="830"/>
      <c r="Z121" s="71"/>
      <c r="AA121" s="690" t="s">
        <v>130</v>
      </c>
      <c r="AB121" s="131" t="s">
        <v>48</v>
      </c>
      <c r="AC121" s="62"/>
      <c r="AD121" s="21"/>
      <c r="AE121" s="707" t="s">
        <v>44</v>
      </c>
      <c r="AF121" s="658"/>
      <c r="AG121" s="658"/>
      <c r="AH121" s="658" t="s">
        <v>349</v>
      </c>
      <c r="AI121" s="830"/>
      <c r="AJ121" s="71"/>
      <c r="AK121" s="690" t="s">
        <v>130</v>
      </c>
      <c r="AL121" s="131" t="s">
        <v>48</v>
      </c>
      <c r="AM121" s="62"/>
      <c r="AN121" s="21"/>
      <c r="AO121" s="271"/>
      <c r="AP121" s="720"/>
      <c r="AQ121" s="314"/>
      <c r="AR121" s="308"/>
      <c r="AS121" s="308"/>
      <c r="AT121" s="306"/>
      <c r="AU121" s="21"/>
      <c r="AV121" s="271"/>
      <c r="AW121" s="760"/>
      <c r="AX121" s="71"/>
      <c r="AY121" s="173"/>
      <c r="AZ121" s="72"/>
      <c r="BA121" s="62"/>
      <c r="BB121" s="21"/>
      <c r="BC121" s="672"/>
      <c r="BD121" s="71"/>
      <c r="BE121" s="72"/>
      <c r="BF121" s="62"/>
      <c r="BG121" s="21"/>
      <c r="BH121" s="707" t="s">
        <v>143</v>
      </c>
      <c r="BI121" s="845"/>
      <c r="BJ121" s="71"/>
      <c r="BK121" s="72"/>
      <c r="BL121" s="62"/>
      <c r="BM121" s="21"/>
      <c r="BN121" s="707" t="s">
        <v>143</v>
      </c>
      <c r="BO121" s="845"/>
      <c r="BP121" s="71"/>
      <c r="BQ121" s="845"/>
      <c r="BR121" s="71"/>
      <c r="BS121" s="72"/>
      <c r="BT121" s="62"/>
      <c r="BU121" s="21"/>
      <c r="BV121" s="707" t="s">
        <v>131</v>
      </c>
      <c r="BW121" s="876"/>
      <c r="BX121" s="71"/>
      <c r="BY121" s="72"/>
      <c r="BZ121" s="62"/>
      <c r="CA121" s="21"/>
      <c r="CB121" s="707" t="s">
        <v>128</v>
      </c>
      <c r="CC121" s="672"/>
      <c r="CD121" s="314"/>
      <c r="CE121" s="39"/>
      <c r="CF121" s="35"/>
      <c r="CG121" s="21"/>
      <c r="CH121" s="271"/>
      <c r="CI121" s="671" t="s">
        <v>259</v>
      </c>
      <c r="CJ121" s="694" t="s">
        <v>96</v>
      </c>
      <c r="CK121" s="39"/>
      <c r="CL121" s="35"/>
      <c r="CM121" s="21"/>
      <c r="CN121" s="271"/>
      <c r="CO121" s="639"/>
      <c r="CP121" s="643" t="s">
        <v>133</v>
      </c>
      <c r="CQ121" s="39"/>
      <c r="CR121" s="35"/>
      <c r="CS121" s="21"/>
      <c r="CT121" s="707" t="s">
        <v>81</v>
      </c>
      <c r="CU121" s="720"/>
      <c r="CV121" s="37"/>
      <c r="CW121" s="58"/>
      <c r="CX121" s="201"/>
      <c r="CY121" s="568"/>
      <c r="CZ121" s="720"/>
      <c r="DA121" s="21"/>
      <c r="DB121" s="270"/>
      <c r="DC121" s="878" t="s">
        <v>205</v>
      </c>
      <c r="DD121" s="61"/>
      <c r="DE121" s="690" t="s">
        <v>96</v>
      </c>
      <c r="DF121" s="39"/>
      <c r="DG121" s="35"/>
      <c r="DH121" s="20"/>
      <c r="DI121" s="271"/>
      <c r="DJ121" s="933"/>
      <c r="DK121" s="643" t="s">
        <v>133</v>
      </c>
      <c r="DL121" s="39"/>
      <c r="DM121" s="770" t="s">
        <v>122</v>
      </c>
      <c r="DN121" s="20"/>
      <c r="DO121" s="268"/>
      <c r="DP121" s="760"/>
      <c r="DQ121" s="61"/>
      <c r="DR121" s="39"/>
      <c r="DS121" s="35"/>
      <c r="DT121" s="20"/>
      <c r="DU121" s="707" t="s">
        <v>69</v>
      </c>
      <c r="DV121" s="780" t="s">
        <v>26</v>
      </c>
      <c r="DW121" s="61"/>
      <c r="DX121" s="39"/>
      <c r="DY121" s="39"/>
      <c r="DZ121" s="35"/>
      <c r="EA121" s="20"/>
      <c r="EB121" s="271"/>
      <c r="EC121" s="740"/>
      <c r="ED121" s="643" t="s">
        <v>133</v>
      </c>
      <c r="EE121" s="39"/>
      <c r="EF121" s="306"/>
      <c r="EG121" s="20"/>
      <c r="EH121" s="268"/>
      <c r="EI121" s="781"/>
      <c r="EJ121" s="61"/>
      <c r="EK121" s="39"/>
      <c r="EL121" s="35"/>
      <c r="EM121" s="20"/>
      <c r="EN121" s="707" t="s">
        <v>143</v>
      </c>
    </row>
    <row r="122" spans="2:144" ht="17.25" customHeight="1" thickTop="1" thickBot="1" x14ac:dyDescent="0.25">
      <c r="B122" s="960"/>
      <c r="C122" s="33">
        <f>C121+1</f>
        <v>46049</v>
      </c>
      <c r="D122" s="1"/>
      <c r="E122" s="23"/>
      <c r="F122" s="526"/>
      <c r="G122" s="804"/>
      <c r="H122" s="1"/>
      <c r="I122" s="264"/>
      <c r="J122" s="672"/>
      <c r="K122" s="73"/>
      <c r="L122" s="691"/>
      <c r="M122" s="42"/>
      <c r="N122" s="43"/>
      <c r="O122" s="23"/>
      <c r="P122" s="623"/>
      <c r="Q122" s="672"/>
      <c r="R122" s="42"/>
      <c r="S122" s="672"/>
      <c r="T122" s="42"/>
      <c r="U122" s="73"/>
      <c r="V122" s="691"/>
      <c r="W122" s="23"/>
      <c r="X122" s="708"/>
      <c r="Y122" s="830" t="s">
        <v>255</v>
      </c>
      <c r="Z122" s="73"/>
      <c r="AA122" s="691"/>
      <c r="AB122" s="42"/>
      <c r="AC122" s="43"/>
      <c r="AD122" s="21"/>
      <c r="AE122" s="708"/>
      <c r="AF122" s="658"/>
      <c r="AG122" s="658"/>
      <c r="AH122" s="658"/>
      <c r="AI122" s="830" t="s">
        <v>152</v>
      </c>
      <c r="AJ122" s="73"/>
      <c r="AK122" s="691"/>
      <c r="AL122" s="42"/>
      <c r="AM122" s="43"/>
      <c r="AN122" s="21"/>
      <c r="AO122" s="270"/>
      <c r="AP122" s="720"/>
      <c r="AQ122" s="147"/>
      <c r="AR122" s="310"/>
      <c r="AS122" s="310"/>
      <c r="AT122" s="307"/>
      <c r="AU122" s="21"/>
      <c r="AV122" s="270"/>
      <c r="AW122" s="760"/>
      <c r="AX122" s="73"/>
      <c r="AY122" s="53"/>
      <c r="AZ122" s="42"/>
      <c r="BA122" s="43"/>
      <c r="BB122" s="21"/>
      <c r="BC122" s="672"/>
      <c r="BD122" s="73"/>
      <c r="BE122" s="42"/>
      <c r="BF122" s="43"/>
      <c r="BG122" s="21"/>
      <c r="BH122" s="708"/>
      <c r="BI122" s="845"/>
      <c r="BJ122" s="73"/>
      <c r="BK122" s="42"/>
      <c r="BL122" s="43"/>
      <c r="BM122" s="21"/>
      <c r="BN122" s="708"/>
      <c r="BO122" s="845"/>
      <c r="BP122" s="73"/>
      <c r="BQ122" s="845"/>
      <c r="BR122" s="73"/>
      <c r="BS122" s="42"/>
      <c r="BT122" s="43"/>
      <c r="BU122" s="21"/>
      <c r="BV122" s="708"/>
      <c r="BW122" s="876"/>
      <c r="BX122" s="63"/>
      <c r="BY122" s="42"/>
      <c r="BZ122" s="43"/>
      <c r="CA122" s="21"/>
      <c r="CB122" s="708"/>
      <c r="CC122" s="672"/>
      <c r="CD122" s="309"/>
      <c r="CE122" s="44"/>
      <c r="CF122" s="36"/>
      <c r="CG122" s="21"/>
      <c r="CH122" s="270"/>
      <c r="CI122" s="672"/>
      <c r="CJ122" s="695"/>
      <c r="CK122" s="44"/>
      <c r="CL122" s="36"/>
      <c r="CM122" s="21"/>
      <c r="CN122" s="270"/>
      <c r="CO122" s="639"/>
      <c r="CP122" s="644"/>
      <c r="CQ122" s="44"/>
      <c r="CR122" s="36"/>
      <c r="CS122" s="21"/>
      <c r="CT122" s="708"/>
      <c r="CU122" s="720"/>
      <c r="CV122" s="73"/>
      <c r="CW122" s="42"/>
      <c r="CX122" s="43"/>
      <c r="CY122" s="568"/>
      <c r="CZ122" s="720"/>
      <c r="DA122" s="21"/>
      <c r="DB122" s="270"/>
      <c r="DC122" s="879"/>
      <c r="DD122" s="40"/>
      <c r="DE122" s="691"/>
      <c r="DF122" s="44"/>
      <c r="DG122" s="36"/>
      <c r="DH122" s="20"/>
      <c r="DI122" s="270"/>
      <c r="DJ122" s="933"/>
      <c r="DK122" s="644"/>
      <c r="DL122" s="44"/>
      <c r="DM122" s="771"/>
      <c r="DN122" s="20"/>
      <c r="DO122" s="268"/>
      <c r="DP122" s="760"/>
      <c r="DQ122" s="40"/>
      <c r="DR122" s="44"/>
      <c r="DS122" s="36"/>
      <c r="DT122" s="20"/>
      <c r="DU122" s="708"/>
      <c r="DV122" s="781"/>
      <c r="DW122" s="40"/>
      <c r="DX122" s="44"/>
      <c r="DY122" s="44"/>
      <c r="DZ122" s="36"/>
      <c r="EA122" s="20"/>
      <c r="EB122" s="270"/>
      <c r="EC122" s="740"/>
      <c r="ED122" s="644"/>
      <c r="EE122" s="44"/>
      <c r="EF122" s="307"/>
      <c r="EG122" s="20"/>
      <c r="EH122" s="268"/>
      <c r="EI122" s="781"/>
      <c r="EJ122" s="40"/>
      <c r="EK122" s="44"/>
      <c r="EL122" s="36"/>
      <c r="EM122" s="20"/>
      <c r="EN122" s="708"/>
    </row>
    <row r="123" spans="2:144" ht="17.25" customHeight="1" thickTop="1" thickBot="1" x14ac:dyDescent="0.25">
      <c r="B123" s="960"/>
      <c r="C123" s="33">
        <f>C122+1</f>
        <v>46050</v>
      </c>
      <c r="D123" s="1"/>
      <c r="E123" s="23"/>
      <c r="F123" s="526"/>
      <c r="G123" s="804"/>
      <c r="H123" s="1"/>
      <c r="I123" s="264"/>
      <c r="J123" s="672"/>
      <c r="K123" s="63"/>
      <c r="L123" s="691"/>
      <c r="M123" s="134"/>
      <c r="N123" s="135"/>
      <c r="O123" s="23"/>
      <c r="P123" s="623"/>
      <c r="Q123" s="672"/>
      <c r="R123" s="134"/>
      <c r="S123" s="672"/>
      <c r="T123" s="134"/>
      <c r="U123" s="63"/>
      <c r="V123" s="691"/>
      <c r="W123" s="23"/>
      <c r="X123" s="708"/>
      <c r="Y123" s="830"/>
      <c r="Z123" s="169"/>
      <c r="AA123" s="691"/>
      <c r="AB123" s="134"/>
      <c r="AC123" s="60"/>
      <c r="AD123" s="21"/>
      <c r="AE123" s="708"/>
      <c r="AF123" s="658"/>
      <c r="AG123" s="658"/>
      <c r="AH123" s="658"/>
      <c r="AI123" s="830"/>
      <c r="AJ123" s="169"/>
      <c r="AK123" s="691"/>
      <c r="AL123" s="134"/>
      <c r="AM123" s="60"/>
      <c r="AN123" s="21"/>
      <c r="AO123" s="270"/>
      <c r="AP123" s="720"/>
      <c r="AQ123" s="147"/>
      <c r="AR123" s="310"/>
      <c r="AS123" s="310"/>
      <c r="AT123" s="307"/>
      <c r="AU123" s="21"/>
      <c r="AV123" s="270"/>
      <c r="AW123" s="760"/>
      <c r="AX123" s="169"/>
      <c r="AY123" s="53"/>
      <c r="AZ123" s="134"/>
      <c r="BA123" s="135"/>
      <c r="BB123" s="21"/>
      <c r="BC123" s="672"/>
      <c r="BD123" s="169"/>
      <c r="BE123" s="134"/>
      <c r="BF123" s="135"/>
      <c r="BG123" s="21"/>
      <c r="BH123" s="708"/>
      <c r="BI123" s="845"/>
      <c r="BJ123" s="169"/>
      <c r="BK123" s="134"/>
      <c r="BL123" s="135"/>
      <c r="BM123" s="21"/>
      <c r="BN123" s="708"/>
      <c r="BO123" s="845"/>
      <c r="BP123" s="169"/>
      <c r="BQ123" s="845"/>
      <c r="BR123" s="169"/>
      <c r="BS123" s="134"/>
      <c r="BT123" s="135"/>
      <c r="BU123" s="21"/>
      <c r="BV123" s="708"/>
      <c r="BW123" s="876"/>
      <c r="BX123" s="63"/>
      <c r="BY123" s="50"/>
      <c r="BZ123" s="60"/>
      <c r="CA123" s="21"/>
      <c r="CB123" s="708"/>
      <c r="CC123" s="672"/>
      <c r="CD123" s="309"/>
      <c r="CE123" s="44"/>
      <c r="CF123" s="36"/>
      <c r="CG123" s="21"/>
      <c r="CH123" s="270"/>
      <c r="CI123" s="672"/>
      <c r="CJ123" s="695"/>
      <c r="CK123" s="44"/>
      <c r="CL123" s="36"/>
      <c r="CM123" s="21"/>
      <c r="CN123" s="270"/>
      <c r="CO123" s="639"/>
      <c r="CP123" s="644"/>
      <c r="CQ123" s="44"/>
      <c r="CR123" s="36"/>
      <c r="CS123" s="21"/>
      <c r="CT123" s="708"/>
      <c r="CU123" s="720"/>
      <c r="CV123" s="73"/>
      <c r="CW123" s="42"/>
      <c r="CX123" s="43"/>
      <c r="CY123" s="568"/>
      <c r="CZ123" s="720"/>
      <c r="DA123" s="21"/>
      <c r="DB123" s="270"/>
      <c r="DC123" s="879"/>
      <c r="DD123" s="40"/>
      <c r="DE123" s="691"/>
      <c r="DF123" s="621" t="s">
        <v>61</v>
      </c>
      <c r="DG123" s="36"/>
      <c r="DH123" s="20"/>
      <c r="DI123" s="270"/>
      <c r="DJ123" s="933"/>
      <c r="DK123" s="644"/>
      <c r="DL123" s="44"/>
      <c r="DM123" s="771"/>
      <c r="DN123" s="20"/>
      <c r="DO123" s="268"/>
      <c r="DP123" s="760"/>
      <c r="DQ123" s="40"/>
      <c r="DR123" s="44"/>
      <c r="DS123" s="36"/>
      <c r="DT123" s="20"/>
      <c r="DU123" s="708"/>
      <c r="DV123" s="781"/>
      <c r="DW123" s="40"/>
      <c r="DX123" s="44"/>
      <c r="DY123" s="44"/>
      <c r="DZ123" s="36"/>
      <c r="EA123" s="20"/>
      <c r="EB123" s="270"/>
      <c r="EC123" s="740"/>
      <c r="ED123" s="644"/>
      <c r="EE123" s="116" t="s">
        <v>61</v>
      </c>
      <c r="EF123" s="307"/>
      <c r="EG123" s="20"/>
      <c r="EH123" s="268"/>
      <c r="EI123" s="781"/>
      <c r="EJ123" s="40"/>
      <c r="EK123" s="44"/>
      <c r="EL123" s="36"/>
      <c r="EM123" s="20"/>
      <c r="EN123" s="708"/>
    </row>
    <row r="124" spans="2:144" ht="17.25" customHeight="1" thickTop="1" thickBot="1" x14ac:dyDescent="0.25">
      <c r="B124" s="960"/>
      <c r="C124" s="33">
        <f>C123+1</f>
        <v>46051</v>
      </c>
      <c r="D124" s="1"/>
      <c r="G124" s="804"/>
      <c r="H124" s="1"/>
      <c r="I124" s="264"/>
      <c r="J124" s="672"/>
      <c r="K124" s="63"/>
      <c r="L124" s="691"/>
      <c r="M124" s="261" t="s">
        <v>61</v>
      </c>
      <c r="N124" s="36"/>
      <c r="O124" s="23"/>
      <c r="P124" s="623"/>
      <c r="Q124" s="672"/>
      <c r="R124" s="261" t="s">
        <v>61</v>
      </c>
      <c r="S124" s="672"/>
      <c r="T124" s="42"/>
      <c r="U124" s="63"/>
      <c r="V124" s="691"/>
      <c r="W124" s="23"/>
      <c r="X124" s="708"/>
      <c r="Y124" s="830"/>
      <c r="Z124" s="309"/>
      <c r="AA124" s="691"/>
      <c r="AB124" s="612" t="s">
        <v>61</v>
      </c>
      <c r="AC124" s="60"/>
      <c r="AD124" s="21"/>
      <c r="AE124" s="708"/>
      <c r="AF124" s="658"/>
      <c r="AG124" s="658"/>
      <c r="AH124" s="658"/>
      <c r="AI124" s="830"/>
      <c r="AJ124" s="40"/>
      <c r="AK124" s="691"/>
      <c r="AL124" s="612" t="s">
        <v>61</v>
      </c>
      <c r="AM124" s="60"/>
      <c r="AN124" s="21"/>
      <c r="AO124" s="270"/>
      <c r="AP124" s="720"/>
      <c r="AQ124" s="147"/>
      <c r="AR124" s="310"/>
      <c r="AS124" s="310"/>
      <c r="AT124" s="307"/>
      <c r="AU124" s="21"/>
      <c r="AV124" s="270"/>
      <c r="AW124" s="760"/>
      <c r="AX124" s="40"/>
      <c r="AY124" s="53"/>
      <c r="AZ124" s="44"/>
      <c r="BA124" s="36"/>
      <c r="BB124" s="21"/>
      <c r="BC124" s="672"/>
      <c r="BD124" s="309"/>
      <c r="BE124" s="86" t="s">
        <v>61</v>
      </c>
      <c r="BF124" s="307"/>
      <c r="BG124" s="21"/>
      <c r="BH124" s="708"/>
      <c r="BI124" s="845"/>
      <c r="BJ124" s="40"/>
      <c r="BK124" s="44"/>
      <c r="BL124" s="36"/>
      <c r="BM124" s="21"/>
      <c r="BN124" s="708"/>
      <c r="BO124" s="845"/>
      <c r="BP124" s="309"/>
      <c r="BQ124" s="845"/>
      <c r="BR124" s="309"/>
      <c r="BS124" s="310"/>
      <c r="BT124" s="307"/>
      <c r="BU124" s="21"/>
      <c r="BV124" s="708"/>
      <c r="BW124" s="876"/>
      <c r="BX124" s="63"/>
      <c r="BY124" s="50"/>
      <c r="BZ124" s="60"/>
      <c r="CA124" s="21"/>
      <c r="CB124" s="708"/>
      <c r="CC124" s="672"/>
      <c r="CD124" s="309"/>
      <c r="CE124" s="44"/>
      <c r="CF124" s="36"/>
      <c r="CG124" s="21"/>
      <c r="CH124" s="270"/>
      <c r="CI124" s="672"/>
      <c r="CJ124" s="695"/>
      <c r="CK124" s="310"/>
      <c r="CL124" s="36"/>
      <c r="CM124" s="21"/>
      <c r="CN124" s="270"/>
      <c r="CO124" s="639"/>
      <c r="CP124" s="644"/>
      <c r="CQ124" s="44"/>
      <c r="CR124" s="36"/>
      <c r="CS124" s="21"/>
      <c r="CT124" s="708"/>
      <c r="CU124" s="720"/>
      <c r="CV124" s="73"/>
      <c r="CW124" s="42"/>
      <c r="CX124" s="43"/>
      <c r="CY124" s="568"/>
      <c r="CZ124" s="720"/>
      <c r="DA124" s="21"/>
      <c r="DB124" s="270"/>
      <c r="DC124" s="879"/>
      <c r="DD124" s="40"/>
      <c r="DE124" s="691"/>
      <c r="DF124" s="310"/>
      <c r="DG124" s="36"/>
      <c r="DH124" s="20"/>
      <c r="DI124" s="270"/>
      <c r="DJ124" s="933"/>
      <c r="DK124" s="644"/>
      <c r="DL124" s="66" t="s">
        <v>80</v>
      </c>
      <c r="DM124" s="771"/>
      <c r="DN124" s="20"/>
      <c r="DO124" s="268"/>
      <c r="DP124" s="760"/>
      <c r="DQ124" s="40"/>
      <c r="DR124" s="44"/>
      <c r="DS124" s="36"/>
      <c r="DT124" s="20"/>
      <c r="DU124" s="708"/>
      <c r="DV124" s="781"/>
      <c r="DW124" s="40"/>
      <c r="DX124" s="44"/>
      <c r="DY124" s="44"/>
      <c r="DZ124" s="36"/>
      <c r="EA124" s="20"/>
      <c r="EB124" s="270"/>
      <c r="EC124" s="740"/>
      <c r="ED124" s="644"/>
      <c r="EE124" s="44"/>
      <c r="EF124" s="307"/>
      <c r="EG124" s="20"/>
      <c r="EH124" s="268"/>
      <c r="EI124" s="781"/>
      <c r="EJ124" s="40"/>
      <c r="EK124" s="44"/>
      <c r="EL124" s="36"/>
      <c r="EM124" s="20"/>
      <c r="EN124" s="708"/>
    </row>
    <row r="125" spans="2:144" ht="17.25" customHeight="1" thickTop="1" thickBot="1" x14ac:dyDescent="0.25">
      <c r="B125" s="961"/>
      <c r="C125" s="34">
        <f>C124+1</f>
        <v>46052</v>
      </c>
      <c r="D125" s="1"/>
      <c r="E125" s="23"/>
      <c r="F125" s="526"/>
      <c r="G125" s="804"/>
      <c r="H125" s="1"/>
      <c r="I125" s="264"/>
      <c r="J125" s="673"/>
      <c r="K125" s="67"/>
      <c r="L125" s="692"/>
      <c r="M125" s="262" t="s">
        <v>48</v>
      </c>
      <c r="N125" s="48"/>
      <c r="O125" s="23"/>
      <c r="P125" s="623"/>
      <c r="Q125" s="673"/>
      <c r="R125" s="262" t="s">
        <v>48</v>
      </c>
      <c r="S125" s="673"/>
      <c r="T125" s="312"/>
      <c r="U125" s="67"/>
      <c r="V125" s="692"/>
      <c r="W125" s="23"/>
      <c r="X125" s="709"/>
      <c r="Y125" s="830"/>
      <c r="Z125" s="67"/>
      <c r="AA125" s="692"/>
      <c r="AB125" s="312"/>
      <c r="AC125" s="48"/>
      <c r="AD125" s="21"/>
      <c r="AE125" s="709"/>
      <c r="AF125" s="658"/>
      <c r="AG125" s="658"/>
      <c r="AH125" s="658"/>
      <c r="AI125" s="830"/>
      <c r="AJ125" s="67"/>
      <c r="AK125" s="692"/>
      <c r="AL125" s="47"/>
      <c r="AM125" s="48"/>
      <c r="AN125" s="21"/>
      <c r="AO125" s="270"/>
      <c r="AP125" s="720"/>
      <c r="AQ125" s="311"/>
      <c r="AR125" s="313"/>
      <c r="AS125" s="313"/>
      <c r="AT125" s="315"/>
      <c r="AU125" s="21"/>
      <c r="AV125" s="270"/>
      <c r="AW125" s="760"/>
      <c r="AX125" s="67"/>
      <c r="AY125" s="70"/>
      <c r="AZ125" s="47"/>
      <c r="BA125" s="48"/>
      <c r="BB125" s="21"/>
      <c r="BC125" s="673"/>
      <c r="BD125" s="67"/>
      <c r="BE125" s="630" t="s">
        <v>48</v>
      </c>
      <c r="BF125" s="48"/>
      <c r="BG125" s="21"/>
      <c r="BH125" s="709"/>
      <c r="BI125" s="846"/>
      <c r="BJ125" s="67"/>
      <c r="BK125" s="47"/>
      <c r="BL125" s="48"/>
      <c r="BM125" s="21"/>
      <c r="BN125" s="709"/>
      <c r="BO125" s="846"/>
      <c r="BP125" s="67"/>
      <c r="BQ125" s="846"/>
      <c r="BR125" s="67"/>
      <c r="BS125" s="312"/>
      <c r="BT125" s="48"/>
      <c r="BU125" s="21"/>
      <c r="BV125" s="709"/>
      <c r="BW125" s="877"/>
      <c r="BX125" s="67"/>
      <c r="BY125" s="88" t="s">
        <v>48</v>
      </c>
      <c r="BZ125" s="48"/>
      <c r="CA125" s="21"/>
      <c r="CB125" s="709"/>
      <c r="CC125" s="735"/>
      <c r="CD125" s="311"/>
      <c r="CE125" s="88" t="s">
        <v>48</v>
      </c>
      <c r="CF125" s="64"/>
      <c r="CG125" s="21"/>
      <c r="CH125" s="270"/>
      <c r="CI125" s="672"/>
      <c r="CJ125" s="696"/>
      <c r="CK125" s="59"/>
      <c r="CL125" s="64"/>
      <c r="CM125" s="21"/>
      <c r="CN125" s="270"/>
      <c r="CO125" s="639"/>
      <c r="CP125" s="645"/>
      <c r="CQ125" s="59"/>
      <c r="CR125" s="64"/>
      <c r="CS125" s="21"/>
      <c r="CT125" s="709"/>
      <c r="CU125" s="721"/>
      <c r="CV125" s="198"/>
      <c r="CW125" s="199"/>
      <c r="CX125" s="200"/>
      <c r="CY125" s="568"/>
      <c r="CZ125" s="721"/>
      <c r="DA125" s="21"/>
      <c r="DB125" s="270"/>
      <c r="DC125" s="879"/>
      <c r="DD125" s="45"/>
      <c r="DE125" s="692"/>
      <c r="DF125" s="59"/>
      <c r="DG125" s="64"/>
      <c r="DH125" s="20"/>
      <c r="DI125" s="270"/>
      <c r="DJ125" s="933"/>
      <c r="DK125" s="645"/>
      <c r="DL125" s="59"/>
      <c r="DM125" s="772"/>
      <c r="DN125" s="20"/>
      <c r="DO125" s="268"/>
      <c r="DP125" s="760"/>
      <c r="DQ125" s="45"/>
      <c r="DR125" s="59"/>
      <c r="DS125" s="64"/>
      <c r="DT125" s="20"/>
      <c r="DU125" s="709"/>
      <c r="DV125" s="781"/>
      <c r="DW125" s="45"/>
      <c r="DX125" s="59"/>
      <c r="DY125" s="59"/>
      <c r="DZ125" s="64"/>
      <c r="EA125" s="20"/>
      <c r="EB125" s="270"/>
      <c r="EC125" s="740"/>
      <c r="ED125" s="645"/>
      <c r="EE125" s="183" t="s">
        <v>48</v>
      </c>
      <c r="EF125" s="315"/>
      <c r="EG125" s="20"/>
      <c r="EH125" s="268"/>
      <c r="EI125" s="781"/>
      <c r="EJ125" s="45"/>
      <c r="EK125" s="59"/>
      <c r="EL125" s="64"/>
      <c r="EM125" s="20"/>
      <c r="EN125" s="709"/>
    </row>
    <row r="126" spans="2:144" ht="16.5" customHeight="1" thickTop="1" thickBot="1" x14ac:dyDescent="0.25">
      <c r="B126" s="959">
        <f>B121+1</f>
        <v>6</v>
      </c>
      <c r="C126" s="89">
        <f>C121+7</f>
        <v>46055</v>
      </c>
      <c r="D126" s="4"/>
      <c r="E126" s="24"/>
      <c r="F126" s="525"/>
      <c r="G126" s="804"/>
      <c r="H126" s="4"/>
      <c r="I126" s="707" t="s">
        <v>44</v>
      </c>
      <c r="J126" s="734" t="s">
        <v>140</v>
      </c>
      <c r="K126" s="314"/>
      <c r="L126" s="694" t="s">
        <v>141</v>
      </c>
      <c r="M126" s="260"/>
      <c r="N126" s="62"/>
      <c r="O126" s="24"/>
      <c r="P126" s="707" t="s">
        <v>44</v>
      </c>
      <c r="Q126" s="734" t="s">
        <v>255</v>
      </c>
      <c r="R126" s="260"/>
      <c r="S126" s="734" t="s">
        <v>140</v>
      </c>
      <c r="T126" s="260"/>
      <c r="U126" s="314"/>
      <c r="V126" s="694" t="s">
        <v>141</v>
      </c>
      <c r="W126" s="24"/>
      <c r="X126" s="707" t="s">
        <v>99</v>
      </c>
      <c r="Y126" s="830"/>
      <c r="Z126" s="71"/>
      <c r="AA126" s="690" t="s">
        <v>135</v>
      </c>
      <c r="AB126" s="72"/>
      <c r="AC126" s="725" t="s">
        <v>407</v>
      </c>
      <c r="AD126" s="21"/>
      <c r="AE126" s="707" t="s">
        <v>99</v>
      </c>
      <c r="AF126" s="658"/>
      <c r="AG126" s="658"/>
      <c r="AH126" s="658"/>
      <c r="AI126" s="830"/>
      <c r="AJ126" s="71"/>
      <c r="AK126" s="690" t="s">
        <v>135</v>
      </c>
      <c r="AL126" s="72"/>
      <c r="AM126" s="725" t="s">
        <v>407</v>
      </c>
      <c r="AN126" s="21"/>
      <c r="AO126" s="713" t="s">
        <v>322</v>
      </c>
      <c r="AP126" s="720"/>
      <c r="AQ126" s="314"/>
      <c r="AR126" s="308"/>
      <c r="AS126" s="308"/>
      <c r="AT126" s="306"/>
      <c r="AU126" s="21"/>
      <c r="AV126" s="713" t="s">
        <v>322</v>
      </c>
      <c r="AW126" s="760"/>
      <c r="AX126" s="71"/>
      <c r="AY126" s="74"/>
      <c r="AZ126" s="72"/>
      <c r="BA126" s="62"/>
      <c r="BB126" s="21"/>
      <c r="BC126" s="647" t="s">
        <v>68</v>
      </c>
      <c r="BD126" s="145"/>
      <c r="BE126" s="103"/>
      <c r="BF126" s="104"/>
      <c r="BG126" s="21"/>
      <c r="BH126" s="270"/>
      <c r="BI126" s="907" t="s">
        <v>146</v>
      </c>
      <c r="BJ126" s="71"/>
      <c r="BK126" s="72"/>
      <c r="BL126" s="62"/>
      <c r="BM126" s="21"/>
      <c r="BN126" s="270"/>
      <c r="BO126" s="907" t="s">
        <v>146</v>
      </c>
      <c r="BP126" s="632"/>
      <c r="BQ126" s="1070" t="s">
        <v>146</v>
      </c>
      <c r="BR126" s="71"/>
      <c r="BS126" s="72"/>
      <c r="BT126" s="62"/>
      <c r="BU126" s="21"/>
      <c r="BV126" s="707" t="s">
        <v>69</v>
      </c>
      <c r="BW126" s="759" t="s">
        <v>137</v>
      </c>
      <c r="BX126" s="132"/>
      <c r="BY126" s="56"/>
      <c r="BZ126" s="57"/>
      <c r="CA126" s="21"/>
      <c r="CB126" s="707" t="s">
        <v>69</v>
      </c>
      <c r="CC126" s="815" t="s">
        <v>26</v>
      </c>
      <c r="CD126" s="314"/>
      <c r="CE126" s="39"/>
      <c r="CF126" s="35"/>
      <c r="CG126" s="21"/>
      <c r="CH126" s="270"/>
      <c r="CI126" s="672"/>
      <c r="CJ126" s="694" t="s">
        <v>101</v>
      </c>
      <c r="CK126" s="39"/>
      <c r="CL126" s="35"/>
      <c r="CM126" s="21"/>
      <c r="CN126" s="270"/>
      <c r="CO126" s="639"/>
      <c r="CP126" s="643" t="s">
        <v>138</v>
      </c>
      <c r="CQ126" s="39"/>
      <c r="CR126" s="35"/>
      <c r="CS126" s="21"/>
      <c r="CT126" s="710" t="s">
        <v>123</v>
      </c>
      <c r="CU126" s="1089" t="s">
        <v>384</v>
      </c>
      <c r="CV126" s="736" t="s">
        <v>277</v>
      </c>
      <c r="CW126" s="58"/>
      <c r="CX126" s="201"/>
      <c r="CY126" s="568"/>
      <c r="CZ126" s="1108" t="s">
        <v>124</v>
      </c>
      <c r="DA126" s="21"/>
      <c r="DB126" s="270"/>
      <c r="DC126" s="879"/>
      <c r="DD126" s="61"/>
      <c r="DE126" s="690" t="s">
        <v>101</v>
      </c>
      <c r="DF126" s="39"/>
      <c r="DG126" s="35"/>
      <c r="DH126" s="20"/>
      <c r="DI126" s="270"/>
      <c r="DJ126" s="933"/>
      <c r="DK126" s="643" t="s">
        <v>138</v>
      </c>
      <c r="DL126" s="39"/>
      <c r="DM126" s="35"/>
      <c r="DN126" s="20"/>
      <c r="DO126" s="268"/>
      <c r="DP126" s="760"/>
      <c r="DQ126" s="61"/>
      <c r="DR126" s="39"/>
      <c r="DS126" s="35"/>
      <c r="DT126" s="20"/>
      <c r="DU126" s="273"/>
      <c r="DV126" s="781"/>
      <c r="DW126" s="61"/>
      <c r="DX126" s="39"/>
      <c r="DY126" s="39"/>
      <c r="DZ126" s="35"/>
      <c r="EA126" s="20"/>
      <c r="EB126" s="707" t="s">
        <v>446</v>
      </c>
      <c r="EC126" s="740" t="s">
        <v>343</v>
      </c>
      <c r="ED126" s="763" t="s">
        <v>138</v>
      </c>
      <c r="EE126" s="39"/>
      <c r="EF126" s="35"/>
      <c r="EG126" s="20"/>
      <c r="EH126" s="268"/>
      <c r="EI126" s="781"/>
      <c r="EJ126" s="61"/>
      <c r="EK126" s="39"/>
      <c r="EL126" s="35"/>
      <c r="EM126" s="20"/>
      <c r="EN126" s="270"/>
    </row>
    <row r="127" spans="2:144" ht="17.25" customHeight="1" thickTop="1" thickBot="1" x14ac:dyDescent="0.25">
      <c r="B127" s="960"/>
      <c r="C127" s="33">
        <f>C126+1</f>
        <v>46056</v>
      </c>
      <c r="D127" s="1"/>
      <c r="E127" s="23"/>
      <c r="F127" s="526"/>
      <c r="G127" s="804"/>
      <c r="H127" s="1"/>
      <c r="I127" s="708"/>
      <c r="J127" s="672"/>
      <c r="K127" s="73"/>
      <c r="L127" s="695"/>
      <c r="M127" s="42"/>
      <c r="N127" s="43"/>
      <c r="O127" s="23"/>
      <c r="P127" s="708"/>
      <c r="Q127" s="672"/>
      <c r="R127" s="42"/>
      <c r="S127" s="672"/>
      <c r="T127" s="42"/>
      <c r="U127" s="73"/>
      <c r="V127" s="695"/>
      <c r="W127" s="23"/>
      <c r="X127" s="708"/>
      <c r="Y127" s="830"/>
      <c r="Z127" s="73"/>
      <c r="AA127" s="691"/>
      <c r="AB127" s="42"/>
      <c r="AC127" s="726"/>
      <c r="AD127" s="21"/>
      <c r="AE127" s="708"/>
      <c r="AF127" s="658"/>
      <c r="AG127" s="658"/>
      <c r="AH127" s="658"/>
      <c r="AI127" s="830"/>
      <c r="AJ127" s="73"/>
      <c r="AK127" s="691"/>
      <c r="AL127" s="42"/>
      <c r="AM127" s="726"/>
      <c r="AN127" s="21"/>
      <c r="AO127" s="714"/>
      <c r="AP127" s="720"/>
      <c r="AQ127" s="147"/>
      <c r="AR127" s="310"/>
      <c r="AS127" s="310"/>
      <c r="AT127" s="307"/>
      <c r="AU127" s="21"/>
      <c r="AV127" s="714"/>
      <c r="AW127" s="760"/>
      <c r="AX127" s="73"/>
      <c r="AY127" s="52"/>
      <c r="AZ127" s="42"/>
      <c r="BA127" s="43"/>
      <c r="BB127" s="21"/>
      <c r="BC127" s="647"/>
      <c r="BD127" s="125"/>
      <c r="BE127" s="126"/>
      <c r="BF127" s="127"/>
      <c r="BG127" s="21"/>
      <c r="BH127" s="270"/>
      <c r="BI127" s="908"/>
      <c r="BJ127" s="73"/>
      <c r="BK127" s="42"/>
      <c r="BL127" s="43"/>
      <c r="BM127" s="21"/>
      <c r="BN127" s="270"/>
      <c r="BO127" s="908"/>
      <c r="BP127" s="147"/>
      <c r="BQ127" s="1071"/>
      <c r="BR127" s="73"/>
      <c r="BS127" s="42"/>
      <c r="BT127" s="43"/>
      <c r="BU127" s="21"/>
      <c r="BV127" s="708"/>
      <c r="BW127" s="760"/>
      <c r="BX127" s="73"/>
      <c r="BY127" s="42"/>
      <c r="BZ127" s="43"/>
      <c r="CA127" s="21"/>
      <c r="CB127" s="708"/>
      <c r="CC127" s="816"/>
      <c r="CD127" s="309"/>
      <c r="CE127" s="44"/>
      <c r="CF127" s="36"/>
      <c r="CG127" s="21"/>
      <c r="CH127" s="270"/>
      <c r="CI127" s="672"/>
      <c r="CJ127" s="695"/>
      <c r="CK127" s="44"/>
      <c r="CL127" s="36"/>
      <c r="CM127" s="21"/>
      <c r="CN127" s="270"/>
      <c r="CO127" s="639"/>
      <c r="CP127" s="644"/>
      <c r="CQ127" s="44"/>
      <c r="CR127" s="36"/>
      <c r="CS127" s="21"/>
      <c r="CT127" s="711"/>
      <c r="CU127" s="862"/>
      <c r="CV127" s="737"/>
      <c r="CW127" s="42"/>
      <c r="CX127" s="43"/>
      <c r="CY127" s="568"/>
      <c r="CZ127" s="754"/>
      <c r="DA127" s="21"/>
      <c r="DB127" s="270"/>
      <c r="DC127" s="879"/>
      <c r="DD127" s="40"/>
      <c r="DE127" s="691"/>
      <c r="DF127" s="44"/>
      <c r="DG127" s="36"/>
      <c r="DH127" s="20"/>
      <c r="DI127" s="270"/>
      <c r="DJ127" s="933"/>
      <c r="DK127" s="644"/>
      <c r="DL127" s="44"/>
      <c r="DM127" s="36"/>
      <c r="DN127" s="20"/>
      <c r="DO127" s="268"/>
      <c r="DP127" s="760"/>
      <c r="DQ127" s="40"/>
      <c r="DR127" s="44"/>
      <c r="DS127" s="36"/>
      <c r="DT127" s="20"/>
      <c r="DU127" s="274"/>
      <c r="DV127" s="781"/>
      <c r="DW127" s="40"/>
      <c r="DX127" s="44"/>
      <c r="DY127" s="44"/>
      <c r="DZ127" s="36"/>
      <c r="EA127" s="20"/>
      <c r="EB127" s="708"/>
      <c r="EC127" s="740"/>
      <c r="ED127" s="764"/>
      <c r="EE127" s="44"/>
      <c r="EF127" s="36"/>
      <c r="EG127" s="20"/>
      <c r="EH127" s="268"/>
      <c r="EI127" s="781"/>
      <c r="EJ127" s="40"/>
      <c r="EK127" s="44"/>
      <c r="EL127" s="36"/>
      <c r="EM127" s="20"/>
      <c r="EN127" s="270"/>
    </row>
    <row r="128" spans="2:144" ht="17.25" customHeight="1" thickTop="1" thickBot="1" x14ac:dyDescent="0.25">
      <c r="B128" s="960"/>
      <c r="C128" s="33">
        <f>C127+1</f>
        <v>46057</v>
      </c>
      <c r="D128" s="1"/>
      <c r="E128" s="23"/>
      <c r="F128" s="526"/>
      <c r="G128" s="804"/>
      <c r="H128" s="1"/>
      <c r="I128" s="708"/>
      <c r="J128" s="672"/>
      <c r="K128" s="63"/>
      <c r="L128" s="695"/>
      <c r="M128" s="50"/>
      <c r="N128" s="60"/>
      <c r="O128" s="23"/>
      <c r="P128" s="708"/>
      <c r="Q128" s="672"/>
      <c r="R128" s="50"/>
      <c r="S128" s="672"/>
      <c r="T128" s="50"/>
      <c r="U128" s="63"/>
      <c r="V128" s="695"/>
      <c r="W128" s="23"/>
      <c r="X128" s="708"/>
      <c r="Y128" s="830"/>
      <c r="Z128" s="63"/>
      <c r="AA128" s="691"/>
      <c r="AB128" s="50"/>
      <c r="AC128" s="726"/>
      <c r="AD128" s="21"/>
      <c r="AE128" s="708"/>
      <c r="AF128" s="658"/>
      <c r="AG128" s="658"/>
      <c r="AH128" s="658"/>
      <c r="AI128" s="830"/>
      <c r="AJ128" s="63"/>
      <c r="AK128" s="691"/>
      <c r="AL128" s="50"/>
      <c r="AM128" s="726"/>
      <c r="AN128" s="21"/>
      <c r="AO128" s="714"/>
      <c r="AP128" s="720"/>
      <c r="AQ128" s="147"/>
      <c r="AR128" s="310"/>
      <c r="AS128" s="310"/>
      <c r="AT128" s="307"/>
      <c r="AU128" s="21"/>
      <c r="AV128" s="714"/>
      <c r="AW128" s="760"/>
      <c r="AX128" s="63"/>
      <c r="AY128" s="54"/>
      <c r="AZ128" s="50"/>
      <c r="BA128" s="60"/>
      <c r="BB128" s="21"/>
      <c r="BC128" s="647"/>
      <c r="BD128" s="125"/>
      <c r="BE128" s="126"/>
      <c r="BF128" s="127"/>
      <c r="BG128" s="21"/>
      <c r="BH128" s="270"/>
      <c r="BI128" s="908"/>
      <c r="BJ128" s="63"/>
      <c r="BK128" s="50"/>
      <c r="BL128" s="60"/>
      <c r="BM128" s="21"/>
      <c r="BN128" s="270"/>
      <c r="BO128" s="908"/>
      <c r="BP128" s="147"/>
      <c r="BQ128" s="1071"/>
      <c r="BR128" s="63"/>
      <c r="BS128" s="50"/>
      <c r="BT128" s="135"/>
      <c r="BU128" s="21"/>
      <c r="BV128" s="708"/>
      <c r="BW128" s="760"/>
      <c r="BX128" s="63"/>
      <c r="BY128" s="50"/>
      <c r="BZ128" s="60"/>
      <c r="CA128" s="21"/>
      <c r="CB128" s="708"/>
      <c r="CC128" s="816"/>
      <c r="CD128" s="309"/>
      <c r="CE128" s="44"/>
      <c r="CF128" s="36"/>
      <c r="CG128" s="21"/>
      <c r="CH128" s="270"/>
      <c r="CI128" s="672"/>
      <c r="CJ128" s="695"/>
      <c r="CK128" s="44"/>
      <c r="CL128" s="36"/>
      <c r="CM128" s="21"/>
      <c r="CN128" s="270"/>
      <c r="CO128" s="639"/>
      <c r="CP128" s="644"/>
      <c r="CQ128" s="44"/>
      <c r="CR128" s="36"/>
      <c r="CS128" s="21"/>
      <c r="CT128" s="711"/>
      <c r="CU128" s="862"/>
      <c r="CV128" s="737"/>
      <c r="CW128" s="42"/>
      <c r="CX128" s="43"/>
      <c r="CY128" s="568"/>
      <c r="CZ128" s="754"/>
      <c r="DA128" s="21"/>
      <c r="DB128" s="270"/>
      <c r="DC128" s="879"/>
      <c r="DD128" s="40"/>
      <c r="DE128" s="691"/>
      <c r="DF128" s="44"/>
      <c r="DG128" s="36"/>
      <c r="DH128" s="20"/>
      <c r="DI128" s="270"/>
      <c r="DJ128" s="933"/>
      <c r="DK128" s="644"/>
      <c r="DL128" s="44"/>
      <c r="DM128" s="36"/>
      <c r="DN128" s="20"/>
      <c r="DO128" s="268"/>
      <c r="DP128" s="760"/>
      <c r="DQ128" s="40"/>
      <c r="DR128" s="44"/>
      <c r="DS128" s="36"/>
      <c r="DT128" s="20"/>
      <c r="DU128" s="274"/>
      <c r="DV128" s="781"/>
      <c r="DW128" s="40"/>
      <c r="DX128" s="44"/>
      <c r="DY128" s="44"/>
      <c r="DZ128" s="36"/>
      <c r="EA128" s="20"/>
      <c r="EB128" s="708"/>
      <c r="EC128" s="740"/>
      <c r="ED128" s="764"/>
      <c r="EE128" s="310"/>
      <c r="EF128" s="36"/>
      <c r="EG128" s="20"/>
      <c r="EH128" s="270"/>
      <c r="EI128" s="781"/>
      <c r="EJ128" s="40"/>
      <c r="EK128" s="44"/>
      <c r="EL128" s="36"/>
      <c r="EM128" s="20"/>
      <c r="EN128" s="270"/>
    </row>
    <row r="129" spans="1:144" ht="17.25" thickTop="1" thickBot="1" x14ac:dyDescent="0.25">
      <c r="B129" s="960"/>
      <c r="C129" s="33">
        <f>C128+1</f>
        <v>46058</v>
      </c>
      <c r="D129" s="1"/>
      <c r="E129" s="22" t="s">
        <v>403</v>
      </c>
      <c r="F129" s="526"/>
      <c r="G129" s="804"/>
      <c r="H129" s="1"/>
      <c r="I129" s="708"/>
      <c r="J129" s="672"/>
      <c r="K129" s="63"/>
      <c r="L129" s="695"/>
      <c r="M129" s="612" t="s">
        <v>61</v>
      </c>
      <c r="N129" s="60"/>
      <c r="O129" s="23"/>
      <c r="P129" s="708"/>
      <c r="Q129" s="672"/>
      <c r="R129" s="612" t="s">
        <v>61</v>
      </c>
      <c r="S129" s="672"/>
      <c r="T129" s="612" t="s">
        <v>61</v>
      </c>
      <c r="U129" s="63"/>
      <c r="V129" s="695"/>
      <c r="W129" s="23"/>
      <c r="X129" s="708"/>
      <c r="Y129" s="830"/>
      <c r="Z129" s="63"/>
      <c r="AA129" s="691"/>
      <c r="AB129" s="116" t="s">
        <v>61</v>
      </c>
      <c r="AC129" s="726"/>
      <c r="AD129" s="21"/>
      <c r="AE129" s="708"/>
      <c r="AF129" s="658"/>
      <c r="AG129" s="658"/>
      <c r="AH129" s="658"/>
      <c r="AI129" s="830"/>
      <c r="AJ129" s="63"/>
      <c r="AK129" s="691"/>
      <c r="AL129" s="116" t="s">
        <v>61</v>
      </c>
      <c r="AM129" s="726"/>
      <c r="AN129" s="21"/>
      <c r="AO129" s="714"/>
      <c r="AP129" s="720"/>
      <c r="AQ129" s="147"/>
      <c r="AR129" s="310"/>
      <c r="AS129" s="310"/>
      <c r="AT129" s="307"/>
      <c r="AU129" s="21"/>
      <c r="AV129" s="714"/>
      <c r="AW129" s="760"/>
      <c r="AX129" s="63"/>
      <c r="AY129" s="54"/>
      <c r="AZ129" s="50"/>
      <c r="BA129" s="60"/>
      <c r="BB129" s="21"/>
      <c r="BC129" s="647"/>
      <c r="BD129" s="125"/>
      <c r="BE129" s="126"/>
      <c r="BF129" s="127"/>
      <c r="BG129" s="21"/>
      <c r="BH129" s="270"/>
      <c r="BI129" s="908"/>
      <c r="BJ129" s="63"/>
      <c r="BK129" s="42"/>
      <c r="BL129" s="43"/>
      <c r="BM129" s="21"/>
      <c r="BN129" s="270"/>
      <c r="BO129" s="908"/>
      <c r="BP129" s="147"/>
      <c r="BQ129" s="1071"/>
      <c r="BR129" s="73"/>
      <c r="BS129" s="42"/>
      <c r="BT129" s="307"/>
      <c r="BU129" s="21"/>
      <c r="BV129" s="708"/>
      <c r="BW129" s="760"/>
      <c r="BX129" s="63"/>
      <c r="BY129" s="50"/>
      <c r="BZ129" s="60"/>
      <c r="CA129" s="21"/>
      <c r="CB129" s="708"/>
      <c r="CC129" s="816"/>
      <c r="CD129" s="309"/>
      <c r="CE129" s="44"/>
      <c r="CF129" s="36"/>
      <c r="CG129" s="21"/>
      <c r="CH129" s="270"/>
      <c r="CI129" s="672"/>
      <c r="CJ129" s="695"/>
      <c r="CK129" s="66" t="s">
        <v>80</v>
      </c>
      <c r="CL129" s="36"/>
      <c r="CM129" s="21"/>
      <c r="CN129" s="270"/>
      <c r="CO129" s="639"/>
      <c r="CP129" s="644"/>
      <c r="CQ129" s="310"/>
      <c r="CR129" s="36"/>
      <c r="CS129" s="21"/>
      <c r="CT129" s="711"/>
      <c r="CU129" s="862"/>
      <c r="CV129" s="737"/>
      <c r="CW129" s="42"/>
      <c r="CX129" s="43"/>
      <c r="CY129" s="568"/>
      <c r="CZ129" s="754"/>
      <c r="DA129" s="21"/>
      <c r="DB129" s="270"/>
      <c r="DC129" s="879"/>
      <c r="DD129" s="40"/>
      <c r="DE129" s="691"/>
      <c r="DF129" s="66" t="s">
        <v>80</v>
      </c>
      <c r="DG129" s="36"/>
      <c r="DH129" s="20"/>
      <c r="DI129" s="270"/>
      <c r="DJ129" s="933"/>
      <c r="DK129" s="644"/>
      <c r="DL129" s="44"/>
      <c r="DM129" s="36"/>
      <c r="DN129" s="20"/>
      <c r="DO129" s="268"/>
      <c r="DP129" s="760"/>
      <c r="DQ129" s="40"/>
      <c r="DR129" s="44"/>
      <c r="DS129" s="36"/>
      <c r="DT129" s="20"/>
      <c r="DU129" s="274"/>
      <c r="DV129" s="781"/>
      <c r="DW129" s="40"/>
      <c r="DX129" s="44"/>
      <c r="DY129" s="44"/>
      <c r="DZ129" s="36"/>
      <c r="EA129" s="20"/>
      <c r="EB129" s="708"/>
      <c r="EC129" s="740"/>
      <c r="ED129" s="764"/>
      <c r="EE129" s="66" t="s">
        <v>80</v>
      </c>
      <c r="EF129" s="36"/>
      <c r="EG129" s="20"/>
      <c r="EH129" s="270"/>
      <c r="EI129" s="781"/>
      <c r="EJ129" s="40"/>
      <c r="EK129" s="44"/>
      <c r="EL129" s="36"/>
      <c r="EM129" s="20"/>
      <c r="EN129" s="270"/>
    </row>
    <row r="130" spans="1:144" ht="17.25" customHeight="1" thickTop="1" thickBot="1" x14ac:dyDescent="0.25">
      <c r="B130" s="961"/>
      <c r="C130" s="34">
        <f>C129+1</f>
        <v>46059</v>
      </c>
      <c r="D130" s="1"/>
      <c r="E130" s="23"/>
      <c r="F130" s="526"/>
      <c r="G130" s="804"/>
      <c r="H130" s="1"/>
      <c r="I130" s="709"/>
      <c r="J130" s="672"/>
      <c r="K130" s="67"/>
      <c r="L130" s="696"/>
      <c r="M130" s="312"/>
      <c r="N130" s="48"/>
      <c r="O130" s="23"/>
      <c r="P130" s="709"/>
      <c r="Q130" s="672"/>
      <c r="R130" s="312"/>
      <c r="S130" s="672"/>
      <c r="T130" s="312"/>
      <c r="U130" s="67"/>
      <c r="V130" s="696"/>
      <c r="W130" s="23"/>
      <c r="X130" s="709"/>
      <c r="Y130" s="830"/>
      <c r="Z130" s="67"/>
      <c r="AA130" s="692"/>
      <c r="AB130" s="312"/>
      <c r="AC130" s="727"/>
      <c r="AD130" s="21"/>
      <c r="AE130" s="709"/>
      <c r="AF130" s="658"/>
      <c r="AG130" s="658"/>
      <c r="AH130" s="658"/>
      <c r="AI130" s="830"/>
      <c r="AJ130" s="67"/>
      <c r="AK130" s="692"/>
      <c r="AL130" s="47"/>
      <c r="AM130" s="727"/>
      <c r="AN130" s="21"/>
      <c r="AO130" s="714"/>
      <c r="AP130" s="720"/>
      <c r="AQ130" s="311"/>
      <c r="AR130" s="313"/>
      <c r="AS130" s="313"/>
      <c r="AT130" s="315"/>
      <c r="AU130" s="21"/>
      <c r="AV130" s="714"/>
      <c r="AW130" s="760"/>
      <c r="AX130" s="67"/>
      <c r="AY130" s="55"/>
      <c r="AZ130" s="47"/>
      <c r="BA130" s="48"/>
      <c r="BB130" s="21"/>
      <c r="BC130" s="648"/>
      <c r="BD130" s="144"/>
      <c r="BE130" s="109"/>
      <c r="BF130" s="110"/>
      <c r="BG130" s="21"/>
      <c r="BH130" s="270"/>
      <c r="BI130" s="909"/>
      <c r="BJ130" s="67"/>
      <c r="BK130" s="202" t="s">
        <v>125</v>
      </c>
      <c r="BL130" s="48"/>
      <c r="BM130" s="21"/>
      <c r="BN130" s="275"/>
      <c r="BO130" s="909"/>
      <c r="BP130" s="202" t="s">
        <v>125</v>
      </c>
      <c r="BQ130" s="1072"/>
      <c r="BR130" s="1132" t="s">
        <v>125</v>
      </c>
      <c r="BS130" s="312"/>
      <c r="BT130" s="48"/>
      <c r="BU130" s="21"/>
      <c r="BV130" s="709"/>
      <c r="BW130" s="760"/>
      <c r="BX130" s="67"/>
      <c r="BY130" s="47"/>
      <c r="BZ130" s="48"/>
      <c r="CA130" s="21"/>
      <c r="CB130" s="709"/>
      <c r="CC130" s="816"/>
      <c r="CD130" s="311"/>
      <c r="CE130" s="59"/>
      <c r="CF130" s="64"/>
      <c r="CG130" s="21"/>
      <c r="CH130" s="270"/>
      <c r="CI130" s="672"/>
      <c r="CJ130" s="696"/>
      <c r="CK130" s="59"/>
      <c r="CL130" s="64"/>
      <c r="CM130" s="21"/>
      <c r="CN130" s="270"/>
      <c r="CO130" s="639"/>
      <c r="CP130" s="645"/>
      <c r="CQ130" s="59"/>
      <c r="CR130" s="64"/>
      <c r="CS130" s="21"/>
      <c r="CT130" s="712"/>
      <c r="CU130" s="874"/>
      <c r="CV130" s="738"/>
      <c r="CW130" s="199"/>
      <c r="CX130" s="200"/>
      <c r="CY130" s="568"/>
      <c r="CZ130" s="754"/>
      <c r="DA130" s="21"/>
      <c r="DB130" s="270"/>
      <c r="DC130" s="879"/>
      <c r="DD130" s="45"/>
      <c r="DE130" s="692"/>
      <c r="DF130" s="59"/>
      <c r="DG130" s="64"/>
      <c r="DH130" s="20"/>
      <c r="DI130" s="270"/>
      <c r="DJ130" s="933"/>
      <c r="DK130" s="645"/>
      <c r="DL130" s="59"/>
      <c r="DM130" s="64"/>
      <c r="DN130" s="20"/>
      <c r="DO130" s="268"/>
      <c r="DP130" s="760"/>
      <c r="DQ130" s="45"/>
      <c r="DR130" s="59"/>
      <c r="DS130" s="64"/>
      <c r="DT130" s="20"/>
      <c r="DU130" s="275"/>
      <c r="DV130" s="781"/>
      <c r="DW130" s="45"/>
      <c r="DX130" s="59"/>
      <c r="DY130" s="59"/>
      <c r="DZ130" s="64"/>
      <c r="EA130" s="20"/>
      <c r="EB130" s="709"/>
      <c r="EC130" s="740"/>
      <c r="ED130" s="765"/>
      <c r="EE130" s="59"/>
      <c r="EF130" s="64"/>
      <c r="EG130" s="20"/>
      <c r="EH130" s="270"/>
      <c r="EI130" s="781"/>
      <c r="EJ130" s="45"/>
      <c r="EK130" s="59"/>
      <c r="EL130" s="64"/>
      <c r="EM130" s="20"/>
      <c r="EN130" s="270"/>
    </row>
    <row r="131" spans="1:144" ht="16.5" customHeight="1" thickTop="1" thickBot="1" x14ac:dyDescent="0.25">
      <c r="A131" s="6" t="s">
        <v>139</v>
      </c>
      <c r="B131" s="959">
        <f>B126+1</f>
        <v>7</v>
      </c>
      <c r="C131" s="89">
        <f>C126+7</f>
        <v>46062</v>
      </c>
      <c r="D131" s="4"/>
      <c r="E131" s="24"/>
      <c r="F131" s="525"/>
      <c r="G131" s="804"/>
      <c r="H131" s="4"/>
      <c r="I131" s="528"/>
      <c r="J131" s="672"/>
      <c r="K131" s="61"/>
      <c r="L131" s="694" t="s">
        <v>151</v>
      </c>
      <c r="M131" s="260"/>
      <c r="N131" s="62"/>
      <c r="O131" s="24"/>
      <c r="P131" s="623"/>
      <c r="Q131" s="672"/>
      <c r="R131" s="260"/>
      <c r="S131" s="672"/>
      <c r="T131" s="260"/>
      <c r="U131" s="314"/>
      <c r="V131" s="694" t="s">
        <v>151</v>
      </c>
      <c r="W131" s="24"/>
      <c r="X131" s="707" t="s">
        <v>44</v>
      </c>
      <c r="Y131" s="830"/>
      <c r="Z131" s="750">
        <v>1</v>
      </c>
      <c r="AA131" s="690" t="s">
        <v>142</v>
      </c>
      <c r="AB131" s="72"/>
      <c r="AC131" s="62"/>
      <c r="AD131" s="21"/>
      <c r="AE131" s="707" t="s">
        <v>44</v>
      </c>
      <c r="AF131" s="658"/>
      <c r="AG131" s="658"/>
      <c r="AH131" s="658"/>
      <c r="AI131" s="830"/>
      <c r="AJ131" s="750">
        <v>1</v>
      </c>
      <c r="AK131" s="690" t="s">
        <v>142</v>
      </c>
      <c r="AL131" s="131" t="s">
        <v>48</v>
      </c>
      <c r="AM131" s="62"/>
      <c r="AN131" s="21"/>
      <c r="AO131" s="714"/>
      <c r="AP131" s="720"/>
      <c r="AQ131" s="314"/>
      <c r="AR131" s="308"/>
      <c r="AS131" s="308"/>
      <c r="AT131" s="306"/>
      <c r="AU131" s="21"/>
      <c r="AV131" s="714"/>
      <c r="AW131" s="760"/>
      <c r="AX131" s="71"/>
      <c r="AY131" s="74"/>
      <c r="AZ131" s="72"/>
      <c r="BA131" s="62"/>
      <c r="BB131" s="21"/>
      <c r="BC131" s="305" t="s">
        <v>148</v>
      </c>
      <c r="BD131" s="71"/>
      <c r="BE131" s="72"/>
      <c r="BF131" s="62"/>
      <c r="BG131" s="21"/>
      <c r="BH131" s="713" t="s">
        <v>149</v>
      </c>
      <c r="BI131" s="305" t="s">
        <v>148</v>
      </c>
      <c r="BJ131" s="71"/>
      <c r="BK131" s="72"/>
      <c r="BL131" s="62"/>
      <c r="BM131" s="21"/>
      <c r="BN131" s="713" t="s">
        <v>149</v>
      </c>
      <c r="BO131" s="1114" t="s">
        <v>148</v>
      </c>
      <c r="BP131" s="632"/>
      <c r="BQ131" s="635" t="s">
        <v>148</v>
      </c>
      <c r="BR131" s="71"/>
      <c r="BS131" s="72"/>
      <c r="BT131" s="62"/>
      <c r="BU131" s="21"/>
      <c r="BV131" s="270"/>
      <c r="BW131" s="760"/>
      <c r="BX131" s="132"/>
      <c r="BY131" s="56"/>
      <c r="BZ131" s="57"/>
      <c r="CA131" s="21"/>
      <c r="CB131" s="270"/>
      <c r="CC131" s="816"/>
      <c r="CD131" s="314"/>
      <c r="CE131" s="39"/>
      <c r="CF131" s="35"/>
      <c r="CG131" s="21"/>
      <c r="CH131" s="270"/>
      <c r="CI131" s="672"/>
      <c r="CJ131" s="694" t="s">
        <v>105</v>
      </c>
      <c r="CK131" s="39"/>
      <c r="CL131" s="35"/>
      <c r="CM131" s="21"/>
      <c r="CN131" s="707" t="s">
        <v>66</v>
      </c>
      <c r="CO131" s="639"/>
      <c r="CP131" s="643" t="s">
        <v>144</v>
      </c>
      <c r="CQ131" s="39"/>
      <c r="CR131" s="35"/>
      <c r="CS131" s="21"/>
      <c r="CT131" s="270"/>
      <c r="CU131" s="762" t="s">
        <v>331</v>
      </c>
      <c r="CV131" s="736" t="s">
        <v>278</v>
      </c>
      <c r="CW131" s="58"/>
      <c r="CX131" s="201"/>
      <c r="CY131" s="567"/>
      <c r="CZ131" s="762" t="s">
        <v>454</v>
      </c>
      <c r="DA131" s="21"/>
      <c r="DB131" s="270"/>
      <c r="DC131" s="879"/>
      <c r="DD131" s="61"/>
      <c r="DE131" s="690" t="s">
        <v>105</v>
      </c>
      <c r="DF131" s="39"/>
      <c r="DG131" s="35"/>
      <c r="DH131" s="20"/>
      <c r="DI131" s="270"/>
      <c r="DJ131" s="933"/>
      <c r="DK131" s="643" t="s">
        <v>144</v>
      </c>
      <c r="DL131" s="39"/>
      <c r="DM131" s="35"/>
      <c r="DN131" s="20"/>
      <c r="DO131" s="268"/>
      <c r="DP131" s="760"/>
      <c r="DQ131" s="61"/>
      <c r="DR131" s="39"/>
      <c r="DS131" s="35"/>
      <c r="DT131" s="20"/>
      <c r="DU131" s="707" t="s">
        <v>81</v>
      </c>
      <c r="DV131" s="781"/>
      <c r="DW131" s="61"/>
      <c r="DX131" s="39"/>
      <c r="DY131" s="39"/>
      <c r="DZ131" s="35"/>
      <c r="EA131" s="20"/>
      <c r="EB131" s="270"/>
      <c r="EC131" s="740"/>
      <c r="ED131" s="763" t="s">
        <v>144</v>
      </c>
      <c r="EE131" s="39"/>
      <c r="EF131" s="35"/>
      <c r="EG131" s="20"/>
      <c r="EH131" s="270"/>
      <c r="EI131" s="781"/>
      <c r="EJ131" s="61"/>
      <c r="EK131" s="39"/>
      <c r="EL131" s="35"/>
      <c r="EM131" s="20"/>
      <c r="EN131" s="713" t="s">
        <v>149</v>
      </c>
    </row>
    <row r="132" spans="1:144" ht="17.25" customHeight="1" thickTop="1" thickBot="1" x14ac:dyDescent="0.25">
      <c r="A132" s="6" t="s">
        <v>139</v>
      </c>
      <c r="B132" s="960"/>
      <c r="C132" s="33">
        <f>C131+1</f>
        <v>46063</v>
      </c>
      <c r="D132" s="1"/>
      <c r="E132" s="23"/>
      <c r="F132" s="526"/>
      <c r="G132" s="804"/>
      <c r="H132" s="1"/>
      <c r="I132" s="528"/>
      <c r="J132" s="672"/>
      <c r="K132" s="73"/>
      <c r="L132" s="695"/>
      <c r="M132" s="42"/>
      <c r="N132" s="43"/>
      <c r="O132" s="23"/>
      <c r="P132" s="623"/>
      <c r="Q132" s="672"/>
      <c r="R132" s="42"/>
      <c r="S132" s="672"/>
      <c r="T132" s="42"/>
      <c r="U132" s="73"/>
      <c r="V132" s="695"/>
      <c r="W132" s="23"/>
      <c r="X132" s="708"/>
      <c r="Y132" s="830"/>
      <c r="Z132" s="751"/>
      <c r="AA132" s="691"/>
      <c r="AB132" s="42"/>
      <c r="AC132" s="43"/>
      <c r="AD132" s="21"/>
      <c r="AE132" s="708"/>
      <c r="AF132" s="658" t="s">
        <v>358</v>
      </c>
      <c r="AG132" s="1046" t="s">
        <v>359</v>
      </c>
      <c r="AH132" s="658"/>
      <c r="AI132" s="830"/>
      <c r="AJ132" s="751"/>
      <c r="AK132" s="691"/>
      <c r="AL132" s="42"/>
      <c r="AM132" s="43"/>
      <c r="AN132" s="21"/>
      <c r="AO132" s="714"/>
      <c r="AP132" s="720"/>
      <c r="AQ132" s="147"/>
      <c r="AR132" s="310"/>
      <c r="AS132" s="310"/>
      <c r="AT132" s="307"/>
      <c r="AU132" s="21"/>
      <c r="AV132" s="714"/>
      <c r="AW132" s="760"/>
      <c r="AX132" s="73"/>
      <c r="AY132" s="52"/>
      <c r="AZ132" s="42"/>
      <c r="BA132" s="43"/>
      <c r="BB132" s="21"/>
      <c r="BC132" s="674" t="s">
        <v>168</v>
      </c>
      <c r="BD132" s="73"/>
      <c r="BE132" s="42"/>
      <c r="BF132" s="43"/>
      <c r="BG132" s="21"/>
      <c r="BH132" s="714"/>
      <c r="BI132" s="834" t="s">
        <v>268</v>
      </c>
      <c r="BJ132" s="73"/>
      <c r="BK132" s="42"/>
      <c r="BL132" s="43"/>
      <c r="BM132" s="21"/>
      <c r="BN132" s="714"/>
      <c r="BO132" s="1068" t="s">
        <v>268</v>
      </c>
      <c r="BP132" s="310"/>
      <c r="BQ132" s="1068" t="s">
        <v>268</v>
      </c>
      <c r="BR132" s="63"/>
      <c r="BS132" s="50"/>
      <c r="BT132" s="668" t="s">
        <v>48</v>
      </c>
      <c r="BU132" s="21"/>
      <c r="BV132" s="270"/>
      <c r="BW132" s="760"/>
      <c r="BX132" s="73"/>
      <c r="BY132" s="42"/>
      <c r="BZ132" s="43"/>
      <c r="CA132" s="21"/>
      <c r="CB132" s="270"/>
      <c r="CC132" s="816"/>
      <c r="CD132" s="309"/>
      <c r="CE132" s="44"/>
      <c r="CF132" s="36"/>
      <c r="CG132" s="21"/>
      <c r="CH132" s="270"/>
      <c r="CI132" s="672"/>
      <c r="CJ132" s="695"/>
      <c r="CK132" s="44"/>
      <c r="CL132" s="36"/>
      <c r="CM132" s="21"/>
      <c r="CN132" s="708"/>
      <c r="CO132" s="639"/>
      <c r="CP132" s="644"/>
      <c r="CQ132" s="44"/>
      <c r="CR132" s="36"/>
      <c r="CS132" s="21"/>
      <c r="CT132" s="270"/>
      <c r="CU132" s="813"/>
      <c r="CV132" s="737"/>
      <c r="CW132" s="42"/>
      <c r="CX132" s="43"/>
      <c r="CY132" s="567"/>
      <c r="CZ132" s="813"/>
      <c r="DA132" s="21"/>
      <c r="DB132" s="270"/>
      <c r="DC132" s="879"/>
      <c r="DD132" s="40"/>
      <c r="DE132" s="691"/>
      <c r="DF132" s="44"/>
      <c r="DG132" s="36"/>
      <c r="DH132" s="20"/>
      <c r="DI132" s="270"/>
      <c r="DJ132" s="933"/>
      <c r="DK132" s="644"/>
      <c r="DL132" s="44"/>
      <c r="DM132" s="36"/>
      <c r="DN132" s="20"/>
      <c r="DO132" s="268"/>
      <c r="DP132" s="760"/>
      <c r="DQ132" s="40"/>
      <c r="DR132" s="44"/>
      <c r="DS132" s="36"/>
      <c r="DT132" s="20"/>
      <c r="DU132" s="708"/>
      <c r="DV132" s="781"/>
      <c r="DW132" s="40"/>
      <c r="DX132" s="44"/>
      <c r="DY132" s="44"/>
      <c r="DZ132" s="36"/>
      <c r="EA132" s="20"/>
      <c r="EB132" s="270"/>
      <c r="EC132" s="740"/>
      <c r="ED132" s="764"/>
      <c r="EE132" s="44"/>
      <c r="EF132" s="36"/>
      <c r="EG132" s="20"/>
      <c r="EH132" s="270"/>
      <c r="EI132" s="781"/>
      <c r="EJ132" s="40"/>
      <c r="EK132" s="44"/>
      <c r="EL132" s="36"/>
      <c r="EM132" s="20"/>
      <c r="EN132" s="714"/>
    </row>
    <row r="133" spans="1:144" ht="17.25" thickTop="1" thickBot="1" x14ac:dyDescent="0.25">
      <c r="A133" s="6" t="s">
        <v>139</v>
      </c>
      <c r="B133" s="960"/>
      <c r="C133" s="33">
        <f>C132+1</f>
        <v>46064</v>
      </c>
      <c r="D133" s="1"/>
      <c r="E133" s="23"/>
      <c r="F133" s="526"/>
      <c r="G133" s="804"/>
      <c r="H133" s="1"/>
      <c r="I133" s="528"/>
      <c r="J133" s="672"/>
      <c r="K133" s="63"/>
      <c r="L133" s="695"/>
      <c r="M133" s="50"/>
      <c r="N133" s="60"/>
      <c r="O133" s="23"/>
      <c r="P133" s="623"/>
      <c r="Q133" s="672"/>
      <c r="R133" s="50"/>
      <c r="S133" s="672"/>
      <c r="T133" s="50"/>
      <c r="U133" s="63"/>
      <c r="V133" s="695"/>
      <c r="W133" s="23"/>
      <c r="X133" s="708"/>
      <c r="Y133" s="830"/>
      <c r="Z133" s="751"/>
      <c r="AA133" s="691"/>
      <c r="AB133" s="50"/>
      <c r="AC133" s="60"/>
      <c r="AD133" s="21"/>
      <c r="AE133" s="708"/>
      <c r="AF133" s="658"/>
      <c r="AG133" s="658"/>
      <c r="AH133" s="658"/>
      <c r="AI133" s="830"/>
      <c r="AJ133" s="751"/>
      <c r="AK133" s="691"/>
      <c r="AL133" s="50"/>
      <c r="AM133" s="60"/>
      <c r="AN133" s="21"/>
      <c r="AO133" s="714"/>
      <c r="AP133" s="720"/>
      <c r="AQ133" s="147"/>
      <c r="AR133" s="310"/>
      <c r="AS133" s="310"/>
      <c r="AT133" s="307"/>
      <c r="AU133" s="21"/>
      <c r="AV133" s="714"/>
      <c r="AW133" s="760"/>
      <c r="AX133" s="63"/>
      <c r="AY133" s="54"/>
      <c r="AZ133" s="50"/>
      <c r="BA133" s="60"/>
      <c r="BB133" s="21"/>
      <c r="BC133" s="639"/>
      <c r="BD133" s="63"/>
      <c r="BE133" s="50"/>
      <c r="BF133" s="60"/>
      <c r="BG133" s="21"/>
      <c r="BH133" s="714"/>
      <c r="BI133" s="666"/>
      <c r="BJ133" s="63"/>
      <c r="BK133" s="50"/>
      <c r="BL133" s="60"/>
      <c r="BM133" s="21"/>
      <c r="BN133" s="714"/>
      <c r="BO133" s="1068"/>
      <c r="BP133" s="310"/>
      <c r="BQ133" s="1068"/>
      <c r="BR133" s="63"/>
      <c r="BS133" s="50"/>
      <c r="BT133" s="669"/>
      <c r="BU133" s="21"/>
      <c r="BV133" s="270"/>
      <c r="BW133" s="760"/>
      <c r="BX133" s="63"/>
      <c r="BY133" s="50"/>
      <c r="BZ133" s="60"/>
      <c r="CA133" s="21"/>
      <c r="CB133" s="270"/>
      <c r="CC133" s="816"/>
      <c r="CD133" s="309"/>
      <c r="CE133" s="44"/>
      <c r="CF133" s="36"/>
      <c r="CG133" s="21"/>
      <c r="CH133" s="270"/>
      <c r="CI133" s="672"/>
      <c r="CJ133" s="695"/>
      <c r="CK133" s="44"/>
      <c r="CL133" s="36"/>
      <c r="CM133" s="21"/>
      <c r="CN133" s="708"/>
      <c r="CO133" s="639"/>
      <c r="CP133" s="644"/>
      <c r="CQ133" s="44"/>
      <c r="CR133" s="36"/>
      <c r="CS133" s="21"/>
      <c r="CT133" s="270"/>
      <c r="CU133" s="813"/>
      <c r="CV133" s="737"/>
      <c r="CW133" s="42"/>
      <c r="CX133" s="43"/>
      <c r="CY133" s="567"/>
      <c r="CZ133" s="813"/>
      <c r="DA133" s="21"/>
      <c r="DB133" s="270"/>
      <c r="DC133" s="879"/>
      <c r="DD133" s="40"/>
      <c r="DE133" s="691"/>
      <c r="DF133" s="116" t="s">
        <v>61</v>
      </c>
      <c r="DG133" s="36"/>
      <c r="DH133" s="20"/>
      <c r="DI133" s="270"/>
      <c r="DJ133" s="933"/>
      <c r="DK133" s="644"/>
      <c r="DL133" s="116" t="s">
        <v>61</v>
      </c>
      <c r="DM133" s="36"/>
      <c r="DN133" s="20"/>
      <c r="DO133" s="268"/>
      <c r="DP133" s="760"/>
      <c r="DQ133" s="40"/>
      <c r="DR133" s="44"/>
      <c r="DS133" s="36"/>
      <c r="DT133" s="20"/>
      <c r="DU133" s="708"/>
      <c r="DV133" s="781"/>
      <c r="DW133" s="40"/>
      <c r="DX133" s="44"/>
      <c r="DY133" s="44"/>
      <c r="DZ133" s="36"/>
      <c r="EA133" s="20"/>
      <c r="EB133" s="270"/>
      <c r="EC133" s="740"/>
      <c r="ED133" s="764"/>
      <c r="EE133" s="310"/>
      <c r="EF133" s="36"/>
      <c r="EG133" s="20"/>
      <c r="EH133" s="270"/>
      <c r="EI133" s="781"/>
      <c r="EJ133" s="40"/>
      <c r="EK133" s="44"/>
      <c r="EL133" s="36"/>
      <c r="EM133" s="20"/>
      <c r="EN133" s="714"/>
    </row>
    <row r="134" spans="1:144" ht="17.25" thickTop="1" thickBot="1" x14ac:dyDescent="0.25">
      <c r="A134" s="6" t="s">
        <v>139</v>
      </c>
      <c r="B134" s="960"/>
      <c r="C134" s="33">
        <f>C133+1</f>
        <v>46065</v>
      </c>
      <c r="D134" s="1"/>
      <c r="E134" s="210" t="s">
        <v>91</v>
      </c>
      <c r="F134" s="585"/>
      <c r="G134" s="804"/>
      <c r="H134" s="1"/>
      <c r="I134" s="528"/>
      <c r="J134" s="672"/>
      <c r="K134" s="63"/>
      <c r="L134" s="695"/>
      <c r="M134" s="612" t="s">
        <v>61</v>
      </c>
      <c r="N134" s="60"/>
      <c r="O134" s="23"/>
      <c r="P134" s="623"/>
      <c r="Q134" s="672"/>
      <c r="R134" s="612" t="s">
        <v>61</v>
      </c>
      <c r="S134" s="672"/>
      <c r="T134" s="612" t="s">
        <v>61</v>
      </c>
      <c r="U134" s="63"/>
      <c r="V134" s="695"/>
      <c r="W134" s="23"/>
      <c r="X134" s="708"/>
      <c r="Y134" s="830"/>
      <c r="Z134" s="751"/>
      <c r="AA134" s="691"/>
      <c r="AB134" s="50"/>
      <c r="AC134" s="60"/>
      <c r="AD134" s="21"/>
      <c r="AE134" s="708"/>
      <c r="AF134" s="658"/>
      <c r="AG134" s="658"/>
      <c r="AH134" s="658"/>
      <c r="AI134" s="830"/>
      <c r="AJ134" s="751"/>
      <c r="AK134" s="691"/>
      <c r="AL134" s="116" t="s">
        <v>113</v>
      </c>
      <c r="AM134" s="60"/>
      <c r="AN134" s="21"/>
      <c r="AO134" s="714"/>
      <c r="AP134" s="720"/>
      <c r="AQ134" s="147"/>
      <c r="AR134" s="310"/>
      <c r="AS134" s="310"/>
      <c r="AT134" s="307"/>
      <c r="AU134" s="21"/>
      <c r="AV134" s="714"/>
      <c r="AW134" s="760"/>
      <c r="AX134" s="63"/>
      <c r="AY134" s="54"/>
      <c r="AZ134" s="50"/>
      <c r="BA134" s="60"/>
      <c r="BB134" s="21"/>
      <c r="BC134" s="639"/>
      <c r="BD134" s="73"/>
      <c r="BE134" s="42"/>
      <c r="BF134" s="43"/>
      <c r="BG134" s="21"/>
      <c r="BH134" s="714"/>
      <c r="BI134" s="666"/>
      <c r="BJ134" s="73"/>
      <c r="BK134" s="42"/>
      <c r="BL134" s="43"/>
      <c r="BM134" s="21"/>
      <c r="BN134" s="714"/>
      <c r="BO134" s="1068"/>
      <c r="BP134" s="310"/>
      <c r="BQ134" s="1068"/>
      <c r="BR134" s="309"/>
      <c r="BS134" s="310"/>
      <c r="BT134" s="669"/>
      <c r="BU134" s="21"/>
      <c r="BV134" s="270"/>
      <c r="BW134" s="760"/>
      <c r="BX134" s="73"/>
      <c r="BY134" s="42"/>
      <c r="BZ134" s="43"/>
      <c r="CA134" s="21"/>
      <c r="CB134" s="270"/>
      <c r="CC134" s="816"/>
      <c r="CD134" s="309"/>
      <c r="CE134" s="44"/>
      <c r="CF134" s="36"/>
      <c r="CG134" s="21"/>
      <c r="CH134" s="270"/>
      <c r="CI134" s="672"/>
      <c r="CJ134" s="695"/>
      <c r="CK134" s="310"/>
      <c r="CL134" s="36"/>
      <c r="CM134" s="21"/>
      <c r="CN134" s="708"/>
      <c r="CO134" s="639"/>
      <c r="CP134" s="644"/>
      <c r="CQ134" s="116" t="s">
        <v>61</v>
      </c>
      <c r="CR134" s="36"/>
      <c r="CS134" s="21"/>
      <c r="CT134" s="270"/>
      <c r="CU134" s="813"/>
      <c r="CV134" s="737"/>
      <c r="CW134" s="66" t="s">
        <v>80</v>
      </c>
      <c r="CX134" s="43"/>
      <c r="CY134" s="567"/>
      <c r="CZ134" s="813"/>
      <c r="DA134" s="21"/>
      <c r="DB134" s="270"/>
      <c r="DC134" s="879"/>
      <c r="DD134" s="40"/>
      <c r="DE134" s="691"/>
      <c r="DF134" s="310"/>
      <c r="DG134" s="36"/>
      <c r="DH134" s="20"/>
      <c r="DI134" s="270"/>
      <c r="DJ134" s="933"/>
      <c r="DK134" s="644"/>
      <c r="DL134" s="310"/>
      <c r="DM134" s="36"/>
      <c r="DN134" s="20"/>
      <c r="DO134" s="268"/>
      <c r="DP134" s="760"/>
      <c r="DQ134" s="40"/>
      <c r="DR134" s="44"/>
      <c r="DS134" s="36"/>
      <c r="DT134" s="20"/>
      <c r="DU134" s="708"/>
      <c r="DV134" s="781"/>
      <c r="DW134" s="40"/>
      <c r="DX134" s="44"/>
      <c r="DY134" s="44"/>
      <c r="DZ134" s="36"/>
      <c r="EA134" s="20"/>
      <c r="EB134" s="270"/>
      <c r="EC134" s="740"/>
      <c r="ED134" s="764"/>
      <c r="EE134" s="44"/>
      <c r="EF134" s="36"/>
      <c r="EG134" s="20"/>
      <c r="EH134" s="270"/>
      <c r="EI134" s="781"/>
      <c r="EJ134" s="40"/>
      <c r="EK134" s="44"/>
      <c r="EL134" s="36"/>
      <c r="EM134" s="20"/>
      <c r="EN134" s="714"/>
    </row>
    <row r="135" spans="1:144" ht="31.5" customHeight="1" thickTop="1" thickBot="1" x14ac:dyDescent="0.25">
      <c r="A135" s="6" t="s">
        <v>139</v>
      </c>
      <c r="B135" s="961"/>
      <c r="C135" s="34">
        <f>C134+1</f>
        <v>46066</v>
      </c>
      <c r="D135" s="1"/>
      <c r="E135" s="23"/>
      <c r="F135" s="526"/>
      <c r="G135" s="805"/>
      <c r="H135" s="1"/>
      <c r="I135" s="528"/>
      <c r="J135" s="735"/>
      <c r="K135" s="67"/>
      <c r="L135" s="696"/>
      <c r="M135" s="47"/>
      <c r="N135" s="48"/>
      <c r="O135" s="23"/>
      <c r="P135" s="623"/>
      <c r="Q135" s="735"/>
      <c r="R135" s="312"/>
      <c r="S135" s="735"/>
      <c r="T135" s="312"/>
      <c r="U135" s="67"/>
      <c r="V135" s="696"/>
      <c r="W135" s="23"/>
      <c r="X135" s="709"/>
      <c r="Y135" s="831"/>
      <c r="Z135" s="752"/>
      <c r="AA135" s="692"/>
      <c r="AB135" s="312"/>
      <c r="AC135" s="48"/>
      <c r="AD135" s="21"/>
      <c r="AE135" s="709"/>
      <c r="AF135" s="965"/>
      <c r="AG135" s="965"/>
      <c r="AH135" s="1045"/>
      <c r="AI135" s="831"/>
      <c r="AJ135" s="752"/>
      <c r="AK135" s="692"/>
      <c r="AL135" s="47"/>
      <c r="AM135" s="48"/>
      <c r="AN135" s="21"/>
      <c r="AO135" s="715"/>
      <c r="AP135" s="720"/>
      <c r="AQ135" s="311"/>
      <c r="AR135" s="313"/>
      <c r="AS135" s="313"/>
      <c r="AT135" s="315"/>
      <c r="AU135" s="21"/>
      <c r="AV135" s="715"/>
      <c r="AW135" s="760"/>
      <c r="AX135" s="67"/>
      <c r="AY135" s="55"/>
      <c r="AZ135" s="47"/>
      <c r="BA135" s="48"/>
      <c r="BB135" s="21"/>
      <c r="BC135" s="837"/>
      <c r="BD135" s="67"/>
      <c r="BE135" s="312"/>
      <c r="BF135" s="48"/>
      <c r="BG135" s="21"/>
      <c r="BH135" s="715"/>
      <c r="BI135" s="832"/>
      <c r="BJ135" s="67"/>
      <c r="BK135" s="47"/>
      <c r="BL135" s="48"/>
      <c r="BM135" s="21"/>
      <c r="BN135" s="715"/>
      <c r="BO135" s="1069"/>
      <c r="BP135" s="310"/>
      <c r="BQ135" s="1069"/>
      <c r="BR135" s="311"/>
      <c r="BS135" s="313"/>
      <c r="BT135" s="906"/>
      <c r="BU135" s="21"/>
      <c r="BV135" s="270"/>
      <c r="BW135" s="760"/>
      <c r="BX135" s="67"/>
      <c r="BY135" s="47"/>
      <c r="BZ135" s="48"/>
      <c r="CA135" s="21"/>
      <c r="CB135" s="270"/>
      <c r="CC135" s="816"/>
      <c r="CD135" s="311"/>
      <c r="CE135" s="59"/>
      <c r="CF135" s="64"/>
      <c r="CG135" s="21"/>
      <c r="CH135" s="270"/>
      <c r="CI135" s="672"/>
      <c r="CJ135" s="696"/>
      <c r="CK135" s="59"/>
      <c r="CL135" s="64"/>
      <c r="CM135" s="21"/>
      <c r="CN135" s="709"/>
      <c r="CO135" s="837"/>
      <c r="CP135" s="645"/>
      <c r="CQ135" s="88" t="s">
        <v>48</v>
      </c>
      <c r="CR135" s="64"/>
      <c r="CS135" s="21"/>
      <c r="CT135" s="270"/>
      <c r="CU135" s="813"/>
      <c r="CV135" s="738"/>
      <c r="CW135" s="199"/>
      <c r="CX135" s="200"/>
      <c r="CY135" s="567"/>
      <c r="CZ135" s="813"/>
      <c r="DA135" s="21"/>
      <c r="DB135" s="270"/>
      <c r="DC135" s="879"/>
      <c r="DD135" s="45"/>
      <c r="DE135" s="692"/>
      <c r="DF135" s="59"/>
      <c r="DG135" s="64"/>
      <c r="DH135" s="20"/>
      <c r="DI135" s="270"/>
      <c r="DJ135" s="933"/>
      <c r="DK135" s="645"/>
      <c r="DL135" s="59"/>
      <c r="DM135" s="64"/>
      <c r="DN135" s="20"/>
      <c r="DO135" s="268"/>
      <c r="DP135" s="760"/>
      <c r="DQ135" s="45"/>
      <c r="DR135" s="59"/>
      <c r="DS135" s="64"/>
      <c r="DT135" s="20"/>
      <c r="DU135" s="709"/>
      <c r="DV135" s="781"/>
      <c r="DW135" s="45"/>
      <c r="DX135" s="59"/>
      <c r="DY135" s="59"/>
      <c r="DZ135" s="64"/>
      <c r="EA135" s="20"/>
      <c r="EB135" s="270"/>
      <c r="EC135" s="740"/>
      <c r="ED135" s="765"/>
      <c r="EE135" s="59"/>
      <c r="EF135" s="64"/>
      <c r="EG135" s="20"/>
      <c r="EH135" s="270"/>
      <c r="EI135" s="781"/>
      <c r="EJ135" s="45"/>
      <c r="EK135" s="59"/>
      <c r="EL135" s="64"/>
      <c r="EM135" s="20"/>
      <c r="EN135" s="715"/>
    </row>
    <row r="136" spans="1:144" ht="16.149999999999999" customHeight="1" thickTop="1" thickBot="1" x14ac:dyDescent="0.25">
      <c r="A136" s="6" t="s">
        <v>145</v>
      </c>
      <c r="B136" s="959">
        <f>B131+1</f>
        <v>8</v>
      </c>
      <c r="C136" s="89">
        <f>C131+7</f>
        <v>46069</v>
      </c>
      <c r="D136" s="4"/>
      <c r="E136" s="24"/>
      <c r="F136" s="525"/>
      <c r="G136" s="24"/>
      <c r="H136" s="4"/>
      <c r="I136" s="528"/>
      <c r="J136" s="664" t="s">
        <v>68</v>
      </c>
      <c r="K136" s="136"/>
      <c r="L136" s="119"/>
      <c r="M136" s="119"/>
      <c r="N136" s="120"/>
      <c r="O136" s="24"/>
      <c r="P136" s="623"/>
      <c r="Q136" s="664" t="s">
        <v>68</v>
      </c>
      <c r="R136" s="119"/>
      <c r="S136" s="664" t="s">
        <v>68</v>
      </c>
      <c r="T136" s="119"/>
      <c r="U136" s="136"/>
      <c r="V136" s="119"/>
      <c r="W136" s="24"/>
      <c r="X136" s="270"/>
      <c r="Y136" s="697" t="s">
        <v>68</v>
      </c>
      <c r="Z136" s="117"/>
      <c r="AA136" s="118"/>
      <c r="AB136" s="119"/>
      <c r="AC136" s="299"/>
      <c r="AD136" s="21"/>
      <c r="AE136" s="270"/>
      <c r="AF136" s="697" t="s">
        <v>68</v>
      </c>
      <c r="AG136" s="697" t="s">
        <v>68</v>
      </c>
      <c r="AH136" s="647" t="s">
        <v>68</v>
      </c>
      <c r="AI136" s="697" t="s">
        <v>68</v>
      </c>
      <c r="AJ136" s="117"/>
      <c r="AK136" s="118"/>
      <c r="AL136" s="119"/>
      <c r="AM136" s="120"/>
      <c r="AN136" s="21"/>
      <c r="AO136" s="270"/>
      <c r="AP136" s="720"/>
      <c r="AQ136" s="314"/>
      <c r="AR136" s="308"/>
      <c r="AS136" s="308"/>
      <c r="AT136" s="306"/>
      <c r="AU136" s="21"/>
      <c r="AV136" s="270"/>
      <c r="AW136" s="760"/>
      <c r="AX136" s="71"/>
      <c r="AY136" s="74"/>
      <c r="AZ136" s="72"/>
      <c r="BA136" s="62"/>
      <c r="BB136" s="21"/>
      <c r="BC136" s="829" t="s">
        <v>154</v>
      </c>
      <c r="BD136" s="643" t="s">
        <v>53</v>
      </c>
      <c r="BE136" s="72"/>
      <c r="BF136" s="62"/>
      <c r="BG136" s="21"/>
      <c r="BH136" s="270"/>
      <c r="BI136" s="829" t="s">
        <v>154</v>
      </c>
      <c r="BJ136" s="643" t="s">
        <v>53</v>
      </c>
      <c r="BK136" s="72"/>
      <c r="BL136" s="62"/>
      <c r="BM136" s="21"/>
      <c r="BN136" s="270"/>
      <c r="BO136" s="1053" t="s">
        <v>368</v>
      </c>
      <c r="BP136" s="308"/>
      <c r="BQ136" s="1116" t="s">
        <v>371</v>
      </c>
      <c r="BR136" s="314"/>
      <c r="BS136" s="694" t="s">
        <v>53</v>
      </c>
      <c r="BT136" s="62"/>
      <c r="BU136" s="21"/>
      <c r="BV136" s="270"/>
      <c r="BW136" s="760"/>
      <c r="BX136" s="132"/>
      <c r="BY136" s="56"/>
      <c r="BZ136" s="57"/>
      <c r="CA136" s="21"/>
      <c r="CB136" s="270"/>
      <c r="CC136" s="816"/>
      <c r="CD136" s="314"/>
      <c r="CE136" s="39"/>
      <c r="CF136" s="35"/>
      <c r="CG136" s="21"/>
      <c r="CH136" s="270"/>
      <c r="CI136" s="672"/>
      <c r="CJ136" s="694" t="s">
        <v>109</v>
      </c>
      <c r="CK136" s="39"/>
      <c r="CL136" s="35"/>
      <c r="CM136" s="21"/>
      <c r="CN136" s="707" t="s">
        <v>69</v>
      </c>
      <c r="CO136" s="759" t="s">
        <v>26</v>
      </c>
      <c r="CP136" s="61"/>
      <c r="CQ136" s="39"/>
      <c r="CR136" s="35"/>
      <c r="CS136" s="21"/>
      <c r="CT136" s="270"/>
      <c r="CU136" s="813"/>
      <c r="CV136" s="736" t="s">
        <v>279</v>
      </c>
      <c r="CW136" s="58"/>
      <c r="CX136" s="201"/>
      <c r="CY136" s="567"/>
      <c r="CZ136" s="813"/>
      <c r="DA136" s="21"/>
      <c r="DB136" s="707" t="s">
        <v>66</v>
      </c>
      <c r="DC136" s="879"/>
      <c r="DD136" s="61"/>
      <c r="DE136" s="690" t="s">
        <v>109</v>
      </c>
      <c r="DF136" s="39"/>
      <c r="DG136" s="35"/>
      <c r="DH136" s="20"/>
      <c r="DI136" s="707" t="s">
        <v>66</v>
      </c>
      <c r="DJ136" s="933"/>
      <c r="DK136" s="643" t="s">
        <v>147</v>
      </c>
      <c r="DL136" s="39"/>
      <c r="DM136" s="35"/>
      <c r="DN136" s="20"/>
      <c r="DO136" s="268"/>
      <c r="DP136" s="760"/>
      <c r="DQ136" s="61"/>
      <c r="DR136" s="39"/>
      <c r="DS136" s="35"/>
      <c r="DT136" s="20"/>
      <c r="DU136" s="707" t="s">
        <v>81</v>
      </c>
      <c r="DV136" s="781"/>
      <c r="DW136" s="61"/>
      <c r="DX136" s="39"/>
      <c r="DY136" s="39"/>
      <c r="DZ136" s="35"/>
      <c r="EA136" s="20"/>
      <c r="EB136" s="707" t="s">
        <v>66</v>
      </c>
      <c r="EC136" s="740"/>
      <c r="ED136" s="643" t="s">
        <v>147</v>
      </c>
      <c r="EE136" s="39"/>
      <c r="EF136" s="35"/>
      <c r="EG136" s="20"/>
      <c r="EH136" s="270"/>
      <c r="EI136" s="781"/>
      <c r="EJ136" s="61"/>
      <c r="EK136" s="39"/>
      <c r="EL136" s="35"/>
      <c r="EM136" s="20"/>
      <c r="EN136" s="270"/>
    </row>
    <row r="137" spans="1:144" ht="17.25" thickTop="1" thickBot="1" x14ac:dyDescent="0.25">
      <c r="A137" s="6" t="s">
        <v>145</v>
      </c>
      <c r="B137" s="960"/>
      <c r="C137" s="33">
        <f>C136+1</f>
        <v>46070</v>
      </c>
      <c r="D137" s="1"/>
      <c r="E137" s="23"/>
      <c r="F137" s="526"/>
      <c r="G137" s="23"/>
      <c r="H137" s="1"/>
      <c r="I137" s="528"/>
      <c r="J137" s="664"/>
      <c r="K137" s="137"/>
      <c r="L137" s="107"/>
      <c r="M137" s="107"/>
      <c r="N137" s="127"/>
      <c r="O137" s="23"/>
      <c r="P137" s="623"/>
      <c r="Q137" s="664"/>
      <c r="R137" s="107"/>
      <c r="S137" s="664"/>
      <c r="T137" s="107"/>
      <c r="U137" s="137"/>
      <c r="V137" s="107"/>
      <c r="W137" s="23"/>
      <c r="X137" s="271"/>
      <c r="Y137" s="647"/>
      <c r="Z137" s="121"/>
      <c r="AA137" s="122"/>
      <c r="AB137" s="107"/>
      <c r="AC137" s="123"/>
      <c r="AD137" s="21"/>
      <c r="AE137" s="271"/>
      <c r="AF137" s="647"/>
      <c r="AG137" s="647"/>
      <c r="AH137" s="647"/>
      <c r="AI137" s="647"/>
      <c r="AJ137" s="121"/>
      <c r="AK137" s="122"/>
      <c r="AL137" s="107"/>
      <c r="AM137" s="123"/>
      <c r="AN137" s="21"/>
      <c r="AO137" s="270"/>
      <c r="AP137" s="720"/>
      <c r="AQ137" s="147"/>
      <c r="AR137" s="310"/>
      <c r="AS137" s="310"/>
      <c r="AT137" s="307"/>
      <c r="AU137" s="21"/>
      <c r="AV137" s="270"/>
      <c r="AW137" s="760"/>
      <c r="AX137" s="63"/>
      <c r="AY137" s="54"/>
      <c r="AZ137" s="50"/>
      <c r="BA137" s="60"/>
      <c r="BB137" s="21"/>
      <c r="BC137" s="660"/>
      <c r="BD137" s="644"/>
      <c r="BE137" s="42"/>
      <c r="BF137" s="43"/>
      <c r="BG137" s="21"/>
      <c r="BH137" s="270"/>
      <c r="BI137" s="660"/>
      <c r="BJ137" s="644"/>
      <c r="BK137" s="42"/>
      <c r="BL137" s="43"/>
      <c r="BM137" s="21"/>
      <c r="BN137" s="270"/>
      <c r="BO137" s="948"/>
      <c r="BP137" s="310"/>
      <c r="BQ137" s="1117"/>
      <c r="BR137" s="309"/>
      <c r="BS137" s="695"/>
      <c r="BT137" s="43"/>
      <c r="BU137" s="21"/>
      <c r="BV137" s="270"/>
      <c r="BW137" s="760"/>
      <c r="BX137" s="63"/>
      <c r="BY137" s="50"/>
      <c r="BZ137" s="60"/>
      <c r="CA137" s="21"/>
      <c r="CB137" s="270"/>
      <c r="CC137" s="816"/>
      <c r="CD137" s="309"/>
      <c r="CE137" s="44"/>
      <c r="CF137" s="36"/>
      <c r="CG137" s="21"/>
      <c r="CH137" s="270"/>
      <c r="CI137" s="672"/>
      <c r="CJ137" s="695"/>
      <c r="CK137" s="44"/>
      <c r="CL137" s="36"/>
      <c r="CM137" s="21"/>
      <c r="CN137" s="708"/>
      <c r="CO137" s="760"/>
      <c r="CP137" s="40"/>
      <c r="CQ137" s="44"/>
      <c r="CR137" s="36"/>
      <c r="CS137" s="21"/>
      <c r="CT137" s="270"/>
      <c r="CU137" s="813"/>
      <c r="CV137" s="737"/>
      <c r="CW137" s="42"/>
      <c r="CX137" s="43"/>
      <c r="CY137" s="567"/>
      <c r="CZ137" s="813"/>
      <c r="DA137" s="21"/>
      <c r="DB137" s="708"/>
      <c r="DC137" s="879"/>
      <c r="DD137" s="40"/>
      <c r="DE137" s="691"/>
      <c r="DF137" s="44"/>
      <c r="DG137" s="36"/>
      <c r="DH137" s="20"/>
      <c r="DI137" s="708"/>
      <c r="DJ137" s="933"/>
      <c r="DK137" s="644"/>
      <c r="DL137" s="44"/>
      <c r="DM137" s="36"/>
      <c r="DN137" s="20"/>
      <c r="DO137" s="268"/>
      <c r="DP137" s="760"/>
      <c r="DQ137" s="40"/>
      <c r="DR137" s="44"/>
      <c r="DS137" s="36"/>
      <c r="DT137" s="20"/>
      <c r="DU137" s="708"/>
      <c r="DV137" s="781"/>
      <c r="DW137" s="40"/>
      <c r="DX137" s="44"/>
      <c r="DY137" s="44"/>
      <c r="DZ137" s="36"/>
      <c r="EA137" s="20"/>
      <c r="EB137" s="708"/>
      <c r="EC137" s="740"/>
      <c r="ED137" s="644"/>
      <c r="EE137" s="44"/>
      <c r="EF137" s="36"/>
      <c r="EG137" s="20"/>
      <c r="EH137" s="270"/>
      <c r="EI137" s="781"/>
      <c r="EJ137" s="40"/>
      <c r="EK137" s="44"/>
      <c r="EL137" s="36"/>
      <c r="EM137" s="20"/>
      <c r="EN137" s="270"/>
    </row>
    <row r="138" spans="1:144" ht="17.25" thickTop="1" thickBot="1" x14ac:dyDescent="0.25">
      <c r="A138" s="6" t="s">
        <v>145</v>
      </c>
      <c r="B138" s="960"/>
      <c r="C138" s="33">
        <f>C137+1</f>
        <v>46071</v>
      </c>
      <c r="D138" s="1"/>
      <c r="E138" s="23"/>
      <c r="F138" s="526"/>
      <c r="G138" s="23"/>
      <c r="H138" s="1"/>
      <c r="I138" s="265"/>
      <c r="J138" s="664"/>
      <c r="K138" s="137"/>
      <c r="L138" s="107"/>
      <c r="M138" s="107"/>
      <c r="N138" s="127"/>
      <c r="O138" s="23"/>
      <c r="P138" s="624"/>
      <c r="Q138" s="664"/>
      <c r="R138" s="107"/>
      <c r="S138" s="664"/>
      <c r="T138" s="107"/>
      <c r="U138" s="137"/>
      <c r="V138" s="107"/>
      <c r="W138" s="23"/>
      <c r="X138" s="270"/>
      <c r="Y138" s="647"/>
      <c r="Z138" s="121"/>
      <c r="AA138" s="122"/>
      <c r="AB138" s="126"/>
      <c r="AC138" s="123"/>
      <c r="AD138" s="21"/>
      <c r="AE138" s="270"/>
      <c r="AF138" s="647"/>
      <c r="AG138" s="647"/>
      <c r="AH138" s="647"/>
      <c r="AI138" s="647"/>
      <c r="AJ138" s="121"/>
      <c r="AK138" s="122"/>
      <c r="AL138" s="126"/>
      <c r="AM138" s="123"/>
      <c r="AN138" s="21"/>
      <c r="AO138" s="270"/>
      <c r="AP138" s="720"/>
      <c r="AQ138" s="147"/>
      <c r="AR138" s="310"/>
      <c r="AS138" s="310"/>
      <c r="AT138" s="307"/>
      <c r="AU138" s="21"/>
      <c r="AV138" s="270"/>
      <c r="AW138" s="760"/>
      <c r="AX138" s="63"/>
      <c r="AY138" s="54"/>
      <c r="AZ138" s="50"/>
      <c r="BA138" s="60"/>
      <c r="BB138" s="21"/>
      <c r="BC138" s="660"/>
      <c r="BD138" s="644"/>
      <c r="BE138" s="50"/>
      <c r="BF138" s="60"/>
      <c r="BG138" s="21"/>
      <c r="BH138" s="270"/>
      <c r="BI138" s="660"/>
      <c r="BJ138" s="644"/>
      <c r="BK138" s="50"/>
      <c r="BL138" s="60"/>
      <c r="BM138" s="21"/>
      <c r="BN138" s="270"/>
      <c r="BO138" s="948"/>
      <c r="BP138" s="310"/>
      <c r="BQ138" s="1117"/>
      <c r="BR138" s="309"/>
      <c r="BS138" s="695"/>
      <c r="BT138" s="60"/>
      <c r="BU138" s="21"/>
      <c r="BV138" s="270"/>
      <c r="BW138" s="760"/>
      <c r="BX138" s="63"/>
      <c r="BY138" s="50"/>
      <c r="BZ138" s="60"/>
      <c r="CA138" s="21"/>
      <c r="CB138" s="270"/>
      <c r="CC138" s="816"/>
      <c r="CD138" s="309"/>
      <c r="CE138" s="44"/>
      <c r="CF138" s="36"/>
      <c r="CG138" s="21"/>
      <c r="CH138" s="270"/>
      <c r="CI138" s="672"/>
      <c r="CJ138" s="695"/>
      <c r="CK138" s="44"/>
      <c r="CL138" s="36"/>
      <c r="CM138" s="21"/>
      <c r="CN138" s="708"/>
      <c r="CO138" s="760"/>
      <c r="CP138" s="40"/>
      <c r="CQ138" s="44"/>
      <c r="CR138" s="36"/>
      <c r="CS138" s="21"/>
      <c r="CT138" s="270"/>
      <c r="CU138" s="813"/>
      <c r="CV138" s="737"/>
      <c r="CW138" s="42"/>
      <c r="CX138" s="43"/>
      <c r="CY138" s="567"/>
      <c r="CZ138" s="813"/>
      <c r="DA138" s="21"/>
      <c r="DB138" s="708"/>
      <c r="DC138" s="879"/>
      <c r="DD138" s="40"/>
      <c r="DE138" s="691"/>
      <c r="DF138" s="116" t="s">
        <v>61</v>
      </c>
      <c r="DG138" s="36"/>
      <c r="DH138" s="20"/>
      <c r="DI138" s="708"/>
      <c r="DJ138" s="933"/>
      <c r="DK138" s="644"/>
      <c r="DL138" s="116" t="s">
        <v>61</v>
      </c>
      <c r="DM138" s="36"/>
      <c r="DN138" s="20"/>
      <c r="DO138" s="268"/>
      <c r="DP138" s="760"/>
      <c r="DQ138" s="40"/>
      <c r="DR138" s="44"/>
      <c r="DS138" s="36"/>
      <c r="DT138" s="20"/>
      <c r="DU138" s="708"/>
      <c r="DV138" s="781"/>
      <c r="DW138" s="40"/>
      <c r="DX138" s="44"/>
      <c r="DY138" s="44"/>
      <c r="DZ138" s="36"/>
      <c r="EA138" s="20"/>
      <c r="EB138" s="708"/>
      <c r="EC138" s="740"/>
      <c r="ED138" s="644"/>
      <c r="EE138" s="116" t="s">
        <v>61</v>
      </c>
      <c r="EF138" s="36"/>
      <c r="EG138" s="20"/>
      <c r="EH138" s="270"/>
      <c r="EI138" s="781"/>
      <c r="EJ138" s="40"/>
      <c r="EK138" s="44"/>
      <c r="EL138" s="36"/>
      <c r="EM138" s="20"/>
      <c r="EN138" s="270"/>
    </row>
    <row r="139" spans="1:144" ht="17.25" thickTop="1" thickBot="1" x14ac:dyDescent="0.25">
      <c r="A139" s="6" t="s">
        <v>145</v>
      </c>
      <c r="B139" s="960"/>
      <c r="C139" s="33">
        <f>C138+1</f>
        <v>46072</v>
      </c>
      <c r="D139" s="1"/>
      <c r="H139" s="1"/>
      <c r="I139" s="528"/>
      <c r="J139" s="664"/>
      <c r="K139" s="138"/>
      <c r="L139" s="126"/>
      <c r="M139" s="140"/>
      <c r="N139" s="141"/>
      <c r="O139" s="23"/>
      <c r="P139" s="623"/>
      <c r="Q139" s="664"/>
      <c r="R139" s="140"/>
      <c r="S139" s="664"/>
      <c r="T139" s="140"/>
      <c r="U139" s="138"/>
      <c r="V139" s="126"/>
      <c r="W139" s="23"/>
      <c r="X139" s="270"/>
      <c r="Y139" s="647"/>
      <c r="Z139" s="124"/>
      <c r="AA139" s="125"/>
      <c r="AB139" s="126"/>
      <c r="AC139" s="127"/>
      <c r="AD139" s="21"/>
      <c r="AE139" s="270"/>
      <c r="AF139" s="647"/>
      <c r="AG139" s="647"/>
      <c r="AH139" s="647"/>
      <c r="AI139" s="647"/>
      <c r="AJ139" s="124"/>
      <c r="AK139" s="125"/>
      <c r="AL139" s="126"/>
      <c r="AM139" s="127"/>
      <c r="AN139" s="21"/>
      <c r="AO139" s="270"/>
      <c r="AP139" s="720"/>
      <c r="AQ139" s="147"/>
      <c r="AR139" s="310"/>
      <c r="AS139" s="310"/>
      <c r="AT139" s="307"/>
      <c r="AU139" s="21"/>
      <c r="AV139" s="270"/>
      <c r="AW139" s="760"/>
      <c r="AX139" s="40"/>
      <c r="AY139" s="41"/>
      <c r="AZ139" s="50"/>
      <c r="BA139" s="36"/>
      <c r="BB139" s="21"/>
      <c r="BC139" s="660"/>
      <c r="BD139" s="644"/>
      <c r="BE139" s="66" t="s">
        <v>80</v>
      </c>
      <c r="BF139" s="43"/>
      <c r="BG139" s="21"/>
      <c r="BH139" s="270"/>
      <c r="BI139" s="660"/>
      <c r="BJ139" s="644"/>
      <c r="BK139" s="42"/>
      <c r="BL139" s="43"/>
      <c r="BM139" s="21"/>
      <c r="BN139" s="270"/>
      <c r="BO139" s="948"/>
      <c r="BP139" s="310"/>
      <c r="BQ139" s="1117"/>
      <c r="BR139" s="309"/>
      <c r="BS139" s="695"/>
      <c r="BT139" s="43"/>
      <c r="BU139" s="21"/>
      <c r="BV139" s="270"/>
      <c r="BW139" s="760"/>
      <c r="BX139" s="40"/>
      <c r="BY139" s="44"/>
      <c r="BZ139" s="36"/>
      <c r="CA139" s="21"/>
      <c r="CB139" s="270"/>
      <c r="CC139" s="816"/>
      <c r="CD139" s="309"/>
      <c r="CE139" s="44"/>
      <c r="CF139" s="36"/>
      <c r="CG139" s="21"/>
      <c r="CH139" s="270"/>
      <c r="CI139" s="672"/>
      <c r="CJ139" s="695"/>
      <c r="CK139" s="310"/>
      <c r="CL139" s="36"/>
      <c r="CM139" s="21"/>
      <c r="CN139" s="708"/>
      <c r="CO139" s="760"/>
      <c r="CP139" s="40"/>
      <c r="CQ139" s="44"/>
      <c r="CR139" s="36"/>
      <c r="CS139" s="21"/>
      <c r="CT139" s="270"/>
      <c r="CU139" s="813"/>
      <c r="CV139" s="737"/>
      <c r="CW139" s="42"/>
      <c r="CX139" s="43"/>
      <c r="CY139" s="567"/>
      <c r="CZ139" s="813"/>
      <c r="DA139" s="21"/>
      <c r="DB139" s="708"/>
      <c r="DC139" s="879"/>
      <c r="DD139" s="40"/>
      <c r="DE139" s="691"/>
      <c r="DF139" s="310"/>
      <c r="DG139" s="36"/>
      <c r="DH139" s="20"/>
      <c r="DI139" s="708"/>
      <c r="DJ139" s="933"/>
      <c r="DK139" s="644"/>
      <c r="DL139" s="44"/>
      <c r="DM139" s="36"/>
      <c r="DN139" s="20"/>
      <c r="DO139" s="268"/>
      <c r="DP139" s="760"/>
      <c r="DQ139" s="40"/>
      <c r="DR139" s="310"/>
      <c r="DS139" s="36"/>
      <c r="DT139" s="20"/>
      <c r="DU139" s="708"/>
      <c r="DV139" s="781"/>
      <c r="DW139" s="40"/>
      <c r="DX139" s="44"/>
      <c r="DY139" s="44"/>
      <c r="DZ139" s="36"/>
      <c r="EA139" s="20"/>
      <c r="EB139" s="708"/>
      <c r="EC139" s="740"/>
      <c r="ED139" s="644"/>
      <c r="EE139" s="621" t="s">
        <v>80</v>
      </c>
      <c r="EF139" s="36"/>
      <c r="EG139" s="20"/>
      <c r="EH139" s="270"/>
      <c r="EI139" s="781"/>
      <c r="EJ139" s="40"/>
      <c r="EK139" s="44"/>
      <c r="EL139" s="36"/>
      <c r="EM139" s="20"/>
      <c r="EN139" s="270"/>
    </row>
    <row r="140" spans="1:144" ht="17.25" thickTop="1" thickBot="1" x14ac:dyDescent="0.25">
      <c r="A140" s="6" t="s">
        <v>145</v>
      </c>
      <c r="B140" s="961"/>
      <c r="C140" s="34">
        <f>C139+1</f>
        <v>46073</v>
      </c>
      <c r="D140" s="1"/>
      <c r="E140" s="23"/>
      <c r="F140" s="526"/>
      <c r="G140" s="23"/>
      <c r="H140" s="1"/>
      <c r="I140" s="528"/>
      <c r="J140" s="664"/>
      <c r="K140" s="139"/>
      <c r="L140" s="109"/>
      <c r="M140" s="109"/>
      <c r="N140" s="110"/>
      <c r="O140" s="23"/>
      <c r="P140" s="623"/>
      <c r="Q140" s="664"/>
      <c r="R140" s="109"/>
      <c r="S140" s="664"/>
      <c r="T140" s="109"/>
      <c r="U140" s="139"/>
      <c r="V140" s="109"/>
      <c r="W140" s="23"/>
      <c r="X140" s="270"/>
      <c r="Y140" s="647"/>
      <c r="Z140" s="111"/>
      <c r="AA140" s="144"/>
      <c r="AB140" s="109"/>
      <c r="AC140" s="110"/>
      <c r="AD140" s="21"/>
      <c r="AE140" s="270"/>
      <c r="AF140" s="647"/>
      <c r="AG140" s="647"/>
      <c r="AH140" s="647"/>
      <c r="AI140" s="647"/>
      <c r="AJ140" s="111"/>
      <c r="AK140" s="144"/>
      <c r="AL140" s="109"/>
      <c r="AM140" s="110"/>
      <c r="AN140" s="21"/>
      <c r="AO140" s="270"/>
      <c r="AP140" s="720"/>
      <c r="AQ140" s="311"/>
      <c r="AR140" s="313"/>
      <c r="AS140" s="313"/>
      <c r="AT140" s="315"/>
      <c r="AU140" s="21"/>
      <c r="AV140" s="270"/>
      <c r="AW140" s="760"/>
      <c r="AX140" s="45"/>
      <c r="AY140" s="46"/>
      <c r="AZ140" s="59"/>
      <c r="BA140" s="64"/>
      <c r="BB140" s="21"/>
      <c r="BC140" s="660"/>
      <c r="BD140" s="645"/>
      <c r="BE140" s="312"/>
      <c r="BF140" s="48"/>
      <c r="BG140" s="21"/>
      <c r="BH140" s="270"/>
      <c r="BI140" s="660"/>
      <c r="BJ140" s="645"/>
      <c r="BK140" s="312"/>
      <c r="BL140" s="48"/>
      <c r="BM140" s="21"/>
      <c r="BN140" s="270"/>
      <c r="BO140" s="948"/>
      <c r="BP140" s="310"/>
      <c r="BQ140" s="1118"/>
      <c r="BR140" s="1133" t="s">
        <v>48</v>
      </c>
      <c r="BS140" s="696"/>
      <c r="BT140" s="48"/>
      <c r="BU140" s="21"/>
      <c r="BV140" s="270"/>
      <c r="BW140" s="760"/>
      <c r="BX140" s="67"/>
      <c r="BY140" s="47"/>
      <c r="BZ140" s="48"/>
      <c r="CA140" s="21"/>
      <c r="CB140" s="270"/>
      <c r="CC140" s="816"/>
      <c r="CD140" s="311"/>
      <c r="CE140" s="59"/>
      <c r="CF140" s="64"/>
      <c r="CG140" s="21"/>
      <c r="CH140" s="270"/>
      <c r="CI140" s="672"/>
      <c r="CJ140" s="696"/>
      <c r="CK140" s="59"/>
      <c r="CL140" s="64"/>
      <c r="CM140" s="21"/>
      <c r="CN140" s="709"/>
      <c r="CO140" s="760"/>
      <c r="CP140" s="45"/>
      <c r="CQ140" s="59"/>
      <c r="CR140" s="64"/>
      <c r="CS140" s="21"/>
      <c r="CT140" s="270"/>
      <c r="CU140" s="813"/>
      <c r="CV140" s="738"/>
      <c r="CW140" s="199"/>
      <c r="CX140" s="200"/>
      <c r="CY140" s="567"/>
      <c r="CZ140" s="813"/>
      <c r="DA140" s="21"/>
      <c r="DB140" s="709"/>
      <c r="DC140" s="1105"/>
      <c r="DD140" s="45"/>
      <c r="DE140" s="692"/>
      <c r="DF140" s="183" t="s">
        <v>48</v>
      </c>
      <c r="DG140" s="64"/>
      <c r="DH140" s="20"/>
      <c r="DI140" s="709"/>
      <c r="DJ140" s="983"/>
      <c r="DK140" s="645"/>
      <c r="DL140" s="183" t="s">
        <v>48</v>
      </c>
      <c r="DM140" s="64"/>
      <c r="DN140" s="20"/>
      <c r="DO140" s="268"/>
      <c r="DP140" s="760"/>
      <c r="DQ140" s="45"/>
      <c r="DR140" s="59"/>
      <c r="DS140" s="64"/>
      <c r="DT140" s="20"/>
      <c r="DU140" s="709"/>
      <c r="DV140" s="782"/>
      <c r="DW140" s="45"/>
      <c r="DX140" s="59"/>
      <c r="DY140" s="59"/>
      <c r="DZ140" s="64"/>
      <c r="EA140" s="20"/>
      <c r="EB140" s="709"/>
      <c r="EC140" s="740"/>
      <c r="ED140" s="645"/>
      <c r="EE140" s="183" t="s">
        <v>48</v>
      </c>
      <c r="EF140" s="64"/>
      <c r="EG140" s="20"/>
      <c r="EH140" s="270"/>
      <c r="EI140" s="781"/>
      <c r="EJ140" s="45"/>
      <c r="EK140" s="59"/>
      <c r="EL140" s="64"/>
      <c r="EM140" s="20"/>
      <c r="EN140" s="270"/>
    </row>
    <row r="141" spans="1:144" ht="48" customHeight="1" thickTop="1" thickBot="1" x14ac:dyDescent="0.25">
      <c r="A141" s="6" t="s">
        <v>145</v>
      </c>
      <c r="B141" s="959">
        <f>B136+1</f>
        <v>9</v>
      </c>
      <c r="C141" s="89">
        <f>C136+7</f>
        <v>46076</v>
      </c>
      <c r="D141" s="4"/>
      <c r="E141" s="24"/>
      <c r="F141" s="525"/>
      <c r="G141" s="806" t="s">
        <v>364</v>
      </c>
      <c r="H141" s="4"/>
      <c r="I141" s="707" t="s">
        <v>99</v>
      </c>
      <c r="J141" s="664"/>
      <c r="K141" s="133"/>
      <c r="L141" s="103"/>
      <c r="M141" s="103"/>
      <c r="N141" s="104"/>
      <c r="O141" s="24"/>
      <c r="P141" s="707" t="s">
        <v>99</v>
      </c>
      <c r="Q141" s="664"/>
      <c r="R141" s="103"/>
      <c r="S141" s="664"/>
      <c r="T141" s="103"/>
      <c r="U141" s="133"/>
      <c r="V141" s="103"/>
      <c r="W141" s="24"/>
      <c r="X141" s="707" t="s">
        <v>99</v>
      </c>
      <c r="Y141" s="647"/>
      <c r="Z141" s="133"/>
      <c r="AA141" s="145"/>
      <c r="AB141" s="103"/>
      <c r="AC141" s="104"/>
      <c r="AD141" s="21"/>
      <c r="AE141" s="707" t="s">
        <v>99</v>
      </c>
      <c r="AF141" s="647"/>
      <c r="AG141" s="647"/>
      <c r="AH141" s="647"/>
      <c r="AI141" s="647"/>
      <c r="AJ141" s="133"/>
      <c r="AK141" s="145"/>
      <c r="AL141" s="103"/>
      <c r="AM141" s="104"/>
      <c r="AN141" s="21"/>
      <c r="AO141" s="270"/>
      <c r="AP141" s="720"/>
      <c r="AQ141" s="314"/>
      <c r="AR141" s="308"/>
      <c r="AS141" s="308"/>
      <c r="AT141" s="306"/>
      <c r="AU141" s="21"/>
      <c r="AV141" s="270"/>
      <c r="AW141" s="760"/>
      <c r="AX141" s="61"/>
      <c r="AY141" s="51"/>
      <c r="AZ141" s="39"/>
      <c r="BA141" s="35"/>
      <c r="BB141" s="21"/>
      <c r="BC141" s="660"/>
      <c r="BD141" s="643" t="s">
        <v>60</v>
      </c>
      <c r="BE141" s="72"/>
      <c r="BF141" s="62"/>
      <c r="BG141" s="21"/>
      <c r="BH141" s="270"/>
      <c r="BI141" s="660"/>
      <c r="BJ141" s="643" t="s">
        <v>60</v>
      </c>
      <c r="BK141" s="72"/>
      <c r="BL141" s="62"/>
      <c r="BM141" s="21"/>
      <c r="BN141" s="270"/>
      <c r="BO141" s="948"/>
      <c r="BP141" s="308"/>
      <c r="BQ141" s="1117" t="s">
        <v>372</v>
      </c>
      <c r="BR141" s="314"/>
      <c r="BS141" s="694" t="s">
        <v>60</v>
      </c>
      <c r="BT141" s="306"/>
      <c r="BU141" s="21"/>
      <c r="BV141" s="270"/>
      <c r="BW141" s="760"/>
      <c r="BX141" s="132"/>
      <c r="BY141" s="56"/>
      <c r="BZ141" s="57"/>
      <c r="CA141" s="21"/>
      <c r="CB141" s="270"/>
      <c r="CC141" s="816"/>
      <c r="CD141" s="314"/>
      <c r="CE141" s="39"/>
      <c r="CF141" s="35"/>
      <c r="CG141" s="21"/>
      <c r="CH141" s="707" t="s">
        <v>66</v>
      </c>
      <c r="CI141" s="672"/>
      <c r="CJ141" s="701" t="s">
        <v>156</v>
      </c>
      <c r="CK141" s="39"/>
      <c r="CL141" s="35"/>
      <c r="CM141" s="21"/>
      <c r="CN141" s="273"/>
      <c r="CO141" s="760"/>
      <c r="CP141" s="61"/>
      <c r="CQ141" s="39"/>
      <c r="CR141" s="35"/>
      <c r="CS141" s="21"/>
      <c r="CT141" s="270"/>
      <c r="CU141" s="813"/>
      <c r="CV141" s="736" t="s">
        <v>280</v>
      </c>
      <c r="CW141" s="58"/>
      <c r="CX141" s="201"/>
      <c r="CY141" s="567"/>
      <c r="CZ141" s="862" t="s">
        <v>39</v>
      </c>
      <c r="DA141" s="21"/>
      <c r="DB141" s="707" t="s">
        <v>69</v>
      </c>
      <c r="DC141" s="757" t="s">
        <v>26</v>
      </c>
      <c r="DD141" s="61"/>
      <c r="DE141" s="39"/>
      <c r="DF141" s="39"/>
      <c r="DG141" s="35"/>
      <c r="DH141" s="20"/>
      <c r="DI141" s="707" t="s">
        <v>69</v>
      </c>
      <c r="DJ141" s="760" t="s">
        <v>26</v>
      </c>
      <c r="DK141" s="61"/>
      <c r="DL141" s="39"/>
      <c r="DM141" s="35"/>
      <c r="DN141" s="20"/>
      <c r="DO141" s="268"/>
      <c r="DP141" s="760"/>
      <c r="DQ141" s="61"/>
      <c r="DR141" s="39"/>
      <c r="DS141" s="35"/>
      <c r="DT141" s="20"/>
      <c r="DU141" s="270"/>
      <c r="DV141" s="788" t="s">
        <v>340</v>
      </c>
      <c r="DW141" s="61"/>
      <c r="DX141" s="690" t="s">
        <v>109</v>
      </c>
      <c r="DY141" s="39"/>
      <c r="DZ141" s="35"/>
      <c r="EA141" s="20"/>
      <c r="EB141" s="707" t="s">
        <v>69</v>
      </c>
      <c r="EC141" s="760" t="s">
        <v>26</v>
      </c>
      <c r="ED141" s="61"/>
      <c r="EE141" s="39"/>
      <c r="EF141" s="35"/>
      <c r="EG141" s="20"/>
      <c r="EH141" s="270"/>
      <c r="EI141" s="781"/>
      <c r="EJ141" s="61"/>
      <c r="EL141" s="35"/>
      <c r="EM141" s="20"/>
      <c r="EN141" s="270"/>
    </row>
    <row r="142" spans="1:144" ht="19.899999999999999" customHeight="1" thickTop="1" thickBot="1" x14ac:dyDescent="0.25">
      <c r="A142" s="6" t="s">
        <v>145</v>
      </c>
      <c r="B142" s="960"/>
      <c r="C142" s="33">
        <f>C141+1</f>
        <v>46077</v>
      </c>
      <c r="D142" s="1"/>
      <c r="E142" s="23"/>
      <c r="F142" s="526"/>
      <c r="G142" s="807"/>
      <c r="H142" s="1"/>
      <c r="I142" s="708"/>
      <c r="J142" s="664"/>
      <c r="K142" s="124"/>
      <c r="L142" s="126"/>
      <c r="M142" s="126"/>
      <c r="N142" s="127"/>
      <c r="O142" s="23"/>
      <c r="P142" s="708"/>
      <c r="Q142" s="664"/>
      <c r="R142" s="126"/>
      <c r="S142" s="664"/>
      <c r="T142" s="126"/>
      <c r="U142" s="124"/>
      <c r="V142" s="126"/>
      <c r="W142" s="23"/>
      <c r="X142" s="708"/>
      <c r="Y142" s="647"/>
      <c r="Z142" s="124"/>
      <c r="AA142" s="125"/>
      <c r="AB142" s="126"/>
      <c r="AC142" s="127"/>
      <c r="AD142" s="21"/>
      <c r="AE142" s="708"/>
      <c r="AF142" s="647"/>
      <c r="AG142" s="647"/>
      <c r="AH142" s="647"/>
      <c r="AI142" s="647"/>
      <c r="AJ142" s="124"/>
      <c r="AK142" s="125"/>
      <c r="AL142" s="126"/>
      <c r="AM142" s="127"/>
      <c r="AN142" s="21"/>
      <c r="AO142" s="270"/>
      <c r="AP142" s="720"/>
      <c r="AQ142" s="147"/>
      <c r="AR142" s="310"/>
      <c r="AS142" s="310"/>
      <c r="AT142" s="307"/>
      <c r="AU142" s="21"/>
      <c r="AV142" s="270"/>
      <c r="AW142" s="760"/>
      <c r="AX142" s="40"/>
      <c r="AY142" s="41"/>
      <c r="AZ142" s="44"/>
      <c r="BA142" s="36"/>
      <c r="BB142" s="21"/>
      <c r="BC142" s="660"/>
      <c r="BD142" s="644"/>
      <c r="BE142" s="50"/>
      <c r="BF142" s="43"/>
      <c r="BG142" s="21"/>
      <c r="BH142" s="270"/>
      <c r="BI142" s="660"/>
      <c r="BJ142" s="644"/>
      <c r="BK142" s="50"/>
      <c r="BL142" s="43"/>
      <c r="BM142" s="21"/>
      <c r="BN142" s="270"/>
      <c r="BO142" s="948"/>
      <c r="BP142" s="310"/>
      <c r="BQ142" s="1117"/>
      <c r="BR142" s="309"/>
      <c r="BS142" s="695"/>
      <c r="BT142" s="307"/>
      <c r="BU142" s="21"/>
      <c r="BV142" s="270"/>
      <c r="BW142" s="760"/>
      <c r="BX142" s="40"/>
      <c r="BY142" s="44"/>
      <c r="BZ142" s="36"/>
      <c r="CA142" s="21"/>
      <c r="CB142" s="270"/>
      <c r="CC142" s="816"/>
      <c r="CD142" s="309"/>
      <c r="CE142" s="44"/>
      <c r="CF142" s="36"/>
      <c r="CG142" s="21"/>
      <c r="CH142" s="708"/>
      <c r="CI142" s="672"/>
      <c r="CJ142" s="702"/>
      <c r="CK142" s="44"/>
      <c r="CL142" s="36"/>
      <c r="CM142" s="21"/>
      <c r="CN142" s="274"/>
      <c r="CO142" s="760"/>
      <c r="CP142" s="40"/>
      <c r="CQ142" s="44"/>
      <c r="CR142" s="36"/>
      <c r="CS142" s="21"/>
      <c r="CT142" s="270"/>
      <c r="CU142" s="813"/>
      <c r="CV142" s="737"/>
      <c r="CW142" s="42"/>
      <c r="CX142" s="43"/>
      <c r="CY142" s="567"/>
      <c r="CZ142" s="862"/>
      <c r="DA142" s="21"/>
      <c r="DB142" s="708"/>
      <c r="DC142" s="757"/>
      <c r="DD142" s="40"/>
      <c r="DE142" s="44"/>
      <c r="DF142" s="44"/>
      <c r="DG142" s="36"/>
      <c r="DH142" s="20"/>
      <c r="DI142" s="708"/>
      <c r="DJ142" s="760"/>
      <c r="DK142" s="40"/>
      <c r="DL142" s="44"/>
      <c r="DM142" s="36"/>
      <c r="DN142" s="20"/>
      <c r="DO142" s="268"/>
      <c r="DP142" s="760"/>
      <c r="DQ142" s="40"/>
      <c r="DR142" s="44"/>
      <c r="DS142" s="36"/>
      <c r="DT142" s="20"/>
      <c r="DU142" s="270"/>
      <c r="DV142" s="789"/>
      <c r="DW142" s="40"/>
      <c r="DX142" s="691"/>
      <c r="DY142" s="44"/>
      <c r="DZ142" s="36"/>
      <c r="EA142" s="20"/>
      <c r="EB142" s="708"/>
      <c r="EC142" s="760"/>
      <c r="ED142" s="40"/>
      <c r="EE142" s="44"/>
      <c r="EF142" s="36"/>
      <c r="EG142" s="20"/>
      <c r="EH142" s="270"/>
      <c r="EI142" s="781"/>
      <c r="EJ142" s="40"/>
      <c r="EK142" s="44"/>
      <c r="EL142" s="36"/>
      <c r="EM142" s="20"/>
      <c r="EN142" s="270"/>
    </row>
    <row r="143" spans="1:144" ht="19.899999999999999" customHeight="1" thickTop="1" thickBot="1" x14ac:dyDescent="0.25">
      <c r="A143" s="6" t="s">
        <v>145</v>
      </c>
      <c r="B143" s="960"/>
      <c r="C143" s="33">
        <f>C142+1</f>
        <v>46078</v>
      </c>
      <c r="D143" s="1"/>
      <c r="E143" s="23"/>
      <c r="F143" s="526"/>
      <c r="G143" s="807"/>
      <c r="H143" s="1"/>
      <c r="I143" s="708"/>
      <c r="J143" s="664"/>
      <c r="K143" s="124"/>
      <c r="L143" s="126"/>
      <c r="M143" s="126"/>
      <c r="N143" s="127"/>
      <c r="O143" s="23"/>
      <c r="P143" s="708"/>
      <c r="Q143" s="664"/>
      <c r="R143" s="126"/>
      <c r="S143" s="664"/>
      <c r="T143" s="126"/>
      <c r="U143" s="124"/>
      <c r="V143" s="126"/>
      <c r="W143" s="23"/>
      <c r="X143" s="708"/>
      <c r="Y143" s="647"/>
      <c r="Z143" s="124"/>
      <c r="AA143" s="125"/>
      <c r="AB143" s="126"/>
      <c r="AC143" s="127"/>
      <c r="AD143" s="21"/>
      <c r="AE143" s="708"/>
      <c r="AF143" s="647"/>
      <c r="AG143" s="647"/>
      <c r="AH143" s="647"/>
      <c r="AI143" s="647"/>
      <c r="AJ143" s="124"/>
      <c r="AK143" s="125"/>
      <c r="AL143" s="126"/>
      <c r="AM143" s="127"/>
      <c r="AN143" s="21"/>
      <c r="AO143" s="270"/>
      <c r="AP143" s="720"/>
      <c r="AQ143" s="147"/>
      <c r="AR143" s="310"/>
      <c r="AS143" s="310"/>
      <c r="AT143" s="307"/>
      <c r="AU143" s="21"/>
      <c r="AV143" s="270"/>
      <c r="AW143" s="760"/>
      <c r="AX143" s="40"/>
      <c r="AY143" s="41"/>
      <c r="AZ143" s="44"/>
      <c r="BA143" s="36"/>
      <c r="BB143" s="21"/>
      <c r="BC143" s="660"/>
      <c r="BD143" s="644"/>
      <c r="BE143" s="50"/>
      <c r="BF143" s="60"/>
      <c r="BG143" s="21"/>
      <c r="BH143" s="270"/>
      <c r="BI143" s="660"/>
      <c r="BJ143" s="644"/>
      <c r="BK143" s="50"/>
      <c r="BL143" s="60"/>
      <c r="BM143" s="21"/>
      <c r="BN143" s="270"/>
      <c r="BO143" s="948"/>
      <c r="BP143" s="310"/>
      <c r="BQ143" s="1117"/>
      <c r="BR143" s="309"/>
      <c r="BS143" s="695"/>
      <c r="BT143" s="307"/>
      <c r="BU143" s="21"/>
      <c r="BV143" s="270"/>
      <c r="BW143" s="760"/>
      <c r="BX143" s="40"/>
      <c r="BY143" s="44"/>
      <c r="BZ143" s="36"/>
      <c r="CA143" s="21"/>
      <c r="CB143" s="270"/>
      <c r="CC143" s="816"/>
      <c r="CD143" s="309"/>
      <c r="CE143" s="44"/>
      <c r="CF143" s="36"/>
      <c r="CG143" s="21"/>
      <c r="CH143" s="708"/>
      <c r="CI143" s="672"/>
      <c r="CJ143" s="702"/>
      <c r="CK143" s="44"/>
      <c r="CL143" s="36"/>
      <c r="CM143" s="21"/>
      <c r="CN143" s="274"/>
      <c r="CO143" s="760"/>
      <c r="CP143" s="40"/>
      <c r="CQ143" s="44"/>
      <c r="CR143" s="36"/>
      <c r="CS143" s="21"/>
      <c r="CT143" s="270"/>
      <c r="CU143" s="813"/>
      <c r="CV143" s="737"/>
      <c r="CW143" s="42"/>
      <c r="CX143" s="43"/>
      <c r="CY143" s="567"/>
      <c r="CZ143" s="862"/>
      <c r="DA143" s="21"/>
      <c r="DB143" s="708"/>
      <c r="DC143" s="757"/>
      <c r="DD143" s="40"/>
      <c r="DE143" s="44"/>
      <c r="DF143" s="44"/>
      <c r="DG143" s="36"/>
      <c r="DH143" s="20"/>
      <c r="DI143" s="708"/>
      <c r="DJ143" s="760"/>
      <c r="DK143" s="40"/>
      <c r="DL143" s="44"/>
      <c r="DM143" s="36"/>
      <c r="DN143" s="20"/>
      <c r="DO143" s="268"/>
      <c r="DP143" s="760"/>
      <c r="DQ143" s="40"/>
      <c r="DR143" s="44"/>
      <c r="DS143" s="36"/>
      <c r="DT143" s="20"/>
      <c r="DU143" s="270"/>
      <c r="DV143" s="789"/>
      <c r="DW143" s="40"/>
      <c r="DX143" s="691"/>
      <c r="DY143" s="44"/>
      <c r="DZ143" s="36"/>
      <c r="EA143" s="20"/>
      <c r="EB143" s="708"/>
      <c r="EC143" s="760"/>
      <c r="ED143" s="40"/>
      <c r="EE143" s="44"/>
      <c r="EF143" s="36"/>
      <c r="EG143" s="20"/>
      <c r="EH143" s="270"/>
      <c r="EI143" s="781"/>
      <c r="EJ143" s="40"/>
      <c r="EK143" s="44"/>
      <c r="EL143" s="36"/>
      <c r="EM143" s="20"/>
      <c r="EN143" s="270"/>
    </row>
    <row r="144" spans="1:144" ht="17.25" thickTop="1" thickBot="1" x14ac:dyDescent="0.25">
      <c r="A144" s="6" t="s">
        <v>145</v>
      </c>
      <c r="B144" s="960"/>
      <c r="C144" s="33">
        <f>C143+1</f>
        <v>46079</v>
      </c>
      <c r="D144" s="1"/>
      <c r="G144" s="807"/>
      <c r="H144" s="1"/>
      <c r="I144" s="708"/>
      <c r="J144" s="664"/>
      <c r="K144" s="142"/>
      <c r="L144" s="105"/>
      <c r="M144" s="105"/>
      <c r="N144" s="143"/>
      <c r="O144" s="24"/>
      <c r="P144" s="708"/>
      <c r="Q144" s="664"/>
      <c r="R144" s="105"/>
      <c r="S144" s="664"/>
      <c r="T144" s="105"/>
      <c r="U144" s="142"/>
      <c r="V144" s="105"/>
      <c r="W144" s="24"/>
      <c r="X144" s="708"/>
      <c r="Y144" s="647"/>
      <c r="Z144" s="142"/>
      <c r="AA144" s="146"/>
      <c r="AB144" s="105"/>
      <c r="AC144" s="143"/>
      <c r="AD144" s="21"/>
      <c r="AE144" s="708"/>
      <c r="AF144" s="647"/>
      <c r="AG144" s="647"/>
      <c r="AH144" s="647"/>
      <c r="AI144" s="647"/>
      <c r="AJ144" s="142"/>
      <c r="AK144" s="146"/>
      <c r="AL144" s="105"/>
      <c r="AM144" s="143"/>
      <c r="AN144" s="21"/>
      <c r="AO144" s="270"/>
      <c r="AP144" s="720"/>
      <c r="AQ144" s="147"/>
      <c r="AR144" s="310"/>
      <c r="AS144" s="310"/>
      <c r="AT144" s="307"/>
      <c r="AU144" s="21"/>
      <c r="AV144" s="270"/>
      <c r="AW144" s="760"/>
      <c r="AX144" s="73"/>
      <c r="AY144" s="52"/>
      <c r="AZ144" s="50"/>
      <c r="BA144" s="43"/>
      <c r="BB144" s="21"/>
      <c r="BC144" s="660"/>
      <c r="BD144" s="644"/>
      <c r="BE144" s="310"/>
      <c r="BF144" s="43"/>
      <c r="BG144" s="21"/>
      <c r="BH144" s="270"/>
      <c r="BI144" s="660"/>
      <c r="BJ144" s="644"/>
      <c r="BK144" s="44"/>
      <c r="BL144" s="43"/>
      <c r="BM144" s="21"/>
      <c r="BN144" s="270"/>
      <c r="BO144" s="948"/>
      <c r="BP144" s="310"/>
      <c r="BQ144" s="1117"/>
      <c r="BR144" s="309"/>
      <c r="BS144" s="695"/>
      <c r="BT144" s="307"/>
      <c r="BU144" s="21"/>
      <c r="BV144" s="270"/>
      <c r="BW144" s="760"/>
      <c r="BX144" s="40"/>
      <c r="BY144" s="42"/>
      <c r="BZ144" s="43"/>
      <c r="CA144" s="21"/>
      <c r="CB144" s="270"/>
      <c r="CC144" s="816"/>
      <c r="CD144" s="309"/>
      <c r="CE144" s="44"/>
      <c r="CF144" s="36"/>
      <c r="CG144" s="21"/>
      <c r="CH144" s="708"/>
      <c r="CI144" s="672"/>
      <c r="CJ144" s="702"/>
      <c r="CK144" s="116" t="s">
        <v>61</v>
      </c>
      <c r="CL144" s="36"/>
      <c r="CM144" s="21"/>
      <c r="CN144" s="274"/>
      <c r="CO144" s="760"/>
      <c r="CP144" s="40"/>
      <c r="CQ144" s="44"/>
      <c r="CR144" s="36"/>
      <c r="CS144" s="21"/>
      <c r="CT144" s="270"/>
      <c r="CU144" s="813"/>
      <c r="CV144" s="737"/>
      <c r="CW144" s="116" t="s">
        <v>61</v>
      </c>
      <c r="CX144" s="43"/>
      <c r="CY144" s="567"/>
      <c r="CZ144" s="862"/>
      <c r="DA144" s="21"/>
      <c r="DB144" s="708"/>
      <c r="DC144" s="757"/>
      <c r="DD144" s="40"/>
      <c r="DE144" s="44"/>
      <c r="DF144" s="44"/>
      <c r="DG144" s="36"/>
      <c r="DH144" s="20"/>
      <c r="DI144" s="708"/>
      <c r="DJ144" s="760"/>
      <c r="DK144" s="40"/>
      <c r="DL144" s="44"/>
      <c r="DM144" s="36"/>
      <c r="DN144" s="20"/>
      <c r="DO144" s="268"/>
      <c r="DP144" s="760"/>
      <c r="DQ144" s="40"/>
      <c r="DR144" s="44"/>
      <c r="DS144" s="36"/>
      <c r="DT144" s="20"/>
      <c r="DU144" s="270"/>
      <c r="DV144" s="789"/>
      <c r="DW144" s="40"/>
      <c r="DX144" s="691"/>
      <c r="DY144" s="622" t="s">
        <v>80</v>
      </c>
      <c r="DZ144" s="36"/>
      <c r="EA144" s="20"/>
      <c r="EB144" s="708"/>
      <c r="EC144" s="760"/>
      <c r="ED144" s="40"/>
      <c r="EE144" s="44"/>
      <c r="EF144" s="36"/>
      <c r="EG144" s="20"/>
      <c r="EH144" s="270"/>
      <c r="EI144" s="781"/>
      <c r="EJ144" s="40"/>
      <c r="EK144" s="44"/>
      <c r="EL144" s="36"/>
      <c r="EM144" s="20"/>
      <c r="EN144" s="270"/>
    </row>
    <row r="145" spans="1:144" ht="17.25" customHeight="1" thickTop="1" thickBot="1" x14ac:dyDescent="0.25">
      <c r="A145" s="6" t="s">
        <v>145</v>
      </c>
      <c r="B145" s="961"/>
      <c r="C145" s="34">
        <f>C144+1</f>
        <v>46080</v>
      </c>
      <c r="D145" s="1"/>
      <c r="E145" s="23"/>
      <c r="F145" s="526"/>
      <c r="G145" s="807"/>
      <c r="H145" s="1"/>
      <c r="I145" s="709"/>
      <c r="J145" s="664"/>
      <c r="K145" s="111"/>
      <c r="L145" s="109"/>
      <c r="M145" s="109"/>
      <c r="N145" s="110"/>
      <c r="O145" s="23"/>
      <c r="P145" s="709"/>
      <c r="Q145" s="664"/>
      <c r="R145" s="109"/>
      <c r="S145" s="664"/>
      <c r="T145" s="109"/>
      <c r="U145" s="111"/>
      <c r="V145" s="109"/>
      <c r="W145" s="23"/>
      <c r="X145" s="709"/>
      <c r="Y145" s="648"/>
      <c r="Z145" s="111"/>
      <c r="AA145" s="144"/>
      <c r="AB145" s="109"/>
      <c r="AC145" s="110"/>
      <c r="AD145" s="21"/>
      <c r="AE145" s="709"/>
      <c r="AF145" s="648"/>
      <c r="AG145" s="648"/>
      <c r="AH145" s="648"/>
      <c r="AI145" s="648"/>
      <c r="AJ145" s="111"/>
      <c r="AK145" s="144"/>
      <c r="AL145" s="109"/>
      <c r="AM145" s="110"/>
      <c r="AN145" s="21"/>
      <c r="AO145" s="270"/>
      <c r="AP145" s="720"/>
      <c r="AQ145" s="311"/>
      <c r="AR145" s="313"/>
      <c r="AS145" s="313"/>
      <c r="AT145" s="315"/>
      <c r="AU145" s="21"/>
      <c r="AV145" s="270"/>
      <c r="AW145" s="760"/>
      <c r="AX145" s="45"/>
      <c r="AY145" s="46"/>
      <c r="AZ145" s="59"/>
      <c r="BA145" s="64"/>
      <c r="BB145" s="21"/>
      <c r="BC145" s="660"/>
      <c r="BD145" s="645"/>
      <c r="BE145" s="313"/>
      <c r="BF145" s="48"/>
      <c r="BG145" s="21"/>
      <c r="BH145" s="270"/>
      <c r="BI145" s="660"/>
      <c r="BJ145" s="645"/>
      <c r="BK145" s="59"/>
      <c r="BL145" s="48"/>
      <c r="BM145" s="21"/>
      <c r="BN145" s="270"/>
      <c r="BO145" s="948"/>
      <c r="BP145" s="313"/>
      <c r="BQ145" s="1117"/>
      <c r="BR145" s="311"/>
      <c r="BS145" s="696"/>
      <c r="BT145" s="315"/>
      <c r="BU145" s="21"/>
      <c r="BV145" s="270"/>
      <c r="BW145" s="760"/>
      <c r="BX145" s="67"/>
      <c r="BY145" s="47"/>
      <c r="BZ145" s="48"/>
      <c r="CA145" s="21"/>
      <c r="CB145" s="270"/>
      <c r="CC145" s="817"/>
      <c r="CD145" s="311"/>
      <c r="CE145" s="59"/>
      <c r="CF145" s="64"/>
      <c r="CG145" s="21"/>
      <c r="CH145" s="709"/>
      <c r="CI145" s="673"/>
      <c r="CJ145" s="703"/>
      <c r="CK145" s="88" t="s">
        <v>48</v>
      </c>
      <c r="CL145" s="64"/>
      <c r="CM145" s="21"/>
      <c r="CN145" s="275"/>
      <c r="CO145" s="760"/>
      <c r="CP145" s="45"/>
      <c r="CQ145" s="59"/>
      <c r="CR145" s="64"/>
      <c r="CS145" s="21"/>
      <c r="CT145" s="270"/>
      <c r="CU145" s="839"/>
      <c r="CV145" s="738"/>
      <c r="CW145" s="88" t="s">
        <v>48</v>
      </c>
      <c r="CX145" s="200"/>
      <c r="CY145" s="567"/>
      <c r="CZ145" s="862"/>
      <c r="DA145" s="21"/>
      <c r="DB145" s="709"/>
      <c r="DC145" s="757"/>
      <c r="DD145" s="45"/>
      <c r="DE145" s="59"/>
      <c r="DF145" s="59"/>
      <c r="DG145" s="64"/>
      <c r="DH145" s="20"/>
      <c r="DI145" s="709"/>
      <c r="DJ145" s="760"/>
      <c r="DK145" s="45"/>
      <c r="DL145" s="59"/>
      <c r="DM145" s="64"/>
      <c r="DN145" s="20"/>
      <c r="DO145" s="268"/>
      <c r="DP145" s="761"/>
      <c r="DQ145" s="45"/>
      <c r="DR145" s="59"/>
      <c r="DS145" s="64"/>
      <c r="DT145" s="20"/>
      <c r="DU145" s="270"/>
      <c r="DV145" s="789"/>
      <c r="DW145" s="45"/>
      <c r="DX145" s="692"/>
      <c r="DY145" s="59"/>
      <c r="DZ145" s="64"/>
      <c r="EA145" s="20"/>
      <c r="EB145" s="709"/>
      <c r="EC145" s="760"/>
      <c r="ED145" s="45"/>
      <c r="EE145" s="59"/>
      <c r="EF145" s="64"/>
      <c r="EG145" s="20"/>
      <c r="EH145" s="270"/>
      <c r="EI145" s="781"/>
      <c r="EJ145" s="45"/>
      <c r="EK145" s="59"/>
      <c r="EL145" s="64"/>
      <c r="EM145" s="20"/>
      <c r="EN145" s="270"/>
    </row>
    <row r="146" spans="1:144" ht="19.899999999999999" customHeight="1" thickTop="1" thickBot="1" x14ac:dyDescent="0.25">
      <c r="A146" s="6" t="s">
        <v>150</v>
      </c>
      <c r="B146" s="959">
        <f>B141+1</f>
        <v>10</v>
      </c>
      <c r="C146" s="89">
        <f>C141+7</f>
        <v>46083</v>
      </c>
      <c r="D146" s="4"/>
      <c r="E146" s="23"/>
      <c r="F146" s="526"/>
      <c r="G146" s="807"/>
      <c r="H146" s="4"/>
      <c r="I146" s="707" t="s">
        <v>99</v>
      </c>
      <c r="J146" s="671" t="s">
        <v>140</v>
      </c>
      <c r="K146" s="744">
        <v>1</v>
      </c>
      <c r="L146" s="694" t="s">
        <v>157</v>
      </c>
      <c r="M146" s="39"/>
      <c r="N146" s="62"/>
      <c r="O146" s="24"/>
      <c r="P146" s="707" t="s">
        <v>99</v>
      </c>
      <c r="Q146" s="671" t="s">
        <v>255</v>
      </c>
      <c r="R146" s="308"/>
      <c r="S146" s="671" t="s">
        <v>140</v>
      </c>
      <c r="T146" s="308"/>
      <c r="U146" s="744">
        <v>1</v>
      </c>
      <c r="V146" s="694" t="s">
        <v>157</v>
      </c>
      <c r="W146" s="24"/>
      <c r="X146" s="707" t="s">
        <v>99</v>
      </c>
      <c r="Y146" s="671" t="s">
        <v>255</v>
      </c>
      <c r="Z146" s="744">
        <v>1</v>
      </c>
      <c r="AA146" s="694" t="s">
        <v>270</v>
      </c>
      <c r="AB146" s="308"/>
      <c r="AC146" s="62"/>
      <c r="AD146" s="21"/>
      <c r="AE146" s="707" t="s">
        <v>99</v>
      </c>
      <c r="AF146" s="671" t="s">
        <v>358</v>
      </c>
      <c r="AG146" s="875" t="s">
        <v>359</v>
      </c>
      <c r="AH146" s="989" t="s">
        <v>349</v>
      </c>
      <c r="AI146" s="671" t="s">
        <v>152</v>
      </c>
      <c r="AJ146" s="744">
        <v>1</v>
      </c>
      <c r="AK146" s="694" t="s">
        <v>270</v>
      </c>
      <c r="AL146" s="39"/>
      <c r="AM146" s="62"/>
      <c r="AN146" s="21"/>
      <c r="AO146" s="270"/>
      <c r="AP146" s="720"/>
      <c r="AQ146" s="314"/>
      <c r="AR146" s="308"/>
      <c r="AS146" s="308"/>
      <c r="AT146" s="306"/>
      <c r="AU146" s="21"/>
      <c r="AV146" s="270"/>
      <c r="AW146" s="760"/>
      <c r="AX146" s="61"/>
      <c r="AY146" s="78"/>
      <c r="AZ146" s="39"/>
      <c r="BA146" s="35"/>
      <c r="BB146" s="21"/>
      <c r="BC146" s="660"/>
      <c r="BD146" s="655" t="s">
        <v>163</v>
      </c>
      <c r="BE146" s="308"/>
      <c r="BF146" s="62"/>
      <c r="BG146" s="21"/>
      <c r="BH146" s="270"/>
      <c r="BI146" s="660"/>
      <c r="BJ146" s="655" t="s">
        <v>163</v>
      </c>
      <c r="BK146" s="39"/>
      <c r="BL146" s="62"/>
      <c r="BM146" s="21"/>
      <c r="BN146" s="270"/>
      <c r="BO146" s="948"/>
      <c r="BP146" s="308"/>
      <c r="BQ146" s="1117"/>
      <c r="BR146" s="314"/>
      <c r="BS146" s="694" t="s">
        <v>164</v>
      </c>
      <c r="BT146" s="306"/>
      <c r="BU146" s="21"/>
      <c r="BV146" s="270"/>
      <c r="BW146" s="760"/>
      <c r="BX146" s="132"/>
      <c r="BY146" s="56"/>
      <c r="BZ146" s="57"/>
      <c r="CA146" s="21"/>
      <c r="CB146" s="270"/>
      <c r="CC146" s="995" t="s">
        <v>78</v>
      </c>
      <c r="CD146" s="900" t="s">
        <v>273</v>
      </c>
      <c r="CE146" s="39"/>
      <c r="CF146" s="35"/>
      <c r="CG146" s="21"/>
      <c r="CH146" s="707" t="s">
        <v>69</v>
      </c>
      <c r="CI146" s="917" t="s">
        <v>26</v>
      </c>
      <c r="CJ146" s="39"/>
      <c r="CK146" s="39"/>
      <c r="CL146" s="35"/>
      <c r="CM146" s="21"/>
      <c r="CN146" s="773" t="s">
        <v>155</v>
      </c>
      <c r="CO146" s="760"/>
      <c r="CP146" s="61"/>
      <c r="CQ146" s="39"/>
      <c r="CR146" s="35"/>
      <c r="CS146" s="21"/>
      <c r="CT146" s="707" t="s">
        <v>131</v>
      </c>
      <c r="CU146" s="862" t="s">
        <v>79</v>
      </c>
      <c r="CV146" s="736" t="s">
        <v>281</v>
      </c>
      <c r="CW146" s="58"/>
      <c r="CX146" s="201"/>
      <c r="CY146" s="567"/>
      <c r="CZ146" s="781" t="s">
        <v>26</v>
      </c>
      <c r="DA146" s="21"/>
      <c r="DB146" s="273"/>
      <c r="DC146" s="757"/>
      <c r="DD146" s="61"/>
      <c r="DE146" s="39"/>
      <c r="DF146" s="39"/>
      <c r="DG146" s="35"/>
      <c r="DH146" s="20"/>
      <c r="DI146" s="773" t="s">
        <v>155</v>
      </c>
      <c r="DJ146" s="760"/>
      <c r="DK146" s="61"/>
      <c r="DL146" s="39"/>
      <c r="DM146" s="35"/>
      <c r="DN146" s="20"/>
      <c r="DO146" s="710" t="s">
        <v>451</v>
      </c>
      <c r="DP146" s="766" t="s">
        <v>215</v>
      </c>
      <c r="DQ146" s="736" t="s">
        <v>277</v>
      </c>
      <c r="DR146" s="39"/>
      <c r="DS146" s="35"/>
      <c r="DT146" s="20"/>
      <c r="DU146" s="270"/>
      <c r="DV146" s="789"/>
      <c r="DW146" s="61"/>
      <c r="DX146" s="694" t="s">
        <v>156</v>
      </c>
      <c r="DY146" s="39"/>
      <c r="DZ146" s="35"/>
      <c r="EA146" s="20"/>
      <c r="EB146" s="773" t="s">
        <v>155</v>
      </c>
      <c r="EC146" s="760"/>
      <c r="ED146" s="61"/>
      <c r="EE146" s="39"/>
      <c r="EF146" s="35"/>
      <c r="EG146" s="20"/>
      <c r="EH146" s="707" t="s">
        <v>81</v>
      </c>
      <c r="EI146" s="781"/>
      <c r="EJ146" s="314"/>
      <c r="EK146" s="308"/>
      <c r="EL146" s="35"/>
      <c r="EM146" s="20"/>
      <c r="EN146" s="270"/>
    </row>
    <row r="147" spans="1:144" ht="19.899999999999999" customHeight="1" thickTop="1" thickBot="1" x14ac:dyDescent="0.25">
      <c r="A147" s="6" t="s">
        <v>150</v>
      </c>
      <c r="B147" s="960"/>
      <c r="C147" s="33">
        <f>C146+1</f>
        <v>46084</v>
      </c>
      <c r="D147" s="1"/>
      <c r="E147" s="23"/>
      <c r="F147" s="526"/>
      <c r="G147" s="807"/>
      <c r="H147" s="1"/>
      <c r="I147" s="708"/>
      <c r="J147" s="672"/>
      <c r="K147" s="745"/>
      <c r="L147" s="695"/>
      <c r="M147" s="42"/>
      <c r="N147" s="43"/>
      <c r="O147" s="23"/>
      <c r="P147" s="708"/>
      <c r="Q147" s="672"/>
      <c r="R147" s="42"/>
      <c r="S147" s="672"/>
      <c r="T147" s="42"/>
      <c r="U147" s="745"/>
      <c r="V147" s="695"/>
      <c r="W147" s="23"/>
      <c r="X147" s="708"/>
      <c r="Y147" s="672"/>
      <c r="Z147" s="745"/>
      <c r="AA147" s="695"/>
      <c r="AB147" s="42"/>
      <c r="AC147" s="43"/>
      <c r="AD147" s="21"/>
      <c r="AE147" s="708"/>
      <c r="AF147" s="672"/>
      <c r="AG147" s="876"/>
      <c r="AH147" s="658"/>
      <c r="AI147" s="672"/>
      <c r="AJ147" s="745"/>
      <c r="AK147" s="695"/>
      <c r="AL147" s="42"/>
      <c r="AM147" s="43"/>
      <c r="AN147" s="21"/>
      <c r="AO147" s="270"/>
      <c r="AP147" s="720"/>
      <c r="AQ147" s="147"/>
      <c r="AR147" s="310"/>
      <c r="AS147" s="310"/>
      <c r="AT147" s="307"/>
      <c r="AU147" s="21"/>
      <c r="AV147" s="270"/>
      <c r="AW147" s="760"/>
      <c r="AX147" s="73"/>
      <c r="AY147" s="75"/>
      <c r="AZ147" s="42"/>
      <c r="BA147" s="43"/>
      <c r="BB147" s="21"/>
      <c r="BC147" s="660"/>
      <c r="BD147" s="641"/>
      <c r="BE147" s="310"/>
      <c r="BF147" s="43"/>
      <c r="BG147" s="21"/>
      <c r="BH147" s="270"/>
      <c r="BI147" s="660"/>
      <c r="BJ147" s="641"/>
      <c r="BK147" s="44"/>
      <c r="BL147" s="43"/>
      <c r="BM147" s="21"/>
      <c r="BN147" s="270"/>
      <c r="BO147" s="948"/>
      <c r="BP147" s="310"/>
      <c r="BQ147" s="1117"/>
      <c r="BR147" s="309"/>
      <c r="BS147" s="695"/>
      <c r="BT147" s="307"/>
      <c r="BU147" s="21"/>
      <c r="BV147" s="270"/>
      <c r="BW147" s="760"/>
      <c r="BX147" s="63"/>
      <c r="BY147" s="42"/>
      <c r="BZ147" s="43"/>
      <c r="CA147" s="21"/>
      <c r="CB147" s="270"/>
      <c r="CC147" s="996"/>
      <c r="CD147" s="901"/>
      <c r="CE147" s="44"/>
      <c r="CF147" s="36"/>
      <c r="CG147" s="21"/>
      <c r="CH147" s="708"/>
      <c r="CI147" s="917"/>
      <c r="CJ147" s="44"/>
      <c r="CK147" s="44"/>
      <c r="CL147" s="36"/>
      <c r="CM147" s="21"/>
      <c r="CN147" s="774"/>
      <c r="CO147" s="760"/>
      <c r="CP147" s="40"/>
      <c r="CQ147" s="44"/>
      <c r="CR147" s="36"/>
      <c r="CS147" s="21"/>
      <c r="CT147" s="708"/>
      <c r="CU147" s="862"/>
      <c r="CV147" s="737"/>
      <c r="CW147" s="42"/>
      <c r="CX147" s="43"/>
      <c r="CY147" s="567"/>
      <c r="CZ147" s="781"/>
      <c r="DA147" s="21"/>
      <c r="DB147" s="274"/>
      <c r="DC147" s="757"/>
      <c r="DD147" s="40"/>
      <c r="DE147" s="44"/>
      <c r="DF147" s="44"/>
      <c r="DG147" s="36"/>
      <c r="DH147" s="20"/>
      <c r="DI147" s="774"/>
      <c r="DJ147" s="760"/>
      <c r="DK147" s="40"/>
      <c r="DL147" s="44"/>
      <c r="DM147" s="36"/>
      <c r="DN147" s="20"/>
      <c r="DO147" s="711"/>
      <c r="DP147" s="767"/>
      <c r="DQ147" s="737"/>
      <c r="DR147" s="44"/>
      <c r="DS147" s="36"/>
      <c r="DT147" s="20"/>
      <c r="DU147" s="270"/>
      <c r="DV147" s="789"/>
      <c r="DW147" s="40"/>
      <c r="DX147" s="695"/>
      <c r="DY147" s="44"/>
      <c r="DZ147" s="36"/>
      <c r="EA147" s="20"/>
      <c r="EB147" s="774"/>
      <c r="EC147" s="760"/>
      <c r="ED147" s="40"/>
      <c r="EE147" s="44"/>
      <c r="EF147" s="36"/>
      <c r="EG147" s="20"/>
      <c r="EH147" s="708"/>
      <c r="EI147" s="781"/>
      <c r="EJ147" s="309"/>
      <c r="EK147" s="310"/>
      <c r="EL147" s="36"/>
      <c r="EM147" s="20"/>
      <c r="EN147" s="270"/>
    </row>
    <row r="148" spans="1:144" ht="19.899999999999999" customHeight="1" thickTop="1" thickBot="1" x14ac:dyDescent="0.25">
      <c r="A148" s="6" t="s">
        <v>150</v>
      </c>
      <c r="B148" s="960"/>
      <c r="C148" s="33">
        <f>C147+1</f>
        <v>46085</v>
      </c>
      <c r="D148" s="1"/>
      <c r="E148" s="23"/>
      <c r="F148" s="526"/>
      <c r="G148" s="807"/>
      <c r="H148" s="1"/>
      <c r="I148" s="708"/>
      <c r="J148" s="672"/>
      <c r="K148" s="745"/>
      <c r="L148" s="695"/>
      <c r="M148" s="44"/>
      <c r="N148" s="65"/>
      <c r="O148" s="23"/>
      <c r="P148" s="708"/>
      <c r="Q148" s="672"/>
      <c r="R148" s="310"/>
      <c r="S148" s="672"/>
      <c r="T148" s="310"/>
      <c r="U148" s="745"/>
      <c r="V148" s="695"/>
      <c r="W148" s="23"/>
      <c r="X148" s="708"/>
      <c r="Y148" s="672"/>
      <c r="Z148" s="745"/>
      <c r="AA148" s="695"/>
      <c r="AB148" s="310"/>
      <c r="AC148" s="65"/>
      <c r="AD148" s="21"/>
      <c r="AE148" s="708"/>
      <c r="AF148" s="672"/>
      <c r="AG148" s="876"/>
      <c r="AH148" s="658"/>
      <c r="AI148" s="672"/>
      <c r="AJ148" s="745"/>
      <c r="AK148" s="695"/>
      <c r="AL148" s="44"/>
      <c r="AM148" s="65"/>
      <c r="AN148" s="21"/>
      <c r="AO148" s="270"/>
      <c r="AP148" s="720"/>
      <c r="AQ148" s="147"/>
      <c r="AR148" s="310"/>
      <c r="AS148" s="310"/>
      <c r="AT148" s="307"/>
      <c r="AU148" s="21"/>
      <c r="AV148" s="270"/>
      <c r="AW148" s="760"/>
      <c r="AX148" s="40"/>
      <c r="AY148" s="75"/>
      <c r="AZ148" s="44"/>
      <c r="BA148" s="36"/>
      <c r="BB148" s="21"/>
      <c r="BC148" s="660"/>
      <c r="BD148" s="641"/>
      <c r="BE148" s="310"/>
      <c r="BF148" s="60"/>
      <c r="BG148" s="21"/>
      <c r="BH148" s="270"/>
      <c r="BI148" s="660"/>
      <c r="BJ148" s="641"/>
      <c r="BK148" s="44"/>
      <c r="BL148" s="60"/>
      <c r="BM148" s="21"/>
      <c r="BN148" s="270"/>
      <c r="BO148" s="948"/>
      <c r="BP148" s="310"/>
      <c r="BQ148" s="1117"/>
      <c r="BR148" s="309"/>
      <c r="BS148" s="695"/>
      <c r="BT148" s="307"/>
      <c r="BU148" s="21"/>
      <c r="BV148" s="270"/>
      <c r="BW148" s="760"/>
      <c r="BX148" s="63"/>
      <c r="BY148" s="44"/>
      <c r="BZ148" s="36"/>
      <c r="CA148" s="21"/>
      <c r="CB148" s="270"/>
      <c r="CC148" s="996"/>
      <c r="CD148" s="901"/>
      <c r="CE148" s="44"/>
      <c r="CF148" s="36"/>
      <c r="CG148" s="21"/>
      <c r="CH148" s="708"/>
      <c r="CI148" s="917"/>
      <c r="CJ148" s="44"/>
      <c r="CK148" s="44"/>
      <c r="CL148" s="36"/>
      <c r="CM148" s="21"/>
      <c r="CN148" s="774"/>
      <c r="CO148" s="760"/>
      <c r="CP148" s="40"/>
      <c r="CQ148" s="44"/>
      <c r="CR148" s="36"/>
      <c r="CS148" s="21"/>
      <c r="CT148" s="708"/>
      <c r="CU148" s="862"/>
      <c r="CV148" s="737"/>
      <c r="CW148" s="42"/>
      <c r="CX148" s="43"/>
      <c r="CY148" s="567"/>
      <c r="CZ148" s="781"/>
      <c r="DA148" s="21"/>
      <c r="DB148" s="274"/>
      <c r="DC148" s="757"/>
      <c r="DD148" s="40"/>
      <c r="DE148" s="44"/>
      <c r="DF148" s="44"/>
      <c r="DG148" s="36"/>
      <c r="DH148" s="20"/>
      <c r="DI148" s="774"/>
      <c r="DJ148" s="760"/>
      <c r="DK148" s="40"/>
      <c r="DL148" s="44"/>
      <c r="DM148" s="36"/>
      <c r="DN148" s="20"/>
      <c r="DO148" s="711"/>
      <c r="DP148" s="767"/>
      <c r="DQ148" s="737"/>
      <c r="DR148" s="44"/>
      <c r="DS148" s="36"/>
      <c r="DT148" s="20"/>
      <c r="DU148" s="270"/>
      <c r="DV148" s="789"/>
      <c r="DW148" s="40"/>
      <c r="DX148" s="695"/>
      <c r="DY148" s="310"/>
      <c r="DZ148" s="36"/>
      <c r="EA148" s="20"/>
      <c r="EB148" s="774"/>
      <c r="EC148" s="760"/>
      <c r="ED148" s="40"/>
      <c r="EE148" s="44"/>
      <c r="EF148" s="36"/>
      <c r="EG148" s="20"/>
      <c r="EH148" s="708"/>
      <c r="EI148" s="781"/>
      <c r="EJ148" s="309"/>
      <c r="EK148" s="310"/>
      <c r="EL148" s="36"/>
      <c r="EM148" s="20"/>
      <c r="EN148" s="270"/>
    </row>
    <row r="149" spans="1:144" ht="17.25" thickTop="1" thickBot="1" x14ac:dyDescent="0.25">
      <c r="A149" s="6" t="s">
        <v>150</v>
      </c>
      <c r="B149" s="960"/>
      <c r="C149" s="33">
        <f>C148+1</f>
        <v>46086</v>
      </c>
      <c r="D149" s="1"/>
      <c r="E149" s="23"/>
      <c r="F149" s="526"/>
      <c r="G149" s="807"/>
      <c r="H149" s="1"/>
      <c r="I149" s="708"/>
      <c r="J149" s="672"/>
      <c r="K149" s="745"/>
      <c r="L149" s="695"/>
      <c r="M149" s="66" t="s">
        <v>80</v>
      </c>
      <c r="N149" s="65"/>
      <c r="O149" s="23"/>
      <c r="P149" s="708"/>
      <c r="Q149" s="672"/>
      <c r="R149" s="66" t="s">
        <v>80</v>
      </c>
      <c r="S149" s="672"/>
      <c r="T149" s="42"/>
      <c r="U149" s="745"/>
      <c r="V149" s="695"/>
      <c r="W149" s="23"/>
      <c r="X149" s="708"/>
      <c r="Y149" s="672"/>
      <c r="Z149" s="745"/>
      <c r="AA149" s="695"/>
      <c r="AB149" s="66" t="s">
        <v>80</v>
      </c>
      <c r="AC149" s="65"/>
      <c r="AD149" s="21"/>
      <c r="AE149" s="708"/>
      <c r="AF149" s="672"/>
      <c r="AG149" s="876"/>
      <c r="AH149" s="658"/>
      <c r="AI149" s="672"/>
      <c r="AJ149" s="745"/>
      <c r="AK149" s="695"/>
      <c r="AL149" s="66" t="s">
        <v>80</v>
      </c>
      <c r="AM149" s="65"/>
      <c r="AN149" s="21"/>
      <c r="AO149" s="270"/>
      <c r="AP149" s="720"/>
      <c r="AQ149" s="147"/>
      <c r="AR149" s="310"/>
      <c r="AS149" s="310"/>
      <c r="AT149" s="307"/>
      <c r="AU149" s="21"/>
      <c r="AV149" s="270"/>
      <c r="AW149" s="760"/>
      <c r="AX149" s="63"/>
      <c r="AY149" s="75"/>
      <c r="AZ149" s="50"/>
      <c r="BA149" s="60"/>
      <c r="BB149" s="21"/>
      <c r="BC149" s="660"/>
      <c r="BD149" s="641"/>
      <c r="BE149" s="86" t="s">
        <v>61</v>
      </c>
      <c r="BF149" s="43"/>
      <c r="BG149" s="21"/>
      <c r="BH149" s="270"/>
      <c r="BI149" s="660"/>
      <c r="BJ149" s="641"/>
      <c r="BK149" s="86" t="s">
        <v>61</v>
      </c>
      <c r="BL149" s="43"/>
      <c r="BM149" s="21"/>
      <c r="BN149" s="270"/>
      <c r="BO149" s="948"/>
      <c r="BP149" s="116" t="s">
        <v>61</v>
      </c>
      <c r="BQ149" s="1117"/>
      <c r="BR149" s="1134" t="s">
        <v>61</v>
      </c>
      <c r="BS149" s="695"/>
      <c r="BT149" s="307"/>
      <c r="BU149" s="21"/>
      <c r="BV149" s="270"/>
      <c r="BW149" s="760"/>
      <c r="BX149" s="40"/>
      <c r="BY149" s="50"/>
      <c r="BZ149" s="60"/>
      <c r="CA149" s="21"/>
      <c r="CB149" s="270"/>
      <c r="CC149" s="996"/>
      <c r="CD149" s="901"/>
      <c r="CE149" s="44"/>
      <c r="CF149" s="36"/>
      <c r="CG149" s="21"/>
      <c r="CH149" s="708"/>
      <c r="CI149" s="917"/>
      <c r="CJ149" s="44"/>
      <c r="CK149" s="44"/>
      <c r="CL149" s="36"/>
      <c r="CM149" s="21"/>
      <c r="CN149" s="774"/>
      <c r="CO149" s="760"/>
      <c r="CP149" s="40"/>
      <c r="CQ149" s="44"/>
      <c r="CR149" s="36"/>
      <c r="CS149" s="21"/>
      <c r="CT149" s="708"/>
      <c r="CU149" s="862"/>
      <c r="CV149" s="737"/>
      <c r="CW149" s="42"/>
      <c r="CX149" s="43"/>
      <c r="CY149" s="567"/>
      <c r="CZ149" s="781"/>
      <c r="DA149" s="21"/>
      <c r="DB149" s="274"/>
      <c r="DC149" s="757"/>
      <c r="DD149" s="40"/>
      <c r="DE149" s="44"/>
      <c r="DF149" s="44"/>
      <c r="DG149" s="36"/>
      <c r="DH149" s="20"/>
      <c r="DI149" s="774"/>
      <c r="DJ149" s="760"/>
      <c r="DK149" s="40"/>
      <c r="DL149" s="44"/>
      <c r="DM149" s="36"/>
      <c r="DN149" s="20"/>
      <c r="DO149" s="711"/>
      <c r="DP149" s="767"/>
      <c r="DQ149" s="737"/>
      <c r="DR149" s="44"/>
      <c r="DS149" s="36"/>
      <c r="DT149" s="20"/>
      <c r="DU149" s="270"/>
      <c r="DV149" s="789"/>
      <c r="DW149" s="40"/>
      <c r="DX149" s="695"/>
      <c r="DY149" s="66" t="s">
        <v>80</v>
      </c>
      <c r="DZ149" s="36"/>
      <c r="EA149" s="20"/>
      <c r="EB149" s="774"/>
      <c r="EC149" s="760"/>
      <c r="ED149" s="40"/>
      <c r="EE149" s="44"/>
      <c r="EF149" s="36"/>
      <c r="EG149" s="20"/>
      <c r="EH149" s="708"/>
      <c r="EI149" s="781"/>
      <c r="EJ149" s="309"/>
      <c r="EK149" s="310"/>
      <c r="EL149" s="36"/>
      <c r="EM149" s="20"/>
      <c r="EN149" s="270"/>
    </row>
    <row r="150" spans="1:144" ht="19.899999999999999" customHeight="1" thickTop="1" thickBot="1" x14ac:dyDescent="0.25">
      <c r="A150" s="6" t="s">
        <v>150</v>
      </c>
      <c r="B150" s="961"/>
      <c r="C150" s="34">
        <f>C149+1</f>
        <v>46087</v>
      </c>
      <c r="D150" s="1"/>
      <c r="E150" s="23"/>
      <c r="F150" s="526"/>
      <c r="G150" s="807"/>
      <c r="H150" s="1"/>
      <c r="I150" s="709"/>
      <c r="J150" s="672"/>
      <c r="K150" s="746"/>
      <c r="L150" s="696"/>
      <c r="M150" s="47"/>
      <c r="N150" s="48"/>
      <c r="O150" s="23"/>
      <c r="P150" s="709"/>
      <c r="Q150" s="672"/>
      <c r="R150" s="312"/>
      <c r="S150" s="672"/>
      <c r="T150" s="312"/>
      <c r="U150" s="746"/>
      <c r="V150" s="696"/>
      <c r="W150" s="23"/>
      <c r="X150" s="709"/>
      <c r="Y150" s="672"/>
      <c r="Z150" s="746"/>
      <c r="AA150" s="696"/>
      <c r="AB150" s="312"/>
      <c r="AC150" s="48"/>
      <c r="AD150" s="21"/>
      <c r="AE150" s="709"/>
      <c r="AF150" s="672"/>
      <c r="AG150" s="876"/>
      <c r="AH150" s="658"/>
      <c r="AI150" s="672"/>
      <c r="AJ150" s="746"/>
      <c r="AK150" s="696"/>
      <c r="AL150" s="47"/>
      <c r="AM150" s="48"/>
      <c r="AN150" s="21"/>
      <c r="AO150" s="270"/>
      <c r="AP150" s="720"/>
      <c r="AQ150" s="311"/>
      <c r="AR150" s="313"/>
      <c r="AS150" s="313"/>
      <c r="AT150" s="315"/>
      <c r="AU150" s="21"/>
      <c r="AV150" s="270"/>
      <c r="AW150" s="760"/>
      <c r="AX150" s="67"/>
      <c r="AY150" s="76"/>
      <c r="AZ150" s="47"/>
      <c r="BA150" s="48"/>
      <c r="BB150" s="21"/>
      <c r="BC150" s="663"/>
      <c r="BD150" s="656"/>
      <c r="BE150" s="631" t="s">
        <v>48</v>
      </c>
      <c r="BF150" s="48"/>
      <c r="BG150" s="21"/>
      <c r="BH150" s="270"/>
      <c r="BI150" s="663"/>
      <c r="BJ150" s="656"/>
      <c r="BK150" s="556" t="s">
        <v>48</v>
      </c>
      <c r="BL150" s="48"/>
      <c r="BM150" s="21"/>
      <c r="BN150" s="270"/>
      <c r="BO150" s="949"/>
      <c r="BP150" s="634" t="s">
        <v>48</v>
      </c>
      <c r="BQ150" s="1119"/>
      <c r="BR150" s="311"/>
      <c r="BS150" s="696"/>
      <c r="BT150" s="315"/>
      <c r="BU150" s="21"/>
      <c r="BV150" s="270"/>
      <c r="BW150" s="760"/>
      <c r="BX150" s="67"/>
      <c r="BY150" s="47"/>
      <c r="BZ150" s="48"/>
      <c r="CA150" s="21"/>
      <c r="CB150" s="270"/>
      <c r="CC150" s="997"/>
      <c r="CD150" s="902"/>
      <c r="CE150" s="317" t="s">
        <v>48</v>
      </c>
      <c r="CF150" s="64"/>
      <c r="CG150" s="21"/>
      <c r="CH150" s="709"/>
      <c r="CI150" s="917"/>
      <c r="CJ150" s="59"/>
      <c r="CK150" s="59"/>
      <c r="CL150" s="64"/>
      <c r="CM150" s="21"/>
      <c r="CN150" s="775"/>
      <c r="CO150" s="760"/>
      <c r="CP150" s="45"/>
      <c r="CQ150" s="59"/>
      <c r="CR150" s="64"/>
      <c r="CS150" s="21"/>
      <c r="CT150" s="709"/>
      <c r="CU150" s="862"/>
      <c r="CV150" s="738"/>
      <c r="CW150" s="88" t="s">
        <v>48</v>
      </c>
      <c r="CX150" s="200"/>
      <c r="CY150" s="567"/>
      <c r="CZ150" s="781"/>
      <c r="DA150" s="21"/>
      <c r="DB150" s="275"/>
      <c r="DC150" s="757"/>
      <c r="DD150" s="45"/>
      <c r="DE150" s="59"/>
      <c r="DF150" s="59"/>
      <c r="DG150" s="64"/>
      <c r="DH150" s="20"/>
      <c r="DI150" s="775"/>
      <c r="DJ150" s="760"/>
      <c r="DK150" s="45"/>
      <c r="DL150" s="59"/>
      <c r="DM150" s="64"/>
      <c r="DN150" s="20"/>
      <c r="DO150" s="712"/>
      <c r="DP150" s="767"/>
      <c r="DQ150" s="738"/>
      <c r="DR150" s="59"/>
      <c r="DS150" s="64"/>
      <c r="DT150" s="20"/>
      <c r="DU150" s="270"/>
      <c r="DV150" s="789"/>
      <c r="DW150" s="45"/>
      <c r="DX150" s="696"/>
      <c r="DY150" s="59"/>
      <c r="DZ150" s="64"/>
      <c r="EA150" s="20"/>
      <c r="EB150" s="775"/>
      <c r="EC150" s="760"/>
      <c r="ED150" s="45"/>
      <c r="EE150" s="59"/>
      <c r="EF150" s="64"/>
      <c r="EG150" s="20"/>
      <c r="EH150" s="709"/>
      <c r="EI150" s="782"/>
      <c r="EJ150" s="311"/>
      <c r="EK150" s="313"/>
      <c r="EL150" s="64"/>
      <c r="EM150" s="20"/>
      <c r="EN150" s="270"/>
    </row>
    <row r="151" spans="1:144" ht="19.899999999999999" customHeight="1" thickTop="1" thickBot="1" x14ac:dyDescent="0.25">
      <c r="B151" s="959">
        <f>B146+1</f>
        <v>11</v>
      </c>
      <c r="C151" s="89">
        <f>C146+7</f>
        <v>46090</v>
      </c>
      <c r="D151" s="4"/>
      <c r="E151" s="24"/>
      <c r="F151" s="525"/>
      <c r="G151" s="807"/>
      <c r="H151" s="4"/>
      <c r="I151" s="707" t="s">
        <v>99</v>
      </c>
      <c r="J151" s="672"/>
      <c r="K151" s="744">
        <v>1</v>
      </c>
      <c r="L151" s="694" t="s">
        <v>161</v>
      </c>
      <c r="M151" s="39"/>
      <c r="N151" s="62"/>
      <c r="O151" s="24"/>
      <c r="P151" s="707" t="s">
        <v>99</v>
      </c>
      <c r="Q151" s="672"/>
      <c r="R151" s="308"/>
      <c r="S151" s="672"/>
      <c r="T151" s="308"/>
      <c r="U151" s="744">
        <v>1</v>
      </c>
      <c r="V151" s="694" t="s">
        <v>161</v>
      </c>
      <c r="W151" s="24"/>
      <c r="X151" s="707" t="s">
        <v>99</v>
      </c>
      <c r="Y151" s="672"/>
      <c r="Z151" s="744">
        <v>1</v>
      </c>
      <c r="AA151" s="694" t="s">
        <v>158</v>
      </c>
      <c r="AB151" s="308"/>
      <c r="AC151" s="62"/>
      <c r="AD151" s="21"/>
      <c r="AE151" s="707" t="s">
        <v>99</v>
      </c>
      <c r="AF151" s="672"/>
      <c r="AG151" s="876"/>
      <c r="AH151" s="658"/>
      <c r="AI151" s="672"/>
      <c r="AJ151" s="744">
        <v>1</v>
      </c>
      <c r="AK151" s="694" t="s">
        <v>158</v>
      </c>
      <c r="AL151" s="39"/>
      <c r="AM151" s="62"/>
      <c r="AN151" s="21"/>
      <c r="AO151" s="276"/>
      <c r="AP151" s="720"/>
      <c r="AQ151" s="314"/>
      <c r="AR151" s="308"/>
      <c r="AS151" s="308"/>
      <c r="AT151" s="306"/>
      <c r="AU151" s="21"/>
      <c r="AV151" s="276"/>
      <c r="AW151" s="760"/>
      <c r="AX151" s="61"/>
      <c r="AY151" s="78"/>
      <c r="AZ151" s="39"/>
      <c r="BA151" s="62"/>
      <c r="BB151" s="21"/>
      <c r="BC151" s="657" t="s">
        <v>170</v>
      </c>
      <c r="BD151" s="314"/>
      <c r="BE151" s="308"/>
      <c r="BF151" s="62"/>
      <c r="BG151" s="21"/>
      <c r="BH151" s="707" t="s">
        <v>44</v>
      </c>
      <c r="BI151" s="657" t="s">
        <v>170</v>
      </c>
      <c r="BJ151" s="314"/>
      <c r="BK151" s="308"/>
      <c r="BL151" s="62"/>
      <c r="BM151" s="21"/>
      <c r="BN151" s="713" t="s">
        <v>44</v>
      </c>
      <c r="BO151" s="657" t="s">
        <v>170</v>
      </c>
      <c r="BP151" s="308"/>
      <c r="BQ151" s="1120" t="s">
        <v>373</v>
      </c>
      <c r="BR151" s="314"/>
      <c r="BS151" s="308"/>
      <c r="BT151" s="306"/>
      <c r="BU151" s="21"/>
      <c r="BV151" s="270"/>
      <c r="BW151" s="760"/>
      <c r="BX151" s="132"/>
      <c r="BY151" s="56"/>
      <c r="BZ151" s="57"/>
      <c r="CA151" s="21"/>
      <c r="CB151" s="707" t="s">
        <v>44</v>
      </c>
      <c r="CC151" s="995" t="s">
        <v>39</v>
      </c>
      <c r="CD151" s="900" t="s">
        <v>272</v>
      </c>
      <c r="CE151" s="39"/>
      <c r="CF151" s="956" t="s">
        <v>125</v>
      </c>
      <c r="CG151" s="21"/>
      <c r="CH151" s="273"/>
      <c r="CI151" s="917"/>
      <c r="CJ151" s="39"/>
      <c r="CK151" s="39"/>
      <c r="CL151" s="35"/>
      <c r="CM151" s="21"/>
      <c r="CN151" s="707" t="s">
        <v>81</v>
      </c>
      <c r="CO151" s="760"/>
      <c r="CP151" s="314"/>
      <c r="CQ151" s="308"/>
      <c r="CR151" s="306"/>
      <c r="CS151" s="21"/>
      <c r="CT151" s="707" t="s">
        <v>69</v>
      </c>
      <c r="CU151" s="781" t="s">
        <v>26</v>
      </c>
      <c r="CV151" s="37"/>
      <c r="CW151" s="58"/>
      <c r="CX151" s="201"/>
      <c r="CY151" s="567"/>
      <c r="CZ151" s="781"/>
      <c r="DA151" s="21"/>
      <c r="DB151" s="773" t="s">
        <v>155</v>
      </c>
      <c r="DC151" s="757"/>
      <c r="DD151" s="61"/>
      <c r="DE151" s="39"/>
      <c r="DF151" s="39"/>
      <c r="DG151" s="35"/>
      <c r="DH151" s="20"/>
      <c r="DI151" s="271"/>
      <c r="DJ151" s="760"/>
      <c r="DK151" s="61"/>
      <c r="DL151" s="39"/>
      <c r="DM151" s="35"/>
      <c r="DN151" s="20"/>
      <c r="DO151" s="270"/>
      <c r="DP151" s="788" t="s">
        <v>453</v>
      </c>
      <c r="DQ151" s="736" t="s">
        <v>278</v>
      </c>
      <c r="DR151" s="39"/>
      <c r="DS151" s="35"/>
      <c r="DT151" s="20"/>
      <c r="DU151" s="270"/>
      <c r="DV151" s="789"/>
      <c r="DW151" s="61"/>
      <c r="DX151" s="694" t="s">
        <v>160</v>
      </c>
      <c r="DY151" s="39"/>
      <c r="DZ151" s="35"/>
      <c r="EA151" s="20"/>
      <c r="EB151" s="271"/>
      <c r="EC151" s="760"/>
      <c r="ED151" s="61"/>
      <c r="EE151" s="39"/>
      <c r="EF151" s="35"/>
      <c r="EG151" s="20"/>
      <c r="EH151" s="710" t="s">
        <v>123</v>
      </c>
      <c r="EI151" s="789" t="s">
        <v>447</v>
      </c>
      <c r="EJ151" s="736" t="s">
        <v>278</v>
      </c>
      <c r="EK151" s="39"/>
      <c r="EL151" s="35"/>
      <c r="EM151" s="20"/>
      <c r="EN151" s="707" t="s">
        <v>44</v>
      </c>
    </row>
    <row r="152" spans="1:144" ht="19.899999999999999" customHeight="1" thickTop="1" thickBot="1" x14ac:dyDescent="0.25">
      <c r="B152" s="960"/>
      <c r="C152" s="33">
        <f>C151+1</f>
        <v>46091</v>
      </c>
      <c r="D152" s="1"/>
      <c r="E152" s="23"/>
      <c r="F152" s="526"/>
      <c r="G152" s="807"/>
      <c r="H152" s="1"/>
      <c r="I152" s="708"/>
      <c r="J152" s="672"/>
      <c r="K152" s="745"/>
      <c r="L152" s="695"/>
      <c r="M152" s="42"/>
      <c r="N152" s="43"/>
      <c r="O152" s="23"/>
      <c r="P152" s="708"/>
      <c r="Q152" s="672"/>
      <c r="R152" s="42"/>
      <c r="S152" s="672"/>
      <c r="T152" s="42"/>
      <c r="U152" s="745"/>
      <c r="V152" s="695"/>
      <c r="W152" s="23"/>
      <c r="X152" s="708"/>
      <c r="Y152" s="672"/>
      <c r="Z152" s="745"/>
      <c r="AA152" s="695"/>
      <c r="AB152" s="42"/>
      <c r="AC152" s="43"/>
      <c r="AD152" s="21"/>
      <c r="AE152" s="708"/>
      <c r="AF152" s="672"/>
      <c r="AG152" s="876"/>
      <c r="AH152" s="658"/>
      <c r="AI152" s="672"/>
      <c r="AJ152" s="745"/>
      <c r="AK152" s="695"/>
      <c r="AL152" s="42"/>
      <c r="AM152" s="43"/>
      <c r="AN152" s="21"/>
      <c r="AO152" s="276"/>
      <c r="AP152" s="720"/>
      <c r="AQ152" s="147"/>
      <c r="AR152" s="310"/>
      <c r="AS152" s="310"/>
      <c r="AT152" s="307"/>
      <c r="AU152" s="21"/>
      <c r="AV152" s="276"/>
      <c r="AW152" s="760"/>
      <c r="AX152" s="73"/>
      <c r="AY152" s="75"/>
      <c r="AZ152" s="42"/>
      <c r="BA152" s="43"/>
      <c r="BB152" s="21"/>
      <c r="BC152" s="658"/>
      <c r="BD152" s="73"/>
      <c r="BE152" s="42"/>
      <c r="BF152" s="43"/>
      <c r="BG152" s="21"/>
      <c r="BH152" s="708"/>
      <c r="BI152" s="658"/>
      <c r="BJ152" s="73"/>
      <c r="BK152" s="42"/>
      <c r="BL152" s="43"/>
      <c r="BM152" s="21"/>
      <c r="BN152" s="714"/>
      <c r="BO152" s="658"/>
      <c r="BP152" s="310"/>
      <c r="BQ152" s="1121"/>
      <c r="BR152" s="309"/>
      <c r="BS152" s="42"/>
      <c r="BT152" s="668" t="s">
        <v>48</v>
      </c>
      <c r="BU152" s="21"/>
      <c r="BV152" s="270"/>
      <c r="BW152" s="760"/>
      <c r="BX152" s="63"/>
      <c r="BY152" s="42"/>
      <c r="BZ152" s="43"/>
      <c r="CA152" s="21"/>
      <c r="CB152" s="708"/>
      <c r="CC152" s="996"/>
      <c r="CD152" s="901"/>
      <c r="CE152" s="44"/>
      <c r="CF152" s="957"/>
      <c r="CG152" s="21"/>
      <c r="CH152" s="274"/>
      <c r="CI152" s="917"/>
      <c r="CJ152" s="44"/>
      <c r="CK152" s="44"/>
      <c r="CL152" s="36"/>
      <c r="CM152" s="21"/>
      <c r="CN152" s="708"/>
      <c r="CO152" s="760"/>
      <c r="CP152" s="309"/>
      <c r="CQ152" s="310"/>
      <c r="CR152" s="307"/>
      <c r="CS152" s="21"/>
      <c r="CT152" s="708"/>
      <c r="CU152" s="781"/>
      <c r="CV152" s="73"/>
      <c r="CW152" s="42"/>
      <c r="CX152" s="43"/>
      <c r="CY152" s="567"/>
      <c r="CZ152" s="781"/>
      <c r="DA152" s="21"/>
      <c r="DB152" s="774"/>
      <c r="DC152" s="757"/>
      <c r="DD152" s="40"/>
      <c r="DE152" s="44"/>
      <c r="DF152" s="44"/>
      <c r="DG152" s="36"/>
      <c r="DH152" s="20"/>
      <c r="DI152" s="271"/>
      <c r="DJ152" s="760"/>
      <c r="DK152" s="40"/>
      <c r="DL152" s="44"/>
      <c r="DM152" s="36"/>
      <c r="DN152" s="20"/>
      <c r="DO152" s="270"/>
      <c r="DP152" s="789"/>
      <c r="DQ152" s="737"/>
      <c r="DR152" s="44"/>
      <c r="DS152" s="36"/>
      <c r="DT152" s="20"/>
      <c r="DU152" s="270"/>
      <c r="DV152" s="789"/>
      <c r="DW152" s="40"/>
      <c r="DX152" s="695"/>
      <c r="DY152" s="44"/>
      <c r="DZ152" s="36"/>
      <c r="EA152" s="20"/>
      <c r="EB152" s="271"/>
      <c r="EC152" s="760"/>
      <c r="ED152" s="40"/>
      <c r="EE152" s="44"/>
      <c r="EF152" s="36"/>
      <c r="EG152" s="20"/>
      <c r="EH152" s="711"/>
      <c r="EI152" s="789"/>
      <c r="EJ152" s="737"/>
      <c r="EK152" s="44"/>
      <c r="EL152" s="36"/>
      <c r="EM152" s="20"/>
      <c r="EN152" s="708"/>
    </row>
    <row r="153" spans="1:144" ht="19.899999999999999" customHeight="1" thickTop="1" thickBot="1" x14ac:dyDescent="0.25">
      <c r="B153" s="960"/>
      <c r="C153" s="33">
        <f>C152+1</f>
        <v>46092</v>
      </c>
      <c r="D153" s="1"/>
      <c r="E153" s="23"/>
      <c r="F153" s="526"/>
      <c r="G153" s="807"/>
      <c r="H153" s="1"/>
      <c r="I153" s="708"/>
      <c r="J153" s="672"/>
      <c r="K153" s="745"/>
      <c r="L153" s="695"/>
      <c r="M153" s="44"/>
      <c r="N153" s="65"/>
      <c r="O153" s="23"/>
      <c r="P153" s="708"/>
      <c r="Q153" s="672"/>
      <c r="R153" s="310"/>
      <c r="S153" s="672"/>
      <c r="T153" s="310"/>
      <c r="U153" s="745"/>
      <c r="V153" s="695"/>
      <c r="W153" s="23"/>
      <c r="X153" s="708"/>
      <c r="Y153" s="672"/>
      <c r="Z153" s="745"/>
      <c r="AA153" s="695"/>
      <c r="AB153" s="310"/>
      <c r="AC153" s="65"/>
      <c r="AD153" s="21"/>
      <c r="AE153" s="708"/>
      <c r="AF153" s="672"/>
      <c r="AG153" s="876"/>
      <c r="AH153" s="658"/>
      <c r="AI153" s="672"/>
      <c r="AJ153" s="745"/>
      <c r="AK153" s="695"/>
      <c r="AL153" s="44"/>
      <c r="AM153" s="65"/>
      <c r="AN153" s="21"/>
      <c r="AO153" s="276"/>
      <c r="AP153" s="720"/>
      <c r="AQ153" s="147"/>
      <c r="AR153" s="310"/>
      <c r="AS153" s="310"/>
      <c r="AT153" s="307"/>
      <c r="AU153" s="21"/>
      <c r="AV153" s="276"/>
      <c r="AW153" s="760"/>
      <c r="AX153" s="40"/>
      <c r="AY153" s="75"/>
      <c r="AZ153" s="44"/>
      <c r="BA153" s="65"/>
      <c r="BB153" s="21"/>
      <c r="BC153" s="658"/>
      <c r="BD153" s="309"/>
      <c r="BE153" s="310"/>
      <c r="BF153" s="65"/>
      <c r="BG153" s="21"/>
      <c r="BH153" s="708"/>
      <c r="BI153" s="658"/>
      <c r="BJ153" s="309"/>
      <c r="BK153" s="310"/>
      <c r="BL153" s="65"/>
      <c r="BM153" s="21"/>
      <c r="BN153" s="714"/>
      <c r="BO153" s="658"/>
      <c r="BP153" s="310"/>
      <c r="BQ153" s="1121"/>
      <c r="BR153" s="309"/>
      <c r="BS153" s="310"/>
      <c r="BT153" s="669"/>
      <c r="BU153" s="21"/>
      <c r="BV153" s="270"/>
      <c r="BW153" s="760"/>
      <c r="BX153" s="63"/>
      <c r="BY153" s="44"/>
      <c r="BZ153" s="65"/>
      <c r="CA153" s="21"/>
      <c r="CB153" s="708"/>
      <c r="CC153" s="996"/>
      <c r="CD153" s="901"/>
      <c r="CE153" s="44"/>
      <c r="CF153" s="957"/>
      <c r="CG153" s="21"/>
      <c r="CH153" s="274"/>
      <c r="CI153" s="917"/>
      <c r="CJ153" s="44"/>
      <c r="CK153" s="44"/>
      <c r="CL153" s="36"/>
      <c r="CM153" s="21"/>
      <c r="CN153" s="708"/>
      <c r="CO153" s="760"/>
      <c r="CP153" s="309"/>
      <c r="CQ153" s="310"/>
      <c r="CR153" s="307"/>
      <c r="CS153" s="21"/>
      <c r="CT153" s="708"/>
      <c r="CU153" s="781"/>
      <c r="CV153" s="73"/>
      <c r="CW153" s="42"/>
      <c r="CX153" s="43"/>
      <c r="CY153" s="567"/>
      <c r="CZ153" s="781"/>
      <c r="DA153" s="21"/>
      <c r="DB153" s="774"/>
      <c r="DC153" s="757"/>
      <c r="DD153" s="40"/>
      <c r="DE153" s="44"/>
      <c r="DF153" s="44"/>
      <c r="DG153" s="36"/>
      <c r="DH153" s="20"/>
      <c r="DI153" s="271"/>
      <c r="DJ153" s="760"/>
      <c r="DK153" s="40"/>
      <c r="DL153" s="44"/>
      <c r="DM153" s="36"/>
      <c r="DN153" s="20"/>
      <c r="DO153" s="270"/>
      <c r="DP153" s="789"/>
      <c r="DQ153" s="737"/>
      <c r="DR153" s="44"/>
      <c r="DS153" s="36"/>
      <c r="DT153" s="20"/>
      <c r="DU153" s="270"/>
      <c r="DV153" s="789"/>
      <c r="DW153" s="40"/>
      <c r="DX153" s="695"/>
      <c r="DY153" s="116" t="s">
        <v>61</v>
      </c>
      <c r="DZ153" s="36"/>
      <c r="EA153" s="20"/>
      <c r="EB153" s="271"/>
      <c r="EC153" s="760"/>
      <c r="ED153" s="40"/>
      <c r="EE153" s="44"/>
      <c r="EF153" s="36"/>
      <c r="EG153" s="20"/>
      <c r="EH153" s="711"/>
      <c r="EI153" s="789"/>
      <c r="EJ153" s="737"/>
      <c r="EK153" s="116" t="s">
        <v>61</v>
      </c>
      <c r="EL153" s="36"/>
      <c r="EM153" s="20"/>
      <c r="EN153" s="708"/>
    </row>
    <row r="154" spans="1:144" ht="17.25" thickTop="1" thickBot="1" x14ac:dyDescent="0.25">
      <c r="B154" s="960"/>
      <c r="C154" s="33">
        <f>C153+1</f>
        <v>46093</v>
      </c>
      <c r="D154" s="1"/>
      <c r="E154" s="23"/>
      <c r="F154" s="526"/>
      <c r="G154" s="807"/>
      <c r="H154" s="1"/>
      <c r="I154" s="708"/>
      <c r="J154" s="672"/>
      <c r="K154" s="745"/>
      <c r="L154" s="695"/>
      <c r="M154" s="66" t="s">
        <v>80</v>
      </c>
      <c r="N154" s="65"/>
      <c r="O154" s="23"/>
      <c r="P154" s="708"/>
      <c r="Q154" s="672"/>
      <c r="R154" s="66" t="s">
        <v>80</v>
      </c>
      <c r="S154" s="672"/>
      <c r="T154" s="42"/>
      <c r="U154" s="745"/>
      <c r="V154" s="695"/>
      <c r="W154" s="23"/>
      <c r="X154" s="708"/>
      <c r="Y154" s="672"/>
      <c r="Z154" s="745"/>
      <c r="AA154" s="695"/>
      <c r="AB154" s="66" t="s">
        <v>80</v>
      </c>
      <c r="AC154" s="65"/>
      <c r="AD154" s="21"/>
      <c r="AE154" s="708"/>
      <c r="AF154" s="672"/>
      <c r="AG154" s="876"/>
      <c r="AH154" s="658"/>
      <c r="AI154" s="672"/>
      <c r="AJ154" s="745"/>
      <c r="AK154" s="695"/>
      <c r="AL154" s="66" t="s">
        <v>80</v>
      </c>
      <c r="AM154" s="65"/>
      <c r="AN154" s="21"/>
      <c r="AO154" s="276"/>
      <c r="AP154" s="720"/>
      <c r="AQ154" s="147"/>
      <c r="AR154" s="310"/>
      <c r="AS154" s="310"/>
      <c r="AT154" s="307"/>
      <c r="AU154" s="21"/>
      <c r="AV154" s="276"/>
      <c r="AW154" s="760"/>
      <c r="AX154" s="63"/>
      <c r="AY154" s="75"/>
      <c r="AZ154" s="50"/>
      <c r="BA154" s="65"/>
      <c r="BB154" s="21"/>
      <c r="BC154" s="658"/>
      <c r="BD154" s="63"/>
      <c r="BE154" s="42"/>
      <c r="BF154" s="65"/>
      <c r="BG154" s="21"/>
      <c r="BH154" s="708"/>
      <c r="BI154" s="658"/>
      <c r="BJ154" s="63"/>
      <c r="BK154" s="42"/>
      <c r="BL154" s="65"/>
      <c r="BM154" s="21"/>
      <c r="BN154" s="714"/>
      <c r="BO154" s="658"/>
      <c r="BP154" s="310"/>
      <c r="BQ154" s="1121"/>
      <c r="BR154" s="309"/>
      <c r="BS154" s="50"/>
      <c r="BT154" s="669"/>
      <c r="BU154" s="21"/>
      <c r="BV154" s="270"/>
      <c r="BW154" s="760"/>
      <c r="BX154" s="40"/>
      <c r="BY154" s="50"/>
      <c r="BZ154" s="65"/>
      <c r="CA154" s="21"/>
      <c r="CB154" s="708"/>
      <c r="CC154" s="996"/>
      <c r="CD154" s="901"/>
      <c r="CE154" s="44"/>
      <c r="CF154" s="957"/>
      <c r="CG154" s="21"/>
      <c r="CH154" s="274"/>
      <c r="CI154" s="917"/>
      <c r="CJ154" s="44"/>
      <c r="CK154" s="44"/>
      <c r="CL154" s="36"/>
      <c r="CM154" s="21"/>
      <c r="CN154" s="708"/>
      <c r="CO154" s="760"/>
      <c r="CP154" s="309"/>
      <c r="CQ154" s="310"/>
      <c r="CR154" s="307"/>
      <c r="CS154" s="21"/>
      <c r="CT154" s="708"/>
      <c r="CU154" s="781"/>
      <c r="CV154" s="73"/>
      <c r="CW154" s="42"/>
      <c r="CX154" s="43"/>
      <c r="CY154" s="567"/>
      <c r="CZ154" s="781"/>
      <c r="DA154" s="21"/>
      <c r="DB154" s="774"/>
      <c r="DC154" s="757"/>
      <c r="DD154" s="40"/>
      <c r="DE154" s="44"/>
      <c r="DF154" s="44"/>
      <c r="DG154" s="36"/>
      <c r="DH154" s="20"/>
      <c r="DI154" s="271"/>
      <c r="DJ154" s="760"/>
      <c r="DK154" s="40"/>
      <c r="DL154" s="44"/>
      <c r="DM154" s="36"/>
      <c r="DN154" s="20"/>
      <c r="DO154" s="270"/>
      <c r="DP154" s="789"/>
      <c r="DQ154" s="737"/>
      <c r="DR154" s="310"/>
      <c r="DS154" s="36"/>
      <c r="DT154" s="20"/>
      <c r="DU154" s="270"/>
      <c r="DV154" s="789"/>
      <c r="DW154" s="40"/>
      <c r="DX154" s="695"/>
      <c r="DY154" s="44"/>
      <c r="DZ154" s="36"/>
      <c r="EA154" s="20"/>
      <c r="EB154" s="271"/>
      <c r="EC154" s="760"/>
      <c r="ED154" s="40"/>
      <c r="EE154" s="44"/>
      <c r="EF154" s="36"/>
      <c r="EG154" s="20"/>
      <c r="EH154" s="711"/>
      <c r="EI154" s="789"/>
      <c r="EJ154" s="737"/>
      <c r="EK154" s="44"/>
      <c r="EL154" s="36"/>
      <c r="EM154" s="20"/>
      <c r="EN154" s="708"/>
    </row>
    <row r="155" spans="1:144" ht="19.899999999999999" customHeight="1" thickTop="1" thickBot="1" x14ac:dyDescent="0.25">
      <c r="B155" s="961"/>
      <c r="C155" s="34">
        <f>C154+1</f>
        <v>46094</v>
      </c>
      <c r="D155" s="1"/>
      <c r="E155" s="23"/>
      <c r="F155" s="526"/>
      <c r="G155" s="807"/>
      <c r="H155" s="1"/>
      <c r="I155" s="709"/>
      <c r="J155" s="672"/>
      <c r="K155" s="746"/>
      <c r="L155" s="696"/>
      <c r="M155" s="47"/>
      <c r="N155" s="48"/>
      <c r="O155" s="23"/>
      <c r="P155" s="709"/>
      <c r="Q155" s="672"/>
      <c r="R155" s="312"/>
      <c r="S155" s="672"/>
      <c r="T155" s="312"/>
      <c r="U155" s="746"/>
      <c r="V155" s="696"/>
      <c r="W155" s="23"/>
      <c r="X155" s="709"/>
      <c r="Y155" s="672"/>
      <c r="Z155" s="746"/>
      <c r="AA155" s="696"/>
      <c r="AB155" s="312"/>
      <c r="AC155" s="48"/>
      <c r="AD155" s="21"/>
      <c r="AE155" s="709"/>
      <c r="AF155" s="672"/>
      <c r="AG155" s="876"/>
      <c r="AH155" s="658"/>
      <c r="AI155" s="672"/>
      <c r="AJ155" s="746"/>
      <c r="AK155" s="696"/>
      <c r="AL155" s="47"/>
      <c r="AM155" s="48"/>
      <c r="AN155" s="21"/>
      <c r="AO155" s="276"/>
      <c r="AP155" s="720"/>
      <c r="AQ155" s="311"/>
      <c r="AR155" s="313"/>
      <c r="AS155" s="313"/>
      <c r="AT155" s="315"/>
      <c r="AU155" s="21"/>
      <c r="AV155" s="276"/>
      <c r="AW155" s="760"/>
      <c r="AX155" s="67"/>
      <c r="AY155" s="76"/>
      <c r="AZ155" s="47"/>
      <c r="BA155" s="48"/>
      <c r="BB155" s="21"/>
      <c r="BC155" s="658"/>
      <c r="BD155" s="67"/>
      <c r="BE155" s="631" t="s">
        <v>48</v>
      </c>
      <c r="BF155" s="48"/>
      <c r="BG155" s="21"/>
      <c r="BH155" s="709"/>
      <c r="BI155" s="658"/>
      <c r="BJ155" s="67"/>
      <c r="BK155" s="556" t="s">
        <v>48</v>
      </c>
      <c r="BL155" s="48"/>
      <c r="BM155" s="21"/>
      <c r="BN155" s="715"/>
      <c r="BO155" s="658"/>
      <c r="BP155" s="313"/>
      <c r="BQ155" s="1122"/>
      <c r="BR155" s="311"/>
      <c r="BS155" s="312"/>
      <c r="BT155" s="906"/>
      <c r="BU155" s="21"/>
      <c r="BV155" s="270"/>
      <c r="BW155" s="760"/>
      <c r="BX155" s="67"/>
      <c r="BY155" s="47"/>
      <c r="BZ155" s="48"/>
      <c r="CA155" s="21"/>
      <c r="CB155" s="709"/>
      <c r="CC155" s="997"/>
      <c r="CD155" s="902"/>
      <c r="CE155" s="59"/>
      <c r="CF155" s="958"/>
      <c r="CG155" s="21"/>
      <c r="CH155" s="275"/>
      <c r="CI155" s="917"/>
      <c r="CJ155" s="59"/>
      <c r="CK155" s="59"/>
      <c r="CL155" s="64"/>
      <c r="CM155" s="21"/>
      <c r="CN155" s="709"/>
      <c r="CO155" s="761"/>
      <c r="CP155" s="311"/>
      <c r="CQ155" s="313"/>
      <c r="CR155" s="315"/>
      <c r="CS155" s="21"/>
      <c r="CT155" s="709"/>
      <c r="CU155" s="781"/>
      <c r="CV155" s="198"/>
      <c r="CW155" s="199"/>
      <c r="CX155" s="200"/>
      <c r="CY155" s="567"/>
      <c r="CZ155" s="781"/>
      <c r="DA155" s="21"/>
      <c r="DB155" s="775"/>
      <c r="DC155" s="757"/>
      <c r="DD155" s="45"/>
      <c r="DE155" s="59"/>
      <c r="DF155" s="59"/>
      <c r="DG155" s="64"/>
      <c r="DH155" s="20"/>
      <c r="DI155" s="271"/>
      <c r="DJ155" s="760"/>
      <c r="DK155" s="45"/>
      <c r="DL155" s="59"/>
      <c r="DM155" s="64"/>
      <c r="DN155" s="20"/>
      <c r="DO155" s="270"/>
      <c r="DP155" s="789"/>
      <c r="DQ155" s="738"/>
      <c r="DR155" s="59"/>
      <c r="DS155" s="64"/>
      <c r="DT155" s="20"/>
      <c r="DU155" s="270"/>
      <c r="DV155" s="789"/>
      <c r="DW155" s="45"/>
      <c r="DX155" s="696"/>
      <c r="DY155" s="59"/>
      <c r="DZ155" s="64"/>
      <c r="EA155" s="20"/>
      <c r="EB155" s="271"/>
      <c r="EC155" s="760"/>
      <c r="ED155" s="45"/>
      <c r="EE155" s="59"/>
      <c r="EF155" s="64"/>
      <c r="EG155" s="20"/>
      <c r="EH155" s="712"/>
      <c r="EI155" s="789"/>
      <c r="EJ155" s="738"/>
      <c r="EK155" s="59"/>
      <c r="EL155" s="64"/>
      <c r="EM155" s="20"/>
      <c r="EN155" s="709"/>
    </row>
    <row r="156" spans="1:144" ht="19.899999999999999" customHeight="1" thickTop="1" thickBot="1" x14ac:dyDescent="0.25">
      <c r="B156" s="959">
        <f>B151+1</f>
        <v>12</v>
      </c>
      <c r="C156" s="89">
        <f>C151+7</f>
        <v>46097</v>
      </c>
      <c r="D156" s="4"/>
      <c r="E156" s="24"/>
      <c r="F156" s="525"/>
      <c r="G156" s="807"/>
      <c r="H156" s="4"/>
      <c r="I156" s="264"/>
      <c r="J156" s="672"/>
      <c r="K156" s="314"/>
      <c r="L156" s="694" t="s">
        <v>166</v>
      </c>
      <c r="M156" s="39"/>
      <c r="N156" s="57"/>
      <c r="O156" s="24"/>
      <c r="P156" s="623"/>
      <c r="Q156" s="672"/>
      <c r="R156" s="308"/>
      <c r="S156" s="672"/>
      <c r="T156" s="308"/>
      <c r="U156" s="314"/>
      <c r="V156" s="694" t="s">
        <v>166</v>
      </c>
      <c r="W156" s="24"/>
      <c r="X156" s="270"/>
      <c r="Y156" s="672"/>
      <c r="Z156" s="314"/>
      <c r="AA156" s="694" t="s">
        <v>162</v>
      </c>
      <c r="AB156" s="308"/>
      <c r="AC156" s="722" t="s">
        <v>396</v>
      </c>
      <c r="AD156" s="21"/>
      <c r="AE156" s="270"/>
      <c r="AF156" s="672"/>
      <c r="AG156" s="876"/>
      <c r="AH156" s="658"/>
      <c r="AI156" s="672"/>
      <c r="AJ156" s="61"/>
      <c r="AK156" s="694" t="s">
        <v>162</v>
      </c>
      <c r="AL156" s="39"/>
      <c r="AM156" s="722" t="s">
        <v>396</v>
      </c>
      <c r="AN156" s="21"/>
      <c r="AO156" s="276"/>
      <c r="AP156" s="720"/>
      <c r="AQ156" s="314"/>
      <c r="AR156" s="308"/>
      <c r="AS156" s="308"/>
      <c r="AT156" s="306"/>
      <c r="AU156" s="21"/>
      <c r="AV156" s="276"/>
      <c r="AW156" s="760"/>
      <c r="AX156" s="61"/>
      <c r="AY156" s="78"/>
      <c r="AZ156" s="39"/>
      <c r="BA156" s="57"/>
      <c r="BB156" s="21"/>
      <c r="BC156" s="659" t="s">
        <v>435</v>
      </c>
      <c r="BD156" s="655" t="s">
        <v>97</v>
      </c>
      <c r="BE156" s="308"/>
      <c r="BF156" s="62"/>
      <c r="BG156" s="21"/>
      <c r="BH156" s="270"/>
      <c r="BI156" s="659" t="s">
        <v>435</v>
      </c>
      <c r="BJ156" s="655" t="s">
        <v>97</v>
      </c>
      <c r="BK156" s="39"/>
      <c r="BL156" s="62"/>
      <c r="BM156" s="21"/>
      <c r="BN156" s="1160"/>
      <c r="BO156" s="990" t="s">
        <v>369</v>
      </c>
      <c r="BP156" s="308"/>
      <c r="BQ156" s="1116" t="s">
        <v>372</v>
      </c>
      <c r="BR156" s="314"/>
      <c r="BS156" s="701" t="s">
        <v>97</v>
      </c>
      <c r="BT156" s="306"/>
      <c r="BU156" s="21"/>
      <c r="BV156" s="270"/>
      <c r="BW156" s="760"/>
      <c r="BX156" s="132"/>
      <c r="BY156" s="56"/>
      <c r="BZ156" s="57"/>
      <c r="CA156" s="21"/>
      <c r="CB156" s="270"/>
      <c r="CC156" s="719" t="s">
        <v>26</v>
      </c>
      <c r="CD156" s="314"/>
      <c r="CE156" s="39"/>
      <c r="CF156" s="35"/>
      <c r="CG156" s="21"/>
      <c r="CH156" s="773" t="s">
        <v>155</v>
      </c>
      <c r="CI156" s="917"/>
      <c r="CJ156" s="39"/>
      <c r="CK156" s="39"/>
      <c r="CL156" s="35"/>
      <c r="CM156" s="21"/>
      <c r="CN156" s="270"/>
      <c r="CO156" s="671" t="s">
        <v>79</v>
      </c>
      <c r="CP156" s="655" t="s">
        <v>147</v>
      </c>
      <c r="CQ156" s="39"/>
      <c r="CR156" s="1039" t="s">
        <v>159</v>
      </c>
      <c r="CS156" s="21"/>
      <c r="CT156" s="773" t="s">
        <v>155</v>
      </c>
      <c r="CU156" s="781"/>
      <c r="CV156" s="37"/>
      <c r="CW156" s="58"/>
      <c r="CX156" s="201"/>
      <c r="CY156" s="567"/>
      <c r="CZ156" s="781"/>
      <c r="DA156" s="21"/>
      <c r="DB156" s="707" t="s">
        <v>81</v>
      </c>
      <c r="DC156" s="757"/>
      <c r="DD156" s="61"/>
      <c r="DE156" s="39"/>
      <c r="DF156" s="39"/>
      <c r="DG156" s="35"/>
      <c r="DH156" s="20"/>
      <c r="DI156" s="271"/>
      <c r="DJ156" s="760"/>
      <c r="DK156" s="61"/>
      <c r="DL156" s="39"/>
      <c r="DM156" s="35"/>
      <c r="DN156" s="20"/>
      <c r="DO156" s="270"/>
      <c r="DP156" s="789"/>
      <c r="DQ156" s="736" t="s">
        <v>279</v>
      </c>
      <c r="DR156" s="39"/>
      <c r="DS156" s="35"/>
      <c r="DT156" s="20"/>
      <c r="DU156" s="773" t="s">
        <v>155</v>
      </c>
      <c r="DV156" s="789"/>
      <c r="DW156" s="61"/>
      <c r="DX156" s="694" t="s">
        <v>165</v>
      </c>
      <c r="DY156" s="39"/>
      <c r="DZ156" s="785" t="s">
        <v>392</v>
      </c>
      <c r="EA156" s="20"/>
      <c r="EB156" s="271"/>
      <c r="EC156" s="760"/>
      <c r="ED156" s="61"/>
      <c r="EE156" s="39"/>
      <c r="EF156" s="35"/>
      <c r="EG156" s="20"/>
      <c r="EH156" s="707" t="s">
        <v>81</v>
      </c>
      <c r="EI156" s="789"/>
      <c r="EJ156" s="736" t="s">
        <v>279</v>
      </c>
      <c r="EK156" s="39"/>
      <c r="EL156" s="35"/>
      <c r="EM156" s="20"/>
      <c r="EN156" s="270"/>
    </row>
    <row r="157" spans="1:144" ht="19.899999999999999" customHeight="1" thickTop="1" thickBot="1" x14ac:dyDescent="0.25">
      <c r="B157" s="960"/>
      <c r="C157" s="33">
        <f>C156+1</f>
        <v>46098</v>
      </c>
      <c r="D157" s="1"/>
      <c r="E157" s="23"/>
      <c r="F157" s="526"/>
      <c r="G157" s="807"/>
      <c r="H157" s="1"/>
      <c r="I157" s="264"/>
      <c r="J157" s="672"/>
      <c r="K157" s="73"/>
      <c r="L157" s="695"/>
      <c r="M157" s="42"/>
      <c r="N157" s="43"/>
      <c r="O157" s="23"/>
      <c r="P157" s="623"/>
      <c r="Q157" s="672"/>
      <c r="R157" s="42"/>
      <c r="S157" s="672"/>
      <c r="T157" s="42"/>
      <c r="U157" s="73"/>
      <c r="V157" s="695"/>
      <c r="W157" s="23"/>
      <c r="X157" s="270"/>
      <c r="Y157" s="672"/>
      <c r="Z157" s="73"/>
      <c r="AA157" s="695"/>
      <c r="AB157" s="42"/>
      <c r="AC157" s="723"/>
      <c r="AD157" s="21"/>
      <c r="AE157" s="270"/>
      <c r="AF157" s="672"/>
      <c r="AG157" s="876"/>
      <c r="AH157" s="658"/>
      <c r="AI157" s="672"/>
      <c r="AJ157" s="73"/>
      <c r="AK157" s="695"/>
      <c r="AL157" s="42"/>
      <c r="AM157" s="723"/>
      <c r="AN157" s="21"/>
      <c r="AO157" s="276"/>
      <c r="AP157" s="720"/>
      <c r="AQ157" s="147"/>
      <c r="AR157" s="310"/>
      <c r="AS157" s="310"/>
      <c r="AT157" s="307"/>
      <c r="AU157" s="21"/>
      <c r="AV157" s="276"/>
      <c r="AW157" s="760"/>
      <c r="AX157" s="73"/>
      <c r="AY157" s="75"/>
      <c r="AZ157" s="42"/>
      <c r="BA157" s="43"/>
      <c r="BB157" s="21"/>
      <c r="BC157" s="660"/>
      <c r="BD157" s="641"/>
      <c r="BE157" s="42"/>
      <c r="BF157" s="43"/>
      <c r="BG157" s="21"/>
      <c r="BH157" s="270"/>
      <c r="BI157" s="660"/>
      <c r="BJ157" s="641"/>
      <c r="BK157" s="42"/>
      <c r="BL157" s="43"/>
      <c r="BM157" s="21"/>
      <c r="BN157" s="276"/>
      <c r="BO157" s="948"/>
      <c r="BP157" s="310"/>
      <c r="BQ157" s="1117"/>
      <c r="BR157" s="309"/>
      <c r="BS157" s="702"/>
      <c r="BT157" s="307"/>
      <c r="BU157" s="21"/>
      <c r="BV157" s="270"/>
      <c r="BW157" s="760"/>
      <c r="BX157" s="63"/>
      <c r="BY157" s="42"/>
      <c r="BZ157" s="43"/>
      <c r="CA157" s="21"/>
      <c r="CB157" s="270"/>
      <c r="CC157" s="720"/>
      <c r="CD157" s="309"/>
      <c r="CE157" s="44"/>
      <c r="CF157" s="36"/>
      <c r="CG157" s="21"/>
      <c r="CH157" s="774"/>
      <c r="CI157" s="917"/>
      <c r="CJ157" s="44"/>
      <c r="CK157" s="44"/>
      <c r="CL157" s="36"/>
      <c r="CM157" s="21"/>
      <c r="CN157" s="270"/>
      <c r="CO157" s="672"/>
      <c r="CP157" s="641"/>
      <c r="CQ157" s="44"/>
      <c r="CR157" s="1040"/>
      <c r="CS157" s="21"/>
      <c r="CT157" s="774"/>
      <c r="CU157" s="781"/>
      <c r="CV157" s="73"/>
      <c r="CW157" s="42"/>
      <c r="CX157" s="43"/>
      <c r="CY157" s="567"/>
      <c r="CZ157" s="781"/>
      <c r="DA157" s="21"/>
      <c r="DB157" s="708"/>
      <c r="DC157" s="757"/>
      <c r="DD157" s="40"/>
      <c r="DE157" s="44"/>
      <c r="DF157" s="44"/>
      <c r="DG157" s="36"/>
      <c r="DH157" s="20"/>
      <c r="DI157" s="271"/>
      <c r="DJ157" s="760"/>
      <c r="DK157" s="40"/>
      <c r="DL157" s="44"/>
      <c r="DM157" s="36"/>
      <c r="DN157" s="20"/>
      <c r="DO157" s="270"/>
      <c r="DP157" s="789"/>
      <c r="DQ157" s="737"/>
      <c r="DR157" s="44"/>
      <c r="DS157" s="36"/>
      <c r="DT157" s="20"/>
      <c r="DU157" s="774"/>
      <c r="DV157" s="789"/>
      <c r="DW157" s="40"/>
      <c r="DX157" s="695"/>
      <c r="DY157" s="44"/>
      <c r="DZ157" s="786"/>
      <c r="EA157" s="20"/>
      <c r="EB157" s="271"/>
      <c r="EC157" s="760"/>
      <c r="ED157" s="40"/>
      <c r="EE157" s="44"/>
      <c r="EF157" s="36"/>
      <c r="EG157" s="20"/>
      <c r="EH157" s="708"/>
      <c r="EI157" s="789"/>
      <c r="EJ157" s="737"/>
      <c r="EK157" s="44"/>
      <c r="EL157" s="36"/>
      <c r="EM157" s="20"/>
      <c r="EN157" s="270"/>
    </row>
    <row r="158" spans="1:144" ht="19.899999999999999" customHeight="1" thickTop="1" thickBot="1" x14ac:dyDescent="0.25">
      <c r="B158" s="960"/>
      <c r="C158" s="33">
        <f>C157+1</f>
        <v>46099</v>
      </c>
      <c r="D158" s="1"/>
      <c r="E158" s="23"/>
      <c r="F158" s="526"/>
      <c r="G158" s="807"/>
      <c r="H158" s="1"/>
      <c r="I158" s="264"/>
      <c r="J158" s="672"/>
      <c r="K158" s="309"/>
      <c r="L158" s="695"/>
      <c r="M158" s="44"/>
      <c r="N158" s="36"/>
      <c r="O158" s="23"/>
      <c r="P158" s="623"/>
      <c r="Q158" s="672"/>
      <c r="R158" s="310"/>
      <c r="S158" s="672"/>
      <c r="T158" s="310"/>
      <c r="U158" s="309"/>
      <c r="V158" s="695"/>
      <c r="W158" s="23"/>
      <c r="X158" s="270"/>
      <c r="Y158" s="672"/>
      <c r="Z158" s="63"/>
      <c r="AA158" s="695"/>
      <c r="AB158" s="42"/>
      <c r="AC158" s="723"/>
      <c r="AD158" s="21"/>
      <c r="AE158" s="270"/>
      <c r="AF158" s="672"/>
      <c r="AG158" s="876"/>
      <c r="AH158" s="658"/>
      <c r="AI158" s="672"/>
      <c r="AJ158" s="63"/>
      <c r="AK158" s="695"/>
      <c r="AL158" s="170" t="s">
        <v>48</v>
      </c>
      <c r="AM158" s="723"/>
      <c r="AN158" s="21"/>
      <c r="AO158" s="276"/>
      <c r="AP158" s="720"/>
      <c r="AQ158" s="147"/>
      <c r="AR158" s="310"/>
      <c r="AS158" s="310"/>
      <c r="AT158" s="307"/>
      <c r="AU158" s="21"/>
      <c r="AV158" s="276"/>
      <c r="AW158" s="760"/>
      <c r="AX158" s="40"/>
      <c r="AY158" s="75"/>
      <c r="AZ158" s="44"/>
      <c r="BA158" s="36"/>
      <c r="BB158" s="21"/>
      <c r="BC158" s="660"/>
      <c r="BD158" s="641"/>
      <c r="BE158" s="310"/>
      <c r="BF158" s="65"/>
      <c r="BG158" s="21"/>
      <c r="BH158" s="270"/>
      <c r="BI158" s="660"/>
      <c r="BJ158" s="641"/>
      <c r="BK158" s="44"/>
      <c r="BL158" s="65"/>
      <c r="BM158" s="21"/>
      <c r="BN158" s="276"/>
      <c r="BO158" s="948"/>
      <c r="BP158" s="310"/>
      <c r="BQ158" s="1117"/>
      <c r="BR158" s="309"/>
      <c r="BS158" s="702"/>
      <c r="BT158" s="307"/>
      <c r="BU158" s="21"/>
      <c r="BV158" s="270"/>
      <c r="BW158" s="760"/>
      <c r="BX158" s="63"/>
      <c r="BY158" s="44"/>
      <c r="BZ158" s="36"/>
      <c r="CA158" s="21"/>
      <c r="CB158" s="270"/>
      <c r="CC158" s="720"/>
      <c r="CD158" s="309"/>
      <c r="CE158" s="44"/>
      <c r="CF158" s="36"/>
      <c r="CG158" s="21"/>
      <c r="CH158" s="774"/>
      <c r="CI158" s="917"/>
      <c r="CJ158" s="44"/>
      <c r="CK158" s="44"/>
      <c r="CL158" s="36"/>
      <c r="CM158" s="21"/>
      <c r="CN158" s="270"/>
      <c r="CO158" s="672"/>
      <c r="CP158" s="641"/>
      <c r="CQ158" s="44"/>
      <c r="CR158" s="1040"/>
      <c r="CS158" s="21"/>
      <c r="CT158" s="774"/>
      <c r="CU158" s="781"/>
      <c r="CV158" s="73"/>
      <c r="CW158" s="42"/>
      <c r="CX158" s="43"/>
      <c r="CY158" s="567"/>
      <c r="CZ158" s="781"/>
      <c r="DA158" s="21"/>
      <c r="DB158" s="708"/>
      <c r="DC158" s="757"/>
      <c r="DD158" s="40"/>
      <c r="DE158" s="44"/>
      <c r="DF158" s="44"/>
      <c r="DG158" s="36"/>
      <c r="DH158" s="20"/>
      <c r="DI158" s="271"/>
      <c r="DJ158" s="760"/>
      <c r="DK158" s="40"/>
      <c r="DL158" s="44"/>
      <c r="DM158" s="36"/>
      <c r="DN158" s="20"/>
      <c r="DO158" s="270"/>
      <c r="DP158" s="789"/>
      <c r="DQ158" s="737"/>
      <c r="DR158" s="310"/>
      <c r="DS158" s="36"/>
      <c r="DT158" s="20"/>
      <c r="DU158" s="774"/>
      <c r="DV158" s="789"/>
      <c r="DW158" s="40"/>
      <c r="DX158" s="695"/>
      <c r="DY158" s="116" t="s">
        <v>61</v>
      </c>
      <c r="DZ158" s="786"/>
      <c r="EA158" s="20"/>
      <c r="EB158" s="271"/>
      <c r="EC158" s="760"/>
      <c r="ED158" s="40"/>
      <c r="EE158" s="44"/>
      <c r="EF158" s="36"/>
      <c r="EG158" s="20"/>
      <c r="EH158" s="708"/>
      <c r="EI158" s="789"/>
      <c r="EJ158" s="737"/>
      <c r="EK158" s="44"/>
      <c r="EL158" s="36"/>
      <c r="EM158" s="20"/>
      <c r="EN158" s="270"/>
    </row>
    <row r="159" spans="1:144" ht="19.899999999999999" customHeight="1" thickTop="1" thickBot="1" x14ac:dyDescent="0.25">
      <c r="B159" s="960"/>
      <c r="C159" s="33">
        <f>C158+1</f>
        <v>46100</v>
      </c>
      <c r="D159" s="1"/>
      <c r="E159" s="210" t="s">
        <v>91</v>
      </c>
      <c r="F159" s="585"/>
      <c r="G159" s="807"/>
      <c r="H159" s="1"/>
      <c r="I159" s="264"/>
      <c r="J159" s="672"/>
      <c r="K159" s="309"/>
      <c r="L159" s="695"/>
      <c r="M159" s="86" t="s">
        <v>113</v>
      </c>
      <c r="N159" s="36"/>
      <c r="O159" s="23"/>
      <c r="P159" s="623"/>
      <c r="Q159" s="672"/>
      <c r="R159" s="615" t="s">
        <v>80</v>
      </c>
      <c r="S159" s="672"/>
      <c r="T159" s="86" t="s">
        <v>113</v>
      </c>
      <c r="U159" s="309"/>
      <c r="V159" s="695"/>
      <c r="W159" s="23"/>
      <c r="X159" s="270"/>
      <c r="Y159" s="672"/>
      <c r="Z159" s="63"/>
      <c r="AA159" s="695"/>
      <c r="AB159" s="615" t="s">
        <v>113</v>
      </c>
      <c r="AC159" s="723"/>
      <c r="AD159" s="21"/>
      <c r="AE159" s="270"/>
      <c r="AF159" s="672"/>
      <c r="AG159" s="876"/>
      <c r="AH159" s="734" t="s">
        <v>351</v>
      </c>
      <c r="AI159" s="672"/>
      <c r="AJ159" s="63"/>
      <c r="AK159" s="695"/>
      <c r="AL159" s="615" t="s">
        <v>113</v>
      </c>
      <c r="AM159" s="723"/>
      <c r="AN159" s="21"/>
      <c r="AO159" s="276"/>
      <c r="AP159" s="720"/>
      <c r="AQ159" s="147"/>
      <c r="AR159" s="310"/>
      <c r="AS159" s="310"/>
      <c r="AT159" s="307"/>
      <c r="AU159" s="21"/>
      <c r="AV159" s="276"/>
      <c r="AW159" s="760"/>
      <c r="AX159" s="40"/>
      <c r="AY159" s="75"/>
      <c r="AZ159" s="44"/>
      <c r="BA159" s="36"/>
      <c r="BB159" s="21"/>
      <c r="BC159" s="660"/>
      <c r="BD159" s="641"/>
      <c r="BE159" s="50"/>
      <c r="BF159" s="65"/>
      <c r="BG159" s="21"/>
      <c r="BH159" s="270"/>
      <c r="BI159" s="660"/>
      <c r="BJ159" s="641"/>
      <c r="BK159" s="50"/>
      <c r="BL159" s="65"/>
      <c r="BM159" s="21"/>
      <c r="BN159" s="276"/>
      <c r="BO159" s="948"/>
      <c r="BP159" s="310"/>
      <c r="BQ159" s="1117"/>
      <c r="BR159" s="1134" t="s">
        <v>61</v>
      </c>
      <c r="BS159" s="702"/>
      <c r="BT159" s="307"/>
      <c r="BU159" s="21"/>
      <c r="BV159" s="270"/>
      <c r="BW159" s="760"/>
      <c r="BX159" s="40"/>
      <c r="BY159" s="44"/>
      <c r="BZ159" s="36"/>
      <c r="CA159" s="21"/>
      <c r="CB159" s="270"/>
      <c r="CC159" s="720"/>
      <c r="CD159" s="309"/>
      <c r="CE159" s="44"/>
      <c r="CF159" s="36"/>
      <c r="CG159" s="21"/>
      <c r="CH159" s="774"/>
      <c r="CI159" s="917"/>
      <c r="CJ159" s="44"/>
      <c r="CK159" s="44"/>
      <c r="CL159" s="36"/>
      <c r="CM159" s="21"/>
      <c r="CN159" s="270"/>
      <c r="CO159" s="672"/>
      <c r="CP159" s="641"/>
      <c r="CQ159" s="310"/>
      <c r="CR159" s="1040"/>
      <c r="CS159" s="21"/>
      <c r="CT159" s="774"/>
      <c r="CU159" s="781"/>
      <c r="CV159" s="73"/>
      <c r="CW159" s="42"/>
      <c r="CX159" s="43"/>
      <c r="CY159" s="567"/>
      <c r="CZ159" s="781"/>
      <c r="DA159" s="21"/>
      <c r="DB159" s="708"/>
      <c r="DC159" s="757"/>
      <c r="DD159" s="40"/>
      <c r="DE159" s="44"/>
      <c r="DF159" s="44"/>
      <c r="DG159" s="36"/>
      <c r="DH159" s="20"/>
      <c r="DI159" s="271"/>
      <c r="DJ159" s="760"/>
      <c r="DK159" s="40"/>
      <c r="DL159" s="44"/>
      <c r="DM159" s="36"/>
      <c r="DN159" s="20"/>
      <c r="DO159" s="270"/>
      <c r="DP159" s="789"/>
      <c r="DQ159" s="737"/>
      <c r="DR159" s="66" t="s">
        <v>80</v>
      </c>
      <c r="DS159" s="36"/>
      <c r="DT159" s="20"/>
      <c r="DU159" s="774"/>
      <c r="DV159" s="796"/>
      <c r="DW159" s="40"/>
      <c r="DX159" s="695"/>
      <c r="DY159" s="614" t="s">
        <v>48</v>
      </c>
      <c r="DZ159" s="786"/>
      <c r="EA159" s="20"/>
      <c r="EB159" s="271"/>
      <c r="EC159" s="760"/>
      <c r="ED159" s="40"/>
      <c r="EE159" s="44"/>
      <c r="EF159" s="36"/>
      <c r="EG159" s="20"/>
      <c r="EH159" s="708"/>
      <c r="EI159" s="789"/>
      <c r="EJ159" s="737"/>
      <c r="EK159" s="66" t="s">
        <v>80</v>
      </c>
      <c r="EL159" s="36"/>
      <c r="EM159" s="20"/>
      <c r="EN159" s="270"/>
    </row>
    <row r="160" spans="1:144" ht="19.899999999999999" customHeight="1" thickTop="1" thickBot="1" x14ac:dyDescent="0.25">
      <c r="B160" s="961"/>
      <c r="C160" s="34">
        <f>C159+1</f>
        <v>46101</v>
      </c>
      <c r="D160" s="1"/>
      <c r="E160" s="23"/>
      <c r="F160" s="526"/>
      <c r="G160" s="807"/>
      <c r="H160" s="1"/>
      <c r="I160" s="264"/>
      <c r="J160" s="673"/>
      <c r="K160" s="80"/>
      <c r="L160" s="696"/>
      <c r="M160" s="262" t="s">
        <v>48</v>
      </c>
      <c r="N160" s="48"/>
      <c r="O160" s="23"/>
      <c r="P160" s="623"/>
      <c r="Q160" s="673"/>
      <c r="R160" s="262" t="s">
        <v>48</v>
      </c>
      <c r="S160" s="673"/>
      <c r="T160" s="262" t="s">
        <v>48</v>
      </c>
      <c r="U160" s="80"/>
      <c r="V160" s="696"/>
      <c r="W160" s="23"/>
      <c r="X160" s="270"/>
      <c r="Y160" s="672"/>
      <c r="Z160" s="67"/>
      <c r="AA160" s="696"/>
      <c r="AB160" s="312"/>
      <c r="AC160" s="724"/>
      <c r="AD160" s="21"/>
      <c r="AE160" s="270"/>
      <c r="AF160" s="672"/>
      <c r="AG160" s="876"/>
      <c r="AH160" s="672"/>
      <c r="AI160" s="672"/>
      <c r="AJ160" s="67"/>
      <c r="AK160" s="696"/>
      <c r="AL160" s="47"/>
      <c r="AM160" s="724"/>
      <c r="AN160" s="21"/>
      <c r="AO160" s="276"/>
      <c r="AP160" s="720"/>
      <c r="AQ160" s="311"/>
      <c r="AR160" s="313"/>
      <c r="AS160" s="313"/>
      <c r="AT160" s="315"/>
      <c r="AU160" s="21"/>
      <c r="AV160" s="276"/>
      <c r="AW160" s="760"/>
      <c r="AX160" s="67"/>
      <c r="AY160" s="76"/>
      <c r="AZ160" s="47"/>
      <c r="BA160" s="48"/>
      <c r="BB160" s="21"/>
      <c r="BC160" s="660"/>
      <c r="BD160" s="656"/>
      <c r="BE160" s="312"/>
      <c r="BF160" s="48"/>
      <c r="BG160" s="21"/>
      <c r="BH160" s="270"/>
      <c r="BI160" s="660"/>
      <c r="BJ160" s="656"/>
      <c r="BK160" s="312"/>
      <c r="BL160" s="48"/>
      <c r="BM160" s="21"/>
      <c r="BN160" s="298"/>
      <c r="BO160" s="948"/>
      <c r="BP160" s="310"/>
      <c r="BQ160" s="1118"/>
      <c r="BR160" s="1135" t="s">
        <v>48</v>
      </c>
      <c r="BS160" s="703"/>
      <c r="BT160" s="315"/>
      <c r="BU160" s="21"/>
      <c r="BV160" s="270"/>
      <c r="BW160" s="760"/>
      <c r="BX160" s="67"/>
      <c r="BY160" s="47"/>
      <c r="BZ160" s="48"/>
      <c r="CA160" s="21"/>
      <c r="CB160" s="270"/>
      <c r="CC160" s="720"/>
      <c r="CD160" s="311"/>
      <c r="CE160" s="313"/>
      <c r="CF160" s="64"/>
      <c r="CG160" s="21"/>
      <c r="CH160" s="775"/>
      <c r="CI160" s="918"/>
      <c r="CJ160" s="59"/>
      <c r="CK160" s="59"/>
      <c r="CL160" s="64"/>
      <c r="CM160" s="21"/>
      <c r="CN160" s="270"/>
      <c r="CO160" s="672"/>
      <c r="CP160" s="656"/>
      <c r="CQ160" s="59"/>
      <c r="CR160" s="1041"/>
      <c r="CS160" s="21"/>
      <c r="CT160" s="775"/>
      <c r="CU160" s="781"/>
      <c r="CV160" s="198"/>
      <c r="CW160" s="199"/>
      <c r="CX160" s="200"/>
      <c r="CY160" s="567"/>
      <c r="CZ160" s="781"/>
      <c r="DA160" s="21"/>
      <c r="DB160" s="709"/>
      <c r="DC160" s="758"/>
      <c r="DD160" s="45"/>
      <c r="DE160" s="59"/>
      <c r="DF160" s="59"/>
      <c r="DG160" s="64"/>
      <c r="DH160" s="20"/>
      <c r="DI160" s="271"/>
      <c r="DJ160" s="760"/>
      <c r="DK160" s="45"/>
      <c r="DL160" s="59"/>
      <c r="DM160" s="64"/>
      <c r="DN160" s="20"/>
      <c r="DO160" s="270"/>
      <c r="DP160" s="789"/>
      <c r="DQ160" s="738"/>
      <c r="DR160" s="59"/>
      <c r="DS160" s="64"/>
      <c r="DT160" s="20"/>
      <c r="DU160" s="775"/>
      <c r="DV160" s="1096" t="s">
        <v>411</v>
      </c>
      <c r="DW160" s="45"/>
      <c r="DX160" s="696"/>
      <c r="DY160" s="619" t="s">
        <v>414</v>
      </c>
      <c r="DZ160" s="787"/>
      <c r="EA160" s="20"/>
      <c r="EB160" s="271"/>
      <c r="EC160" s="760"/>
      <c r="ED160" s="45"/>
      <c r="EE160" s="59"/>
      <c r="EF160" s="64"/>
      <c r="EG160" s="20"/>
      <c r="EH160" s="709"/>
      <c r="EI160" s="789"/>
      <c r="EJ160" s="738"/>
      <c r="EK160" s="59"/>
      <c r="EL160" s="64"/>
      <c r="EM160" s="20"/>
      <c r="EN160" s="270"/>
    </row>
    <row r="161" spans="1:145" ht="19.899999999999999" customHeight="1" thickTop="1" x14ac:dyDescent="0.2">
      <c r="B161" s="959">
        <f>B156+1</f>
        <v>13</v>
      </c>
      <c r="C161" s="89">
        <f>C156+7</f>
        <v>46104</v>
      </c>
      <c r="D161" s="4"/>
      <c r="E161" s="24"/>
      <c r="F161" s="525"/>
      <c r="G161" s="807"/>
      <c r="H161" s="4"/>
      <c r="I161" s="707" t="s">
        <v>44</v>
      </c>
      <c r="J161" s="734" t="s">
        <v>194</v>
      </c>
      <c r="K161" s="966">
        <v>1</v>
      </c>
      <c r="L161" s="701" t="s">
        <v>173</v>
      </c>
      <c r="M161" s="39"/>
      <c r="N161" s="35"/>
      <c r="O161" s="24"/>
      <c r="P161" s="707" t="s">
        <v>44</v>
      </c>
      <c r="Q161" s="734" t="s">
        <v>194</v>
      </c>
      <c r="R161" s="308"/>
      <c r="S161" s="734" t="s">
        <v>255</v>
      </c>
      <c r="T161" s="308"/>
      <c r="U161" s="966">
        <v>1</v>
      </c>
      <c r="V161" s="701" t="s">
        <v>173</v>
      </c>
      <c r="W161" s="24"/>
      <c r="X161" s="707" t="s">
        <v>116</v>
      </c>
      <c r="Y161" s="672"/>
      <c r="Z161" s="314"/>
      <c r="AA161" s="701" t="s">
        <v>167</v>
      </c>
      <c r="AB161" s="308"/>
      <c r="AC161" s="306"/>
      <c r="AD161" s="21"/>
      <c r="AE161" s="707" t="s">
        <v>116</v>
      </c>
      <c r="AF161" s="672"/>
      <c r="AG161" s="876"/>
      <c r="AH161" s="672"/>
      <c r="AI161" s="672"/>
      <c r="AJ161" s="61"/>
      <c r="AK161" s="701" t="s">
        <v>167</v>
      </c>
      <c r="AL161" s="308"/>
      <c r="AM161" s="35"/>
      <c r="AN161" s="21"/>
      <c r="AO161" s="713" t="s">
        <v>136</v>
      </c>
      <c r="AP161" s="720"/>
      <c r="AQ161" s="314"/>
      <c r="AR161" s="308"/>
      <c r="AS161" s="308"/>
      <c r="AT161" s="306"/>
      <c r="AU161" s="21"/>
      <c r="AV161" s="713" t="s">
        <v>136</v>
      </c>
      <c r="AW161" s="760"/>
      <c r="AX161" s="61"/>
      <c r="AY161" s="78"/>
      <c r="AZ161" s="39"/>
      <c r="BA161" s="35"/>
      <c r="BB161" s="21"/>
      <c r="BC161" s="660"/>
      <c r="BD161" s="655" t="s">
        <v>102</v>
      </c>
      <c r="BE161" s="308"/>
      <c r="BF161" s="62"/>
      <c r="BG161" s="21"/>
      <c r="BH161" s="707" t="s">
        <v>99</v>
      </c>
      <c r="BI161" s="660"/>
      <c r="BJ161" s="655" t="s">
        <v>102</v>
      </c>
      <c r="BK161" s="39"/>
      <c r="BL161" s="62"/>
      <c r="BM161" s="21"/>
      <c r="BN161" s="713" t="s">
        <v>99</v>
      </c>
      <c r="BO161" s="948"/>
      <c r="BP161" s="310"/>
      <c r="BQ161" s="1117" t="s">
        <v>374</v>
      </c>
      <c r="BR161" s="314"/>
      <c r="BS161" s="701" t="s">
        <v>102</v>
      </c>
      <c r="BT161" s="306"/>
      <c r="BU161" s="21"/>
      <c r="BV161" s="270"/>
      <c r="BW161" s="760"/>
      <c r="BX161" s="132"/>
      <c r="BY161" s="56"/>
      <c r="BZ161" s="57"/>
      <c r="CA161" s="21"/>
      <c r="CB161" s="270"/>
      <c r="CC161" s="720"/>
      <c r="CD161" s="314"/>
      <c r="CE161" s="39"/>
      <c r="CF161" s="35"/>
      <c r="CG161" s="21"/>
      <c r="CH161" s="707" t="s">
        <v>81</v>
      </c>
      <c r="CI161" s="858" t="s">
        <v>171</v>
      </c>
      <c r="CJ161" s="39"/>
      <c r="CK161" s="39"/>
      <c r="CL161" s="35"/>
      <c r="CM161" s="21"/>
      <c r="CN161" s="270"/>
      <c r="CO161" s="762" t="s">
        <v>331</v>
      </c>
      <c r="CP161" s="655" t="s">
        <v>175</v>
      </c>
      <c r="CQ161" s="39"/>
      <c r="CR161" s="35"/>
      <c r="CS161" s="21"/>
      <c r="CT161" s="270"/>
      <c r="CU161" s="781"/>
      <c r="CV161" s="37"/>
      <c r="CW161" s="58"/>
      <c r="CX161" s="201"/>
      <c r="CY161" s="567"/>
      <c r="CZ161" s="781"/>
      <c r="DA161" s="21"/>
      <c r="DB161" s="707" t="s">
        <v>81</v>
      </c>
      <c r="DC161" s="929" t="s">
        <v>171</v>
      </c>
      <c r="DD161" s="61"/>
      <c r="DE161" s="39"/>
      <c r="DF161" s="39"/>
      <c r="DG161" s="35"/>
      <c r="DH161" s="20"/>
      <c r="DI161" s="271"/>
      <c r="DJ161" s="760"/>
      <c r="DK161" s="61"/>
      <c r="DL161" s="39"/>
      <c r="DM161" s="35"/>
      <c r="DN161" s="20"/>
      <c r="DO161" s="270"/>
      <c r="DP161" s="789"/>
      <c r="DQ161" s="736" t="s">
        <v>280</v>
      </c>
      <c r="DR161" s="39"/>
      <c r="DS161" s="35"/>
      <c r="DT161" s="20"/>
      <c r="DU161" s="707" t="s">
        <v>131</v>
      </c>
      <c r="DV161" s="858" t="s">
        <v>171</v>
      </c>
      <c r="DW161" s="61"/>
      <c r="DX161" s="39"/>
      <c r="DY161" s="39"/>
      <c r="DZ161" s="35"/>
      <c r="EA161" s="20"/>
      <c r="EB161" s="707" t="s">
        <v>81</v>
      </c>
      <c r="EC161" s="760"/>
      <c r="ED161" s="61"/>
      <c r="EE161" s="39"/>
      <c r="EF161" s="35"/>
      <c r="EG161" s="20"/>
      <c r="EH161" s="270"/>
      <c r="EI161" s="789"/>
      <c r="EJ161" s="736" t="s">
        <v>280</v>
      </c>
      <c r="EK161" s="39"/>
      <c r="EL161" s="35"/>
      <c r="EM161" s="20"/>
      <c r="EN161" s="707" t="s">
        <v>44</v>
      </c>
      <c r="EO161" s="929" t="s">
        <v>420</v>
      </c>
    </row>
    <row r="162" spans="1:145" ht="19.899999999999999" customHeight="1" x14ac:dyDescent="0.2">
      <c r="B162" s="960"/>
      <c r="C162" s="33">
        <f>C161+1</f>
        <v>46105</v>
      </c>
      <c r="D162" s="1"/>
      <c r="E162" s="23"/>
      <c r="F162" s="526"/>
      <c r="G162" s="807"/>
      <c r="H162" s="1"/>
      <c r="I162" s="708"/>
      <c r="J162" s="672"/>
      <c r="K162" s="967"/>
      <c r="L162" s="702"/>
      <c r="M162" s="42"/>
      <c r="N162" s="43"/>
      <c r="O162" s="23"/>
      <c r="P162" s="708"/>
      <c r="Q162" s="672"/>
      <c r="R162" s="42"/>
      <c r="S162" s="672"/>
      <c r="T162" s="42"/>
      <c r="U162" s="967"/>
      <c r="V162" s="702"/>
      <c r="W162" s="23"/>
      <c r="X162" s="708"/>
      <c r="Y162" s="672"/>
      <c r="Z162" s="309"/>
      <c r="AA162" s="702"/>
      <c r="AB162" s="42"/>
      <c r="AC162" s="43"/>
      <c r="AD162" s="21"/>
      <c r="AE162" s="708"/>
      <c r="AF162" s="672"/>
      <c r="AG162" s="876"/>
      <c r="AH162" s="672"/>
      <c r="AI162" s="672"/>
      <c r="AJ162" s="40"/>
      <c r="AK162" s="702"/>
      <c r="AL162" s="42"/>
      <c r="AM162" s="43"/>
      <c r="AN162" s="21"/>
      <c r="AO162" s="714"/>
      <c r="AP162" s="720"/>
      <c r="AQ162" s="147"/>
      <c r="AR162" s="310"/>
      <c r="AS162" s="310"/>
      <c r="AT162" s="307"/>
      <c r="AU162" s="21"/>
      <c r="AV162" s="714"/>
      <c r="AW162" s="760"/>
      <c r="AX162" s="73"/>
      <c r="AY162" s="75"/>
      <c r="AZ162" s="42"/>
      <c r="BA162" s="43"/>
      <c r="BB162" s="21"/>
      <c r="BC162" s="660"/>
      <c r="BD162" s="641"/>
      <c r="BE162" s="42"/>
      <c r="BF162" s="43"/>
      <c r="BG162" s="21"/>
      <c r="BH162" s="708"/>
      <c r="BI162" s="660"/>
      <c r="BJ162" s="641"/>
      <c r="BK162" s="42"/>
      <c r="BL162" s="43"/>
      <c r="BM162" s="21"/>
      <c r="BN162" s="714"/>
      <c r="BO162" s="948"/>
      <c r="BP162" s="310"/>
      <c r="BQ162" s="1117"/>
      <c r="BR162" s="309"/>
      <c r="BS162" s="702"/>
      <c r="BT162" s="307"/>
      <c r="BU162" s="21"/>
      <c r="BV162" s="270"/>
      <c r="BW162" s="760"/>
      <c r="BX162" s="63"/>
      <c r="BY162" s="42"/>
      <c r="BZ162" s="43"/>
      <c r="CA162" s="21"/>
      <c r="CB162" s="270"/>
      <c r="CC162" s="720"/>
      <c r="CD162" s="309"/>
      <c r="CE162" s="44"/>
      <c r="CF162" s="36"/>
      <c r="CG162" s="21"/>
      <c r="CH162" s="708"/>
      <c r="CI162" s="858"/>
      <c r="CJ162" s="44"/>
      <c r="CK162" s="44"/>
      <c r="CL162" s="36"/>
      <c r="CM162" s="21"/>
      <c r="CN162" s="270"/>
      <c r="CO162" s="813"/>
      <c r="CP162" s="641"/>
      <c r="CQ162" s="44"/>
      <c r="CR162" s="36"/>
      <c r="CS162" s="21"/>
      <c r="CT162" s="270"/>
      <c r="CU162" s="781"/>
      <c r="CV162" s="73"/>
      <c r="CW162" s="42"/>
      <c r="CX162" s="43"/>
      <c r="CY162" s="567"/>
      <c r="CZ162" s="781"/>
      <c r="DA162" s="21"/>
      <c r="DB162" s="708"/>
      <c r="DC162" s="858"/>
      <c r="DD162" s="40"/>
      <c r="DE162" s="44"/>
      <c r="DF162" s="44"/>
      <c r="DG162" s="36"/>
      <c r="DH162" s="20"/>
      <c r="DI162" s="271"/>
      <c r="DJ162" s="760"/>
      <c r="DK162" s="40"/>
      <c r="DL162" s="44"/>
      <c r="DM162" s="36"/>
      <c r="DN162" s="20"/>
      <c r="DO162" s="270"/>
      <c r="DP162" s="789"/>
      <c r="DQ162" s="737"/>
      <c r="DR162" s="44"/>
      <c r="DS162" s="36"/>
      <c r="DT162" s="20"/>
      <c r="DU162" s="708"/>
      <c r="DV162" s="858"/>
      <c r="DW162" s="40"/>
      <c r="DX162" s="44"/>
      <c r="DY162" s="44"/>
      <c r="DZ162" s="36"/>
      <c r="EA162" s="20"/>
      <c r="EB162" s="708"/>
      <c r="EC162" s="760"/>
      <c r="ED162" s="40"/>
      <c r="EE162" s="44"/>
      <c r="EF162" s="36"/>
      <c r="EG162" s="20"/>
      <c r="EH162" s="270"/>
      <c r="EI162" s="789"/>
      <c r="EJ162" s="737"/>
      <c r="EK162" s="44"/>
      <c r="EL162" s="36"/>
      <c r="EM162" s="20"/>
      <c r="EN162" s="708"/>
      <c r="EO162" s="858"/>
    </row>
    <row r="163" spans="1:145" ht="19.899999999999999" customHeight="1" x14ac:dyDescent="0.2">
      <c r="B163" s="960"/>
      <c r="C163" s="33">
        <f>C162+1</f>
        <v>46106</v>
      </c>
      <c r="D163" s="1"/>
      <c r="E163" s="23"/>
      <c r="F163" s="526"/>
      <c r="G163" s="807"/>
      <c r="H163" s="1"/>
      <c r="I163" s="708"/>
      <c r="J163" s="672"/>
      <c r="K163" s="967"/>
      <c r="L163" s="702"/>
      <c r="M163" s="44"/>
      <c r="N163" s="36"/>
      <c r="O163" s="23"/>
      <c r="P163" s="708"/>
      <c r="Q163" s="672"/>
      <c r="R163" s="310"/>
      <c r="S163" s="672"/>
      <c r="T163" s="310"/>
      <c r="U163" s="967"/>
      <c r="V163" s="702"/>
      <c r="W163" s="23"/>
      <c r="X163" s="708"/>
      <c r="Y163" s="672"/>
      <c r="Z163" s="309"/>
      <c r="AA163" s="702"/>
      <c r="AB163" s="310"/>
      <c r="AC163" s="307"/>
      <c r="AD163" s="21"/>
      <c r="AE163" s="708"/>
      <c r="AF163" s="672"/>
      <c r="AG163" s="876"/>
      <c r="AH163" s="672"/>
      <c r="AI163" s="672"/>
      <c r="AJ163" s="40"/>
      <c r="AK163" s="702"/>
      <c r="AL163" s="44"/>
      <c r="AM163" s="36"/>
      <c r="AN163" s="21"/>
      <c r="AO163" s="714"/>
      <c r="AP163" s="720"/>
      <c r="AQ163" s="147"/>
      <c r="AR163" s="310"/>
      <c r="AS163" s="310"/>
      <c r="AT163" s="307"/>
      <c r="AU163" s="21"/>
      <c r="AV163" s="714"/>
      <c r="AW163" s="760"/>
      <c r="AX163" s="40"/>
      <c r="AY163" s="75"/>
      <c r="AZ163" s="44"/>
      <c r="BA163" s="36"/>
      <c r="BB163" s="21"/>
      <c r="BC163" s="660"/>
      <c r="BD163" s="641"/>
      <c r="BE163" s="310"/>
      <c r="BF163" s="65"/>
      <c r="BG163" s="21"/>
      <c r="BH163" s="708"/>
      <c r="BI163" s="660"/>
      <c r="BJ163" s="641"/>
      <c r="BK163" s="44"/>
      <c r="BL163" s="65"/>
      <c r="BM163" s="21"/>
      <c r="BN163" s="714"/>
      <c r="BO163" s="948"/>
      <c r="BP163" s="310"/>
      <c r="BQ163" s="1117"/>
      <c r="BR163" s="309"/>
      <c r="BS163" s="702"/>
      <c r="BT163" s="307"/>
      <c r="BU163" s="21"/>
      <c r="BV163" s="270"/>
      <c r="BW163" s="760"/>
      <c r="BX163" s="63"/>
      <c r="BY163" s="44"/>
      <c r="BZ163" s="36"/>
      <c r="CA163" s="21"/>
      <c r="CB163" s="270"/>
      <c r="CC163" s="720"/>
      <c r="CD163" s="309"/>
      <c r="CE163" s="44"/>
      <c r="CF163" s="36"/>
      <c r="CG163" s="21"/>
      <c r="CH163" s="708"/>
      <c r="CI163" s="858"/>
      <c r="CJ163" s="44"/>
      <c r="CK163" s="44"/>
      <c r="CL163" s="36"/>
      <c r="CM163" s="21"/>
      <c r="CN163" s="270"/>
      <c r="CO163" s="813"/>
      <c r="CP163" s="641"/>
      <c r="CQ163" s="44"/>
      <c r="CR163" s="36"/>
      <c r="CS163" s="21"/>
      <c r="CT163" s="270"/>
      <c r="CU163" s="781"/>
      <c r="CV163" s="73"/>
      <c r="CW163" s="42"/>
      <c r="CX163" s="43"/>
      <c r="CY163" s="567"/>
      <c r="CZ163" s="781"/>
      <c r="DA163" s="21"/>
      <c r="DB163" s="708"/>
      <c r="DC163" s="858"/>
      <c r="DD163" s="40"/>
      <c r="DE163" s="44"/>
      <c r="DF163" s="44"/>
      <c r="DG163" s="36"/>
      <c r="DH163" s="20"/>
      <c r="DI163" s="271"/>
      <c r="DJ163" s="760"/>
      <c r="DK163" s="40"/>
      <c r="DL163" s="44"/>
      <c r="DM163" s="36"/>
      <c r="DN163" s="20"/>
      <c r="DO163" s="270"/>
      <c r="DP163" s="789"/>
      <c r="DQ163" s="737"/>
      <c r="DR163" s="44"/>
      <c r="DS163" s="36"/>
      <c r="DT163" s="20"/>
      <c r="DU163" s="708"/>
      <c r="DV163" s="858"/>
      <c r="DW163" s="40"/>
      <c r="DX163" s="44"/>
      <c r="DY163" s="44"/>
      <c r="DZ163" s="36"/>
      <c r="EA163" s="20"/>
      <c r="EB163" s="708"/>
      <c r="EC163" s="760"/>
      <c r="ED163" s="40"/>
      <c r="EE163" s="44"/>
      <c r="EF163" s="36"/>
      <c r="EG163" s="20"/>
      <c r="EH163" s="270"/>
      <c r="EI163" s="789"/>
      <c r="EJ163" s="737"/>
      <c r="EK163" s="44"/>
      <c r="EL163" s="36"/>
      <c r="EM163" s="20"/>
      <c r="EN163" s="708"/>
      <c r="EO163" s="858"/>
    </row>
    <row r="164" spans="1:145" ht="19.899999999999999" customHeight="1" x14ac:dyDescent="0.2">
      <c r="B164" s="960"/>
      <c r="C164" s="33">
        <f>C163+1</f>
        <v>46107</v>
      </c>
      <c r="D164" s="1"/>
      <c r="E164" s="23"/>
      <c r="F164" s="526"/>
      <c r="G164" s="807"/>
      <c r="H164" s="1"/>
      <c r="I164" s="708"/>
      <c r="J164" s="672"/>
      <c r="K164" s="967"/>
      <c r="L164" s="702"/>
      <c r="M164" s="86" t="s">
        <v>61</v>
      </c>
      <c r="N164" s="36"/>
      <c r="O164" s="23"/>
      <c r="P164" s="708"/>
      <c r="Q164" s="672"/>
      <c r="R164" s="42"/>
      <c r="S164" s="672"/>
      <c r="T164" s="86" t="s">
        <v>61</v>
      </c>
      <c r="U164" s="967"/>
      <c r="V164" s="702"/>
      <c r="W164" s="23"/>
      <c r="X164" s="708"/>
      <c r="Y164" s="672"/>
      <c r="Z164" s="73"/>
      <c r="AA164" s="702"/>
      <c r="AB164" s="42"/>
      <c r="AC164" s="307"/>
      <c r="AD164" s="21"/>
      <c r="AE164" s="708"/>
      <c r="AF164" s="672"/>
      <c r="AG164" s="876"/>
      <c r="AH164" s="672"/>
      <c r="AI164" s="672"/>
      <c r="AJ164" s="73"/>
      <c r="AK164" s="702"/>
      <c r="AL164" s="86" t="s">
        <v>61</v>
      </c>
      <c r="AM164" s="36"/>
      <c r="AN164" s="21"/>
      <c r="AO164" s="714"/>
      <c r="AP164" s="720"/>
      <c r="AQ164" s="147"/>
      <c r="AR164" s="310"/>
      <c r="AS164" s="310"/>
      <c r="AT164" s="307"/>
      <c r="AU164" s="21"/>
      <c r="AV164" s="714"/>
      <c r="AW164" s="760"/>
      <c r="AX164" s="40"/>
      <c r="AY164" s="75"/>
      <c r="AZ164" s="44"/>
      <c r="BA164" s="36"/>
      <c r="BB164" s="21"/>
      <c r="BC164" s="660"/>
      <c r="BD164" s="641"/>
      <c r="BE164" s="42"/>
      <c r="BF164" s="65"/>
      <c r="BG164" s="21"/>
      <c r="BH164" s="708"/>
      <c r="BI164" s="660"/>
      <c r="BJ164" s="641"/>
      <c r="BK164" s="50"/>
      <c r="BL164" s="65"/>
      <c r="BM164" s="21"/>
      <c r="BN164" s="714"/>
      <c r="BO164" s="948"/>
      <c r="BP164" s="310"/>
      <c r="BQ164" s="1117"/>
      <c r="BR164" s="309"/>
      <c r="BS164" s="702"/>
      <c r="BT164" s="307"/>
      <c r="BU164" s="21"/>
      <c r="BV164" s="270"/>
      <c r="BW164" s="760"/>
      <c r="BX164" s="40"/>
      <c r="BY164" s="44"/>
      <c r="BZ164" s="36"/>
      <c r="CA164" s="21"/>
      <c r="CB164" s="270"/>
      <c r="CC164" s="720"/>
      <c r="CD164" s="309"/>
      <c r="CE164" s="44"/>
      <c r="CF164" s="36"/>
      <c r="CG164" s="21"/>
      <c r="CH164" s="708"/>
      <c r="CI164" s="858"/>
      <c r="CJ164" s="44"/>
      <c r="CK164" s="44"/>
      <c r="CL164" s="36"/>
      <c r="CM164" s="21"/>
      <c r="CN164" s="270"/>
      <c r="CO164" s="813"/>
      <c r="CP164" s="641"/>
      <c r="CQ164" s="66" t="s">
        <v>80</v>
      </c>
      <c r="CR164" s="36"/>
      <c r="CS164" s="21"/>
      <c r="CT164" s="270"/>
      <c r="CU164" s="781"/>
      <c r="CV164" s="73"/>
      <c r="CW164" s="42"/>
      <c r="CX164" s="43"/>
      <c r="CY164" s="567"/>
      <c r="CZ164" s="781"/>
      <c r="DA164" s="21"/>
      <c r="DB164" s="708"/>
      <c r="DC164" s="858"/>
      <c r="DD164" s="40"/>
      <c r="DE164" s="44"/>
      <c r="DF164" s="44"/>
      <c r="DG164" s="36"/>
      <c r="DH164" s="20"/>
      <c r="DI164" s="271"/>
      <c r="DJ164" s="760"/>
      <c r="DK164" s="40"/>
      <c r="DL164" s="44"/>
      <c r="DM164" s="36"/>
      <c r="DN164" s="20"/>
      <c r="DO164" s="270"/>
      <c r="DP164" s="789"/>
      <c r="DQ164" s="737"/>
      <c r="DR164" s="310"/>
      <c r="DS164" s="36"/>
      <c r="DT164" s="20"/>
      <c r="DU164" s="708"/>
      <c r="DV164" s="858"/>
      <c r="DW164" s="40"/>
      <c r="DX164" s="44"/>
      <c r="DY164" s="44"/>
      <c r="DZ164" s="36"/>
      <c r="EA164" s="20"/>
      <c r="EB164" s="708"/>
      <c r="EC164" s="760"/>
      <c r="ED164" s="40"/>
      <c r="EE164" s="44"/>
      <c r="EF164" s="36"/>
      <c r="EG164" s="20"/>
      <c r="EH164" s="270"/>
      <c r="EI164" s="789"/>
      <c r="EJ164" s="737"/>
      <c r="EK164" s="44"/>
      <c r="EL164" s="36"/>
      <c r="EM164" s="20"/>
      <c r="EN164" s="708"/>
      <c r="EO164" s="858"/>
    </row>
    <row r="165" spans="1:145" ht="19.899999999999999" customHeight="1" thickBot="1" x14ac:dyDescent="0.25">
      <c r="B165" s="961"/>
      <c r="C165" s="34">
        <f>C164+1</f>
        <v>46108</v>
      </c>
      <c r="D165" s="1"/>
      <c r="E165" s="23"/>
      <c r="F165" s="526"/>
      <c r="G165" s="807"/>
      <c r="H165" s="1"/>
      <c r="I165" s="709"/>
      <c r="J165" s="672"/>
      <c r="K165" s="968"/>
      <c r="L165" s="703"/>
      <c r="M165" s="312"/>
      <c r="N165" s="48"/>
      <c r="O165" s="23"/>
      <c r="P165" s="709"/>
      <c r="Q165" s="672"/>
      <c r="R165" s="312"/>
      <c r="S165" s="672"/>
      <c r="T165" s="312"/>
      <c r="U165" s="968"/>
      <c r="V165" s="703"/>
      <c r="W165" s="23"/>
      <c r="X165" s="709"/>
      <c r="Y165" s="672"/>
      <c r="Z165" s="67"/>
      <c r="AA165" s="703"/>
      <c r="AB165" s="312"/>
      <c r="AC165" s="48"/>
      <c r="AD165" s="21"/>
      <c r="AE165" s="709"/>
      <c r="AF165" s="672"/>
      <c r="AG165" s="876"/>
      <c r="AH165" s="672"/>
      <c r="AI165" s="672"/>
      <c r="AJ165" s="67"/>
      <c r="AK165" s="703"/>
      <c r="AL165" s="47"/>
      <c r="AM165" s="48"/>
      <c r="AN165" s="21"/>
      <c r="AO165" s="715"/>
      <c r="AP165" s="720"/>
      <c r="AQ165" s="311"/>
      <c r="AR165" s="313"/>
      <c r="AS165" s="313"/>
      <c r="AT165" s="315"/>
      <c r="AU165" s="21"/>
      <c r="AV165" s="715"/>
      <c r="AW165" s="760"/>
      <c r="AX165" s="241"/>
      <c r="AY165" s="87"/>
      <c r="AZ165" s="242"/>
      <c r="BA165" s="243"/>
      <c r="BB165" s="21"/>
      <c r="BC165" s="660"/>
      <c r="BD165" s="656"/>
      <c r="BE165" s="312"/>
      <c r="BF165" s="48"/>
      <c r="BG165" s="21"/>
      <c r="BH165" s="709"/>
      <c r="BI165" s="660"/>
      <c r="BJ165" s="656"/>
      <c r="BK165" s="312"/>
      <c r="BL165" s="48"/>
      <c r="BM165" s="21"/>
      <c r="BN165" s="715"/>
      <c r="BO165" s="948"/>
      <c r="BP165" s="313"/>
      <c r="BQ165" s="1117"/>
      <c r="BR165" s="311"/>
      <c r="BS165" s="703"/>
      <c r="BT165" s="315"/>
      <c r="BU165" s="21"/>
      <c r="BV165" s="270"/>
      <c r="BW165" s="760"/>
      <c r="BX165" s="67"/>
      <c r="BY165" s="47"/>
      <c r="BZ165" s="48"/>
      <c r="CA165" s="21"/>
      <c r="CB165" s="270"/>
      <c r="CC165" s="720"/>
      <c r="CD165" s="311"/>
      <c r="CE165" s="59"/>
      <c r="CF165" s="64"/>
      <c r="CG165" s="21"/>
      <c r="CH165" s="709"/>
      <c r="CI165" s="859"/>
      <c r="CJ165" s="59"/>
      <c r="CK165" s="59"/>
      <c r="CL165" s="64"/>
      <c r="CM165" s="21"/>
      <c r="CN165" s="270"/>
      <c r="CO165" s="813"/>
      <c r="CP165" s="656"/>
      <c r="CQ165" s="59"/>
      <c r="CR165" s="64"/>
      <c r="CS165" s="21"/>
      <c r="CT165" s="270"/>
      <c r="CU165" s="781"/>
      <c r="CV165" s="198"/>
      <c r="CW165" s="199"/>
      <c r="CX165" s="200"/>
      <c r="CY165" s="567"/>
      <c r="CZ165" s="781"/>
      <c r="DA165" s="21"/>
      <c r="DB165" s="709"/>
      <c r="DC165" s="859"/>
      <c r="DD165" s="198"/>
      <c r="DE165" s="199"/>
      <c r="DF165" s="199"/>
      <c r="DG165" s="200"/>
      <c r="DH165" s="20"/>
      <c r="DI165" s="271"/>
      <c r="DJ165" s="760"/>
      <c r="DK165" s="45"/>
      <c r="DL165" s="59"/>
      <c r="DM165" s="64"/>
      <c r="DN165" s="20"/>
      <c r="DO165" s="270"/>
      <c r="DP165" s="789"/>
      <c r="DQ165" s="738"/>
      <c r="DR165" s="59"/>
      <c r="DS165" s="64"/>
      <c r="DT165" s="20"/>
      <c r="DU165" s="709"/>
      <c r="DV165" s="859"/>
      <c r="DW165" s="45"/>
      <c r="DX165" s="59"/>
      <c r="DY165" s="59"/>
      <c r="DZ165" s="64"/>
      <c r="EA165" s="20"/>
      <c r="EB165" s="709"/>
      <c r="EC165" s="760"/>
      <c r="ED165" s="45"/>
      <c r="EE165" s="59"/>
      <c r="EF165" s="64"/>
      <c r="EG165" s="20"/>
      <c r="EH165" s="270"/>
      <c r="EI165" s="789"/>
      <c r="EJ165" s="738"/>
      <c r="EK165" s="59"/>
      <c r="EL165" s="64"/>
      <c r="EM165" s="20"/>
      <c r="EN165" s="709"/>
      <c r="EO165" s="859"/>
    </row>
    <row r="166" spans="1:145" ht="19.899999999999999" customHeight="1" thickBot="1" x14ac:dyDescent="0.25">
      <c r="B166" s="959">
        <f>B161+1</f>
        <v>14</v>
      </c>
      <c r="C166" s="89">
        <f>C161+7</f>
        <v>46111</v>
      </c>
      <c r="D166" s="4"/>
      <c r="E166" s="24"/>
      <c r="F166" s="525"/>
      <c r="G166" s="807"/>
      <c r="H166" s="4"/>
      <c r="I166" s="707" t="s">
        <v>330</v>
      </c>
      <c r="J166" s="672"/>
      <c r="K166" s="966">
        <v>1</v>
      </c>
      <c r="L166" s="701" t="s">
        <v>177</v>
      </c>
      <c r="M166" s="39"/>
      <c r="N166" s="35"/>
      <c r="O166" s="24"/>
      <c r="P166" s="707" t="s">
        <v>330</v>
      </c>
      <c r="Q166" s="672"/>
      <c r="R166" s="308"/>
      <c r="S166" s="672"/>
      <c r="T166" s="308"/>
      <c r="U166" s="966">
        <v>1</v>
      </c>
      <c r="V166" s="701" t="s">
        <v>177</v>
      </c>
      <c r="W166" s="24"/>
      <c r="X166" s="707" t="s">
        <v>174</v>
      </c>
      <c r="Y166" s="672"/>
      <c r="Z166" s="314"/>
      <c r="AA166" s="237"/>
      <c r="AB166" s="237"/>
      <c r="AC166" s="306"/>
      <c r="AD166" s="21"/>
      <c r="AE166" s="707" t="s">
        <v>174</v>
      </c>
      <c r="AF166" s="672"/>
      <c r="AG166" s="876"/>
      <c r="AH166" s="672"/>
      <c r="AI166" s="672"/>
      <c r="AJ166" s="61"/>
      <c r="AK166" s="237"/>
      <c r="AL166" s="237"/>
      <c r="AM166" s="35"/>
      <c r="AN166" s="21"/>
      <c r="AO166" s="707" t="s">
        <v>143</v>
      </c>
      <c r="AP166" s="720"/>
      <c r="AQ166" s="314"/>
      <c r="AR166" s="308"/>
      <c r="AS166" s="308"/>
      <c r="AT166" s="306"/>
      <c r="AU166" s="21"/>
      <c r="AV166" s="707" t="s">
        <v>143</v>
      </c>
      <c r="AW166" s="760"/>
      <c r="AX166" s="281"/>
      <c r="AY166" s="282"/>
      <c r="AZ166" s="237"/>
      <c r="BA166" s="283"/>
      <c r="BB166" s="21"/>
      <c r="BC166" s="660"/>
      <c r="BD166" s="655" t="s">
        <v>133</v>
      </c>
      <c r="BE166" s="237"/>
      <c r="BF166" s="283"/>
      <c r="BG166" s="21"/>
      <c r="BH166" s="270"/>
      <c r="BI166" s="660"/>
      <c r="BJ166" s="655" t="s">
        <v>133</v>
      </c>
      <c r="BK166" s="237"/>
      <c r="BL166" s="283"/>
      <c r="BM166" s="21"/>
      <c r="BN166" s="274"/>
      <c r="BO166" s="948"/>
      <c r="BP166" s="308"/>
      <c r="BQ166" s="1117"/>
      <c r="BR166" s="314"/>
      <c r="BS166" s="694" t="s">
        <v>133</v>
      </c>
      <c r="BT166" s="306"/>
      <c r="BU166" s="21"/>
      <c r="BV166" s="270"/>
      <c r="BW166" s="760"/>
      <c r="BX166" s="132"/>
      <c r="BY166" s="56"/>
      <c r="BZ166" s="57"/>
      <c r="CA166" s="21"/>
      <c r="CB166" s="270"/>
      <c r="CC166" s="720"/>
      <c r="CD166" s="314"/>
      <c r="CE166" s="39"/>
      <c r="CF166" s="35"/>
      <c r="CG166" s="21"/>
      <c r="CH166" s="270"/>
      <c r="CI166" s="989" t="s">
        <v>263</v>
      </c>
      <c r="CJ166" s="701" t="s">
        <v>160</v>
      </c>
      <c r="CK166" s="39"/>
      <c r="CL166" s="785" t="s">
        <v>392</v>
      </c>
      <c r="CM166" s="21"/>
      <c r="CN166" s="270"/>
      <c r="CO166" s="813"/>
      <c r="CP166" s="655" t="s">
        <v>182</v>
      </c>
      <c r="CQ166" s="39"/>
      <c r="CR166" s="35"/>
      <c r="CS166" s="21"/>
      <c r="CT166" s="270"/>
      <c r="CU166" s="781"/>
      <c r="CV166" s="37"/>
      <c r="CW166" s="58"/>
      <c r="CX166" s="201"/>
      <c r="CY166" s="567"/>
      <c r="CZ166" s="781"/>
      <c r="DA166" s="21"/>
      <c r="DB166" s="270"/>
      <c r="DC166" s="776" t="s">
        <v>88</v>
      </c>
      <c r="DD166" s="744">
        <v>1</v>
      </c>
      <c r="DE166" s="701" t="s">
        <v>176</v>
      </c>
      <c r="DF166" s="58"/>
      <c r="DG166" s="785" t="s">
        <v>392</v>
      </c>
      <c r="DH166" s="20"/>
      <c r="DI166" s="271"/>
      <c r="DJ166" s="760"/>
      <c r="DK166" s="61"/>
      <c r="DL166" s="39"/>
      <c r="DM166" s="35"/>
      <c r="DN166" s="20"/>
      <c r="DO166" s="773" t="s">
        <v>155</v>
      </c>
      <c r="DP166" s="766" t="s">
        <v>215</v>
      </c>
      <c r="DQ166" s="736" t="s">
        <v>281</v>
      </c>
      <c r="DR166" s="39"/>
      <c r="DS166" s="35"/>
      <c r="DT166" s="20"/>
      <c r="DU166" s="707" t="s">
        <v>81</v>
      </c>
      <c r="DV166" s="872" t="s">
        <v>26</v>
      </c>
      <c r="DW166" s="61"/>
      <c r="DX166" s="39"/>
      <c r="DY166" s="39"/>
      <c r="DZ166" s="35"/>
      <c r="EA166" s="20"/>
      <c r="EB166" s="271"/>
      <c r="EC166" s="760"/>
      <c r="ED166" s="61"/>
      <c r="EE166" s="39"/>
      <c r="EF166" s="35"/>
      <c r="EG166" s="20"/>
      <c r="EH166" s="270"/>
      <c r="EI166" s="789"/>
      <c r="EJ166" s="736" t="s">
        <v>281</v>
      </c>
      <c r="EK166" s="39"/>
      <c r="EL166" s="35"/>
      <c r="EM166" s="20"/>
      <c r="EN166" s="270"/>
    </row>
    <row r="167" spans="1:145" ht="19.5" customHeight="1" thickTop="1" thickBot="1" x14ac:dyDescent="0.25">
      <c r="B167" s="960"/>
      <c r="C167" s="33">
        <f>C166+1</f>
        <v>46112</v>
      </c>
      <c r="D167" s="1"/>
      <c r="E167" s="23"/>
      <c r="F167" s="526"/>
      <c r="G167" s="807"/>
      <c r="H167" s="1"/>
      <c r="I167" s="708"/>
      <c r="J167" s="672"/>
      <c r="K167" s="967"/>
      <c r="L167" s="702"/>
      <c r="M167" s="260"/>
      <c r="N167" s="60"/>
      <c r="O167" s="23"/>
      <c r="P167" s="708"/>
      <c r="Q167" s="672"/>
      <c r="R167" s="260"/>
      <c r="S167" s="672"/>
      <c r="T167" s="260"/>
      <c r="U167" s="967"/>
      <c r="V167" s="702"/>
      <c r="W167" s="23"/>
      <c r="X167" s="708"/>
      <c r="Y167" s="672"/>
      <c r="Z167" s="63"/>
      <c r="AA167" s="85"/>
      <c r="AB167" s="50"/>
      <c r="AC167" s="60"/>
      <c r="AD167" s="21"/>
      <c r="AE167" s="708"/>
      <c r="AF167" s="672"/>
      <c r="AG167" s="876"/>
      <c r="AH167" s="672"/>
      <c r="AI167" s="672"/>
      <c r="AJ167" s="63"/>
      <c r="AK167" s="85"/>
      <c r="AL167" s="50"/>
      <c r="AM167" s="60"/>
      <c r="AN167" s="21"/>
      <c r="AO167" s="708"/>
      <c r="AP167" s="720"/>
      <c r="AQ167" s="147"/>
      <c r="AR167" s="310"/>
      <c r="AS167" s="310"/>
      <c r="AT167" s="307"/>
      <c r="AU167" s="21"/>
      <c r="AV167" s="708"/>
      <c r="AW167" s="760"/>
      <c r="AX167" s="63"/>
      <c r="AY167" s="54"/>
      <c r="AZ167" s="50"/>
      <c r="BA167" s="60"/>
      <c r="BB167" s="21"/>
      <c r="BC167" s="660"/>
      <c r="BD167" s="641"/>
      <c r="BE167" s="50"/>
      <c r="BF167" s="60"/>
      <c r="BG167" s="21"/>
      <c r="BH167" s="270"/>
      <c r="BI167" s="660"/>
      <c r="BJ167" s="641"/>
      <c r="BK167" s="50"/>
      <c r="BL167" s="60"/>
      <c r="BM167" s="21"/>
      <c r="BN167" s="274"/>
      <c r="BO167" s="948"/>
      <c r="BP167" s="310"/>
      <c r="BQ167" s="1117"/>
      <c r="BR167" s="309"/>
      <c r="BS167" s="695"/>
      <c r="BT167" s="307"/>
      <c r="BU167" s="21"/>
      <c r="BV167" s="270"/>
      <c r="BW167" s="760"/>
      <c r="BX167" s="63"/>
      <c r="BY167" s="50"/>
      <c r="BZ167" s="60"/>
      <c r="CA167" s="21"/>
      <c r="CB167" s="270"/>
      <c r="CC167" s="720"/>
      <c r="CD167" s="309"/>
      <c r="CE167" s="44"/>
      <c r="CF167" s="36"/>
      <c r="CG167" s="21"/>
      <c r="CH167" s="270"/>
      <c r="CI167" s="658"/>
      <c r="CJ167" s="702"/>
      <c r="CK167" s="44"/>
      <c r="CL167" s="786"/>
      <c r="CM167" s="21"/>
      <c r="CN167" s="270"/>
      <c r="CO167" s="813"/>
      <c r="CP167" s="641"/>
      <c r="CQ167" s="44"/>
      <c r="CR167" s="36"/>
      <c r="CS167" s="21"/>
      <c r="CT167" s="270"/>
      <c r="CU167" s="781"/>
      <c r="CV167" s="73"/>
      <c r="CW167" s="42"/>
      <c r="CX167" s="43"/>
      <c r="CY167" s="567"/>
      <c r="CZ167" s="781"/>
      <c r="DA167" s="21"/>
      <c r="DB167" s="270"/>
      <c r="DC167" s="777"/>
      <c r="DD167" s="745"/>
      <c r="DE167" s="702"/>
      <c r="DF167" s="44"/>
      <c r="DG167" s="786"/>
      <c r="DH167" s="20"/>
      <c r="DI167" s="271"/>
      <c r="DJ167" s="760"/>
      <c r="DK167" s="40"/>
      <c r="DL167" s="44"/>
      <c r="DM167" s="36"/>
      <c r="DN167" s="20"/>
      <c r="DO167" s="774"/>
      <c r="DP167" s="767"/>
      <c r="DQ167" s="737"/>
      <c r="DR167" s="44"/>
      <c r="DS167" s="36"/>
      <c r="DT167" s="20"/>
      <c r="DU167" s="708"/>
      <c r="DV167" s="872"/>
      <c r="DW167" s="40"/>
      <c r="DX167" s="44"/>
      <c r="DY167" s="44"/>
      <c r="DZ167" s="36"/>
      <c r="EA167" s="20"/>
      <c r="EB167" s="271"/>
      <c r="EC167" s="760"/>
      <c r="ED167" s="40"/>
      <c r="EE167" s="44"/>
      <c r="EF167" s="36"/>
      <c r="EG167" s="20"/>
      <c r="EH167" s="270"/>
      <c r="EI167" s="789"/>
      <c r="EJ167" s="737"/>
      <c r="EK167" s="44"/>
      <c r="EL167" s="36"/>
      <c r="EM167" s="20"/>
      <c r="EN167" s="270"/>
    </row>
    <row r="168" spans="1:145" ht="19.899999999999999" customHeight="1" thickTop="1" thickBot="1" x14ac:dyDescent="0.25">
      <c r="B168" s="960"/>
      <c r="C168" s="33">
        <f>C167+1</f>
        <v>46113</v>
      </c>
      <c r="D168" s="1"/>
      <c r="E168" s="23"/>
      <c r="F168" s="526"/>
      <c r="G168" s="807"/>
      <c r="H168" s="1"/>
      <c r="I168" s="708"/>
      <c r="J168" s="672"/>
      <c r="K168" s="967"/>
      <c r="L168" s="702"/>
      <c r="M168" s="50"/>
      <c r="N168" s="60"/>
      <c r="O168" s="23"/>
      <c r="P168" s="708"/>
      <c r="Q168" s="672"/>
      <c r="R168" s="50"/>
      <c r="S168" s="672"/>
      <c r="T168" s="50"/>
      <c r="U168" s="967"/>
      <c r="V168" s="702"/>
      <c r="W168" s="23"/>
      <c r="X168" s="708"/>
      <c r="Y168" s="672"/>
      <c r="Z168" s="63"/>
      <c r="AA168" s="85"/>
      <c r="AB168" s="50"/>
      <c r="AC168" s="60"/>
      <c r="AD168" s="21"/>
      <c r="AE168" s="708"/>
      <c r="AF168" s="672"/>
      <c r="AG168" s="876"/>
      <c r="AH168" s="672"/>
      <c r="AI168" s="672"/>
      <c r="AJ168" s="63"/>
      <c r="AK168" s="85"/>
      <c r="AL168" s="50"/>
      <c r="AM168" s="60"/>
      <c r="AN168" s="21"/>
      <c r="AO168" s="708"/>
      <c r="AP168" s="720"/>
      <c r="AQ168" s="147"/>
      <c r="AR168" s="310"/>
      <c r="AS168" s="310"/>
      <c r="AT168" s="307"/>
      <c r="AU168" s="21"/>
      <c r="AV168" s="708"/>
      <c r="AW168" s="760"/>
      <c r="AX168" s="63"/>
      <c r="AY168" s="54"/>
      <c r="AZ168" s="50"/>
      <c r="BA168" s="60"/>
      <c r="BB168" s="21"/>
      <c r="BC168" s="660"/>
      <c r="BD168" s="641"/>
      <c r="BE168" s="50"/>
      <c r="BF168" s="60"/>
      <c r="BG168" s="21"/>
      <c r="BH168" s="270"/>
      <c r="BI168" s="660"/>
      <c r="BJ168" s="641"/>
      <c r="BK168" s="50"/>
      <c r="BL168" s="60"/>
      <c r="BM168" s="21"/>
      <c r="BN168" s="274"/>
      <c r="BO168" s="948"/>
      <c r="BP168" s="310"/>
      <c r="BQ168" s="1117"/>
      <c r="BR168" s="309"/>
      <c r="BS168" s="695"/>
      <c r="BT168" s="307"/>
      <c r="BU168" s="21"/>
      <c r="BV168" s="270"/>
      <c r="BW168" s="760"/>
      <c r="BX168" s="63"/>
      <c r="BY168" s="50"/>
      <c r="BZ168" s="60"/>
      <c r="CA168" s="21"/>
      <c r="CB168" s="270"/>
      <c r="CC168" s="720"/>
      <c r="CD168" s="309"/>
      <c r="CE168" s="44"/>
      <c r="CF168" s="36"/>
      <c r="CG168" s="21"/>
      <c r="CH168" s="270"/>
      <c r="CI168" s="658"/>
      <c r="CJ168" s="702"/>
      <c r="CK168" s="44"/>
      <c r="CL168" s="786"/>
      <c r="CM168" s="21"/>
      <c r="CN168" s="270"/>
      <c r="CO168" s="813"/>
      <c r="CP168" s="641"/>
      <c r="CQ168" s="44"/>
      <c r="CR168" s="36"/>
      <c r="CS168" s="21"/>
      <c r="CT168" s="270"/>
      <c r="CU168" s="781"/>
      <c r="CV168" s="73"/>
      <c r="CW168" s="42"/>
      <c r="CX168" s="43"/>
      <c r="CY168" s="567"/>
      <c r="CZ168" s="781"/>
      <c r="DA168" s="21"/>
      <c r="DB168" s="270"/>
      <c r="DC168" s="777"/>
      <c r="DD168" s="745"/>
      <c r="DE168" s="702"/>
      <c r="DF168" s="44"/>
      <c r="DG168" s="786"/>
      <c r="DH168" s="20"/>
      <c r="DI168" s="271"/>
      <c r="DJ168" s="760"/>
      <c r="DK168" s="40"/>
      <c r="DL168" s="44"/>
      <c r="DM168" s="36"/>
      <c r="DN168" s="20"/>
      <c r="DO168" s="774"/>
      <c r="DP168" s="767"/>
      <c r="DQ168" s="737"/>
      <c r="DR168" s="44"/>
      <c r="DS168" s="36"/>
      <c r="DT168" s="20"/>
      <c r="DU168" s="708"/>
      <c r="DV168" s="872"/>
      <c r="DW168" s="40"/>
      <c r="DX168" s="44"/>
      <c r="DY168" s="44"/>
      <c r="DZ168" s="36"/>
      <c r="EA168" s="20"/>
      <c r="EB168" s="271"/>
      <c r="EC168" s="760"/>
      <c r="ED168" s="40"/>
      <c r="EE168" s="44"/>
      <c r="EF168" s="36"/>
      <c r="EG168" s="20"/>
      <c r="EH168" s="270"/>
      <c r="EI168" s="789"/>
      <c r="EJ168" s="737"/>
      <c r="EK168" s="44"/>
      <c r="EL168" s="36"/>
      <c r="EM168" s="20"/>
      <c r="EN168" s="270"/>
    </row>
    <row r="169" spans="1:145" ht="17.25" customHeight="1" thickTop="1" thickBot="1" x14ac:dyDescent="0.25">
      <c r="B169" s="960"/>
      <c r="C169" s="33">
        <f>C168+1</f>
        <v>46114</v>
      </c>
      <c r="D169" s="1"/>
      <c r="E169" s="23"/>
      <c r="F169" s="526"/>
      <c r="G169" s="807"/>
      <c r="H169" s="1"/>
      <c r="I169" s="708"/>
      <c r="J169" s="672"/>
      <c r="K169" s="967"/>
      <c r="L169" s="702"/>
      <c r="M169" s="260"/>
      <c r="N169" s="60"/>
      <c r="O169" s="23"/>
      <c r="P169" s="708"/>
      <c r="Q169" s="672"/>
      <c r="R169" s="260"/>
      <c r="S169" s="672"/>
      <c r="T169" s="260"/>
      <c r="U169" s="967"/>
      <c r="V169" s="702"/>
      <c r="W169" s="23"/>
      <c r="X169" s="708"/>
      <c r="Y169" s="672"/>
      <c r="Z169" s="63"/>
      <c r="AA169" s="85"/>
      <c r="AB169" s="50"/>
      <c r="AC169" s="60"/>
      <c r="AD169" s="21"/>
      <c r="AE169" s="708"/>
      <c r="AF169" s="672"/>
      <c r="AG169" s="876"/>
      <c r="AH169" s="672"/>
      <c r="AI169" s="672"/>
      <c r="AJ169" s="63"/>
      <c r="AK169" s="85"/>
      <c r="AL169" s="86" t="s">
        <v>61</v>
      </c>
      <c r="AM169" s="60"/>
      <c r="AN169" s="21"/>
      <c r="AO169" s="708"/>
      <c r="AP169" s="720"/>
      <c r="AQ169" s="147"/>
      <c r="AR169" s="310"/>
      <c r="AS169" s="310"/>
      <c r="AT169" s="307"/>
      <c r="AU169" s="21"/>
      <c r="AV169" s="708"/>
      <c r="AW169" s="760"/>
      <c r="AX169" s="63"/>
      <c r="AY169" s="54"/>
      <c r="AZ169" s="50"/>
      <c r="BA169" s="60"/>
      <c r="BB169" s="21"/>
      <c r="BC169" s="660"/>
      <c r="BD169" s="641"/>
      <c r="BE169" s="66" t="s">
        <v>80</v>
      </c>
      <c r="BF169" s="60"/>
      <c r="BG169" s="21"/>
      <c r="BH169" s="270"/>
      <c r="BI169" s="660"/>
      <c r="BJ169" s="641"/>
      <c r="BK169" s="66" t="s">
        <v>80</v>
      </c>
      <c r="BL169" s="60"/>
      <c r="BM169" s="21"/>
      <c r="BN169" s="274"/>
      <c r="BO169" s="948"/>
      <c r="BP169" s="66" t="s">
        <v>80</v>
      </c>
      <c r="BQ169" s="1117"/>
      <c r="BR169" s="1136" t="s">
        <v>113</v>
      </c>
      <c r="BS169" s="695"/>
      <c r="BT169" s="307"/>
      <c r="BU169" s="21"/>
      <c r="BV169" s="270"/>
      <c r="BW169" s="760"/>
      <c r="BX169" s="63"/>
      <c r="BY169" s="50"/>
      <c r="BZ169" s="60"/>
      <c r="CA169" s="21"/>
      <c r="CB169" s="270"/>
      <c r="CC169" s="720"/>
      <c r="CD169" s="309"/>
      <c r="CE169" s="44"/>
      <c r="CF169" s="36"/>
      <c r="CG169" s="21"/>
      <c r="CH169" s="270"/>
      <c r="CI169" s="658"/>
      <c r="CJ169" s="702"/>
      <c r="CK169" s="44"/>
      <c r="CL169" s="786"/>
      <c r="CM169" s="21"/>
      <c r="CN169" s="270"/>
      <c r="CO169" s="813"/>
      <c r="CP169" s="641"/>
      <c r="CQ169" s="44"/>
      <c r="CR169" s="36"/>
      <c r="CS169" s="21"/>
      <c r="CT169" s="270"/>
      <c r="CU169" s="781"/>
      <c r="CV169" s="73"/>
      <c r="CW169" s="42"/>
      <c r="CX169" s="43"/>
      <c r="CY169" s="567"/>
      <c r="CZ169" s="781"/>
      <c r="DA169" s="21"/>
      <c r="DB169" s="270"/>
      <c r="DC169" s="777"/>
      <c r="DD169" s="745"/>
      <c r="DE169" s="702"/>
      <c r="DF169" s="621" t="s">
        <v>80</v>
      </c>
      <c r="DG169" s="786"/>
      <c r="DH169" s="20"/>
      <c r="DI169" s="271"/>
      <c r="DJ169" s="760"/>
      <c r="DK169" s="40"/>
      <c r="DL169" s="44"/>
      <c r="DM169" s="36"/>
      <c r="DN169" s="20"/>
      <c r="DO169" s="774"/>
      <c r="DP169" s="767"/>
      <c r="DQ169" s="737"/>
      <c r="DR169" s="44"/>
      <c r="DS169" s="36"/>
      <c r="DT169" s="20"/>
      <c r="DU169" s="708"/>
      <c r="DV169" s="872"/>
      <c r="DW169" s="40"/>
      <c r="DX169" s="44"/>
      <c r="DY169" s="44"/>
      <c r="DZ169" s="36"/>
      <c r="EA169" s="20"/>
      <c r="EB169" s="271"/>
      <c r="EC169" s="760"/>
      <c r="ED169" s="40"/>
      <c r="EE169" s="44"/>
      <c r="EF169" s="36"/>
      <c r="EG169" s="20"/>
      <c r="EH169" s="270"/>
      <c r="EI169" s="789"/>
      <c r="EJ169" s="737"/>
      <c r="EK169" s="66" t="s">
        <v>80</v>
      </c>
      <c r="EL169" s="36"/>
      <c r="EM169" s="20"/>
      <c r="EN169" s="270"/>
    </row>
    <row r="170" spans="1:145" ht="19.899999999999999" customHeight="1" thickTop="1" thickBot="1" x14ac:dyDescent="0.25">
      <c r="B170" s="961"/>
      <c r="C170" s="34">
        <f>C169+1</f>
        <v>46115</v>
      </c>
      <c r="D170" s="1"/>
      <c r="E170" s="23"/>
      <c r="F170" s="526"/>
      <c r="G170" s="807"/>
      <c r="H170" s="1"/>
      <c r="I170" s="708"/>
      <c r="J170" s="821"/>
      <c r="K170" s="968"/>
      <c r="L170" s="703"/>
      <c r="M170" s="47"/>
      <c r="N170" s="48"/>
      <c r="O170" s="23"/>
      <c r="P170" s="708"/>
      <c r="Q170" s="821"/>
      <c r="R170" s="312"/>
      <c r="S170" s="821"/>
      <c r="T170" s="312"/>
      <c r="U170" s="968"/>
      <c r="V170" s="703"/>
      <c r="W170" s="23"/>
      <c r="X170" s="709"/>
      <c r="Y170" s="735"/>
      <c r="Z170" s="67"/>
      <c r="AA170" s="87"/>
      <c r="AB170" s="312"/>
      <c r="AC170" s="48"/>
      <c r="AD170" s="21"/>
      <c r="AE170" s="709"/>
      <c r="AF170" s="735"/>
      <c r="AG170" s="877"/>
      <c r="AH170" s="904"/>
      <c r="AI170" s="735"/>
      <c r="AJ170" s="67"/>
      <c r="AK170" s="87"/>
      <c r="AL170" s="88" t="s">
        <v>48</v>
      </c>
      <c r="AM170" s="48"/>
      <c r="AN170" s="21"/>
      <c r="AO170" s="709"/>
      <c r="AP170" s="721"/>
      <c r="AQ170" s="311"/>
      <c r="AR170" s="313"/>
      <c r="AS170" s="313"/>
      <c r="AT170" s="315"/>
      <c r="AU170" s="21"/>
      <c r="AV170" s="709"/>
      <c r="AW170" s="761"/>
      <c r="AX170" s="67"/>
      <c r="AY170" s="55"/>
      <c r="AZ170" s="47"/>
      <c r="BA170" s="48"/>
      <c r="BB170" s="21"/>
      <c r="BC170" s="661"/>
      <c r="BD170" s="656"/>
      <c r="BE170" s="312"/>
      <c r="BF170" s="48"/>
      <c r="BG170" s="21"/>
      <c r="BH170" s="270"/>
      <c r="BI170" s="661"/>
      <c r="BJ170" s="656"/>
      <c r="BK170" s="47"/>
      <c r="BL170" s="48"/>
      <c r="BM170" s="21"/>
      <c r="BN170" s="274"/>
      <c r="BO170" s="991"/>
      <c r="BP170" s="481" t="s">
        <v>48</v>
      </c>
      <c r="BQ170" s="1118"/>
      <c r="BR170" s="1133" t="s">
        <v>48</v>
      </c>
      <c r="BS170" s="696"/>
      <c r="BT170" s="315"/>
      <c r="BU170" s="21"/>
      <c r="BV170" s="270"/>
      <c r="BW170" s="760"/>
      <c r="BX170" s="67"/>
      <c r="BY170" s="47"/>
      <c r="BZ170" s="48"/>
      <c r="CA170" s="21"/>
      <c r="CB170" s="270"/>
      <c r="CC170" s="720"/>
      <c r="CD170" s="311"/>
      <c r="CE170" s="59"/>
      <c r="CF170" s="64"/>
      <c r="CG170" s="21"/>
      <c r="CH170" s="270"/>
      <c r="CI170" s="1113"/>
      <c r="CJ170" s="703"/>
      <c r="CK170" s="59"/>
      <c r="CL170" s="787"/>
      <c r="CM170" s="21"/>
      <c r="CN170" s="270"/>
      <c r="CO170" s="914"/>
      <c r="CP170" s="656"/>
      <c r="CQ170" s="59"/>
      <c r="CR170" s="64"/>
      <c r="CS170" s="21"/>
      <c r="CT170" s="270"/>
      <c r="CU170" s="781"/>
      <c r="CV170" s="198"/>
      <c r="CW170" s="199"/>
      <c r="CX170" s="200"/>
      <c r="CY170" s="567"/>
      <c r="CZ170" s="781"/>
      <c r="DA170" s="21"/>
      <c r="DB170" s="270"/>
      <c r="DC170" s="778"/>
      <c r="DD170" s="1034"/>
      <c r="DE170" s="790"/>
      <c r="DF170" s="59"/>
      <c r="DG170" s="787"/>
      <c r="DH170" s="20"/>
      <c r="DI170" s="271"/>
      <c r="DJ170" s="760"/>
      <c r="DK170" s="45"/>
      <c r="DL170" s="59"/>
      <c r="DM170" s="64"/>
      <c r="DN170" s="20"/>
      <c r="DO170" s="775"/>
      <c r="DP170" s="767"/>
      <c r="DQ170" s="738"/>
      <c r="DR170" s="59"/>
      <c r="DS170" s="64"/>
      <c r="DT170" s="20"/>
      <c r="DU170" s="709"/>
      <c r="DV170" s="872"/>
      <c r="DW170" s="45"/>
      <c r="DX170" s="59"/>
      <c r="DY170" s="59"/>
      <c r="DZ170" s="64"/>
      <c r="EA170" s="20"/>
      <c r="EB170" s="271"/>
      <c r="EC170" s="760"/>
      <c r="ED170" s="45"/>
      <c r="EE170" s="59"/>
      <c r="EF170" s="64"/>
      <c r="EG170" s="20"/>
      <c r="EH170" s="270"/>
      <c r="EI170" s="847"/>
      <c r="EJ170" s="738"/>
      <c r="EK170" s="59"/>
      <c r="EL170" s="64"/>
      <c r="EM170" s="20"/>
      <c r="EN170" s="270"/>
    </row>
    <row r="171" spans="1:145" ht="19.899999999999999" customHeight="1" thickTop="1" thickBot="1" x14ac:dyDescent="0.25">
      <c r="A171" s="6" t="s">
        <v>139</v>
      </c>
      <c r="B171" s="959">
        <f>B166+1</f>
        <v>15</v>
      </c>
      <c r="C171" s="222">
        <f>C166+7</f>
        <v>46118</v>
      </c>
      <c r="D171" s="4"/>
      <c r="E171" s="24"/>
      <c r="F171" s="525"/>
      <c r="G171" s="807"/>
      <c r="H171" s="4"/>
      <c r="I171" s="707" t="s">
        <v>99</v>
      </c>
      <c r="J171" s="372"/>
      <c r="K171" s="373"/>
      <c r="L171" s="230"/>
      <c r="M171" s="295"/>
      <c r="N171" s="374"/>
      <c r="O171" s="24"/>
      <c r="P171" s="707" t="s">
        <v>99</v>
      </c>
      <c r="Q171" s="372"/>
      <c r="R171" s="295"/>
      <c r="S171" s="372"/>
      <c r="T171" s="295"/>
      <c r="U171" s="373"/>
      <c r="V171" s="230"/>
      <c r="W171" s="24"/>
      <c r="X171" s="707" t="s">
        <v>69</v>
      </c>
      <c r="Y171" s="759" t="s">
        <v>404</v>
      </c>
      <c r="Z171" s="253"/>
      <c r="AA171" s="375"/>
      <c r="AB171" s="254"/>
      <c r="AC171" s="255"/>
      <c r="AD171" s="21"/>
      <c r="AE171" s="707" t="s">
        <v>69</v>
      </c>
      <c r="AF171" s="759" t="s">
        <v>404</v>
      </c>
      <c r="AG171" s="759" t="s">
        <v>404</v>
      </c>
      <c r="AH171" s="759" t="s">
        <v>404</v>
      </c>
      <c r="AI171" s="759" t="s">
        <v>404</v>
      </c>
      <c r="AJ171" s="253"/>
      <c r="AK171" s="375"/>
      <c r="AL171" s="254"/>
      <c r="AM171" s="255"/>
      <c r="AN171" s="21"/>
      <c r="AO171" s="713" t="s">
        <v>149</v>
      </c>
      <c r="AP171" s="561"/>
      <c r="AQ171" s="253"/>
      <c r="AR171" s="254"/>
      <c r="AS171" s="254"/>
      <c r="AT171" s="255"/>
      <c r="AU171" s="21"/>
      <c r="AV171" s="713" t="s">
        <v>149</v>
      </c>
      <c r="AW171" s="637"/>
      <c r="AX171" s="253"/>
      <c r="AY171" s="375"/>
      <c r="AZ171" s="254"/>
      <c r="BA171" s="636"/>
      <c r="BB171" s="21"/>
      <c r="BC171" s="560"/>
      <c r="BD171" s="379"/>
      <c r="BE171" s="254"/>
      <c r="BF171" s="255"/>
      <c r="BG171" s="21"/>
      <c r="BH171" s="270"/>
      <c r="BI171" s="560"/>
      <c r="BJ171" s="379"/>
      <c r="BK171" s="295"/>
      <c r="BL171" s="374"/>
      <c r="BM171" s="21"/>
      <c r="BN171" s="707" t="s">
        <v>92</v>
      </c>
      <c r="BO171" s="598"/>
      <c r="BP171" s="295"/>
      <c r="BQ171" s="1123"/>
      <c r="BR171" s="349"/>
      <c r="BS171" s="230"/>
      <c r="BT171" s="374"/>
      <c r="BU171" s="21"/>
      <c r="BV171" s="713" t="s">
        <v>322</v>
      </c>
      <c r="BW171" s="760"/>
      <c r="BX171" s="376"/>
      <c r="BY171" s="377"/>
      <c r="BZ171" s="378"/>
      <c r="CA171" s="21"/>
      <c r="CB171" s="270"/>
      <c r="CC171" s="720"/>
      <c r="CD171" s="253"/>
      <c r="CE171" s="254"/>
      <c r="CF171" s="255"/>
      <c r="CG171" s="21"/>
      <c r="CH171" s="270"/>
      <c r="CI171" s="372"/>
      <c r="CJ171" s="230"/>
      <c r="CK171" s="295"/>
      <c r="CL171" s="374"/>
      <c r="CM171" s="21"/>
      <c r="CN171" s="270"/>
      <c r="CO171" s="334"/>
      <c r="CP171" s="379"/>
      <c r="CQ171" s="295"/>
      <c r="CR171" s="235"/>
      <c r="CS171" s="21"/>
      <c r="CT171" s="270"/>
      <c r="CU171" s="781"/>
      <c r="CV171" s="382"/>
      <c r="CW171" s="383"/>
      <c r="CX171" s="384"/>
      <c r="CY171" s="567"/>
      <c r="CZ171" s="781"/>
      <c r="DA171" s="21"/>
      <c r="DB171" s="270"/>
      <c r="DC171" s="385"/>
      <c r="DD171" s="386"/>
      <c r="DE171" s="387"/>
      <c r="DF171" s="295"/>
      <c r="DG171" s="374"/>
      <c r="DH171" s="20"/>
      <c r="DI171" s="707" t="s">
        <v>81</v>
      </c>
      <c r="DJ171" s="760"/>
      <c r="DK171" s="253"/>
      <c r="DL171" s="254"/>
      <c r="DM171" s="255"/>
      <c r="DN171" s="20"/>
      <c r="DO171" s="270"/>
      <c r="DP171" s="759" t="s">
        <v>26</v>
      </c>
      <c r="DQ171" s="253"/>
      <c r="DR171" s="254"/>
      <c r="DS171" s="255"/>
      <c r="DT171" s="20"/>
      <c r="DU171" s="270"/>
      <c r="DV171" s="872"/>
      <c r="DW171" s="253"/>
      <c r="DX171" s="254"/>
      <c r="DY171" s="254"/>
      <c r="DZ171" s="255"/>
      <c r="EA171" s="20"/>
      <c r="EB171" s="271"/>
      <c r="EC171" s="761"/>
      <c r="ED171" s="379"/>
      <c r="EE171" s="295"/>
      <c r="EF171" s="374"/>
      <c r="EG171" s="20"/>
      <c r="EH171" s="773" t="s">
        <v>155</v>
      </c>
      <c r="EI171" s="759" t="s">
        <v>26</v>
      </c>
      <c r="EJ171" s="253"/>
      <c r="EK171" s="254"/>
      <c r="EL171" s="255"/>
      <c r="EM171" s="20"/>
      <c r="EN171" s="270"/>
    </row>
    <row r="172" spans="1:145" ht="19.899999999999999" customHeight="1" thickBot="1" x14ac:dyDescent="0.25">
      <c r="A172" s="6" t="s">
        <v>139</v>
      </c>
      <c r="B172" s="960"/>
      <c r="C172" s="33">
        <f>C171+1</f>
        <v>46119</v>
      </c>
      <c r="D172" s="1"/>
      <c r="E172" s="23"/>
      <c r="F172" s="526"/>
      <c r="G172" s="807"/>
      <c r="H172" s="1"/>
      <c r="I172" s="708"/>
      <c r="J172" s="672" t="s">
        <v>194</v>
      </c>
      <c r="K172" s="850">
        <v>1</v>
      </c>
      <c r="L172" s="702" t="s">
        <v>179</v>
      </c>
      <c r="M172" s="277"/>
      <c r="N172" s="227"/>
      <c r="O172" s="23"/>
      <c r="P172" s="708"/>
      <c r="Q172" s="672" t="s">
        <v>194</v>
      </c>
      <c r="R172" s="277"/>
      <c r="S172" s="672" t="s">
        <v>255</v>
      </c>
      <c r="T172" s="277"/>
      <c r="U172" s="850">
        <v>1</v>
      </c>
      <c r="V172" s="702" t="s">
        <v>179</v>
      </c>
      <c r="W172" s="23"/>
      <c r="X172" s="711"/>
      <c r="Y172" s="760"/>
      <c r="Z172" s="73"/>
      <c r="AA172" s="75"/>
      <c r="AB172" s="42"/>
      <c r="AC172" s="43"/>
      <c r="AD172" s="21"/>
      <c r="AE172" s="711"/>
      <c r="AF172" s="760"/>
      <c r="AG172" s="760"/>
      <c r="AH172" s="760"/>
      <c r="AI172" s="760"/>
      <c r="AJ172" s="73"/>
      <c r="AK172" s="75"/>
      <c r="AL172" s="42"/>
      <c r="AM172" s="43"/>
      <c r="AN172" s="21"/>
      <c r="AO172" s="714"/>
      <c r="AP172" s="944" t="s">
        <v>185</v>
      </c>
      <c r="AQ172" s="147"/>
      <c r="AR172" s="310"/>
      <c r="AS172" s="310"/>
      <c r="AT172" s="1044" t="s">
        <v>48</v>
      </c>
      <c r="AU172" s="21"/>
      <c r="AV172" s="714"/>
      <c r="AW172" s="666" t="s">
        <v>185</v>
      </c>
      <c r="AX172" s="73"/>
      <c r="AY172" s="75"/>
      <c r="AZ172" s="42"/>
      <c r="BA172" s="669" t="s">
        <v>48</v>
      </c>
      <c r="BB172" s="21"/>
      <c r="BC172" s="662" t="s">
        <v>436</v>
      </c>
      <c r="BD172" s="641" t="s">
        <v>138</v>
      </c>
      <c r="BE172" s="42"/>
      <c r="BF172" s="43"/>
      <c r="BG172" s="21"/>
      <c r="BH172" s="274"/>
      <c r="BI172" s="662" t="s">
        <v>436</v>
      </c>
      <c r="BJ172" s="641" t="s">
        <v>138</v>
      </c>
      <c r="BK172" s="277"/>
      <c r="BL172" s="227"/>
      <c r="BM172" s="21"/>
      <c r="BN172" s="708"/>
      <c r="BO172" s="1054" t="s">
        <v>369</v>
      </c>
      <c r="BP172" s="481" t="s">
        <v>48</v>
      </c>
      <c r="BQ172" s="1117" t="s">
        <v>375</v>
      </c>
      <c r="BR172" s="1133" t="s">
        <v>48</v>
      </c>
      <c r="BS172" s="702" t="s">
        <v>138</v>
      </c>
      <c r="BT172" s="84"/>
      <c r="BU172" s="21"/>
      <c r="BV172" s="714"/>
      <c r="BW172" s="760"/>
      <c r="BX172" s="63"/>
      <c r="BY172" s="42"/>
      <c r="BZ172" s="43"/>
      <c r="CA172" s="21"/>
      <c r="CB172" s="270"/>
      <c r="CC172" s="720"/>
      <c r="CD172" s="309"/>
      <c r="CE172" s="44"/>
      <c r="CF172" s="36"/>
      <c r="CG172" s="21"/>
      <c r="CH172" s="270"/>
      <c r="CI172" s="833" t="s">
        <v>263</v>
      </c>
      <c r="CJ172" s="702" t="s">
        <v>186</v>
      </c>
      <c r="CK172" s="83"/>
      <c r="CL172" s="84"/>
      <c r="CM172" s="21"/>
      <c r="CN172" s="270"/>
      <c r="CO172" s="582"/>
      <c r="CP172" s="641" t="s">
        <v>178</v>
      </c>
      <c r="CQ172" s="83"/>
      <c r="CR172" s="307"/>
      <c r="CS172" s="21"/>
      <c r="CT172" s="270"/>
      <c r="CU172" s="781"/>
      <c r="CV172" s="280"/>
      <c r="CW172" s="277"/>
      <c r="CX172" s="227"/>
      <c r="CY172" s="567"/>
      <c r="CZ172" s="781"/>
      <c r="DA172" s="21"/>
      <c r="DB172" s="270"/>
      <c r="DC172" s="822" t="s">
        <v>88</v>
      </c>
      <c r="DD172" s="850">
        <v>1</v>
      </c>
      <c r="DE172" s="702" t="s">
        <v>160</v>
      </c>
      <c r="DF172" s="83"/>
      <c r="DG172" s="84"/>
      <c r="DH172" s="20"/>
      <c r="DI172" s="708"/>
      <c r="DJ172" s="760"/>
      <c r="DK172" s="40"/>
      <c r="DL172" s="44"/>
      <c r="DM172" s="36"/>
      <c r="DN172" s="20"/>
      <c r="DO172" s="270"/>
      <c r="DP172" s="760"/>
      <c r="DQ172" s="40"/>
      <c r="DR172" s="44"/>
      <c r="DS172" s="36"/>
      <c r="DT172" s="20"/>
      <c r="DU172" s="270"/>
      <c r="DV172" s="872"/>
      <c r="DW172" s="40"/>
      <c r="DX172" s="44"/>
      <c r="DY172" s="44"/>
      <c r="DZ172" s="36"/>
      <c r="EA172" s="20"/>
      <c r="EB172" s="271"/>
      <c r="EC172" s="1095" t="s">
        <v>265</v>
      </c>
      <c r="ED172" s="309"/>
      <c r="EE172" s="83"/>
      <c r="EF172" s="84"/>
      <c r="EG172" s="20"/>
      <c r="EH172" s="774"/>
      <c r="EI172" s="760"/>
      <c r="EJ172" s="40"/>
      <c r="EK172" s="44"/>
      <c r="EL172" s="36"/>
      <c r="EM172" s="20"/>
      <c r="EN172" s="274"/>
    </row>
    <row r="173" spans="1:145" ht="19.899999999999999" customHeight="1" thickBot="1" x14ac:dyDescent="0.25">
      <c r="A173" s="6" t="s">
        <v>139</v>
      </c>
      <c r="B173" s="960"/>
      <c r="C173" s="33">
        <f>C172+1</f>
        <v>46120</v>
      </c>
      <c r="D173" s="1"/>
      <c r="E173" s="23"/>
      <c r="F173" s="526"/>
      <c r="G173" s="807"/>
      <c r="H173" s="1"/>
      <c r="I173" s="708"/>
      <c r="J173" s="672"/>
      <c r="K173" s="850"/>
      <c r="L173" s="702"/>
      <c r="M173" s="50"/>
      <c r="N173" s="60"/>
      <c r="O173" s="24"/>
      <c r="P173" s="708"/>
      <c r="Q173" s="672"/>
      <c r="R173" s="50"/>
      <c r="S173" s="672"/>
      <c r="T173" s="50"/>
      <c r="U173" s="850"/>
      <c r="V173" s="702"/>
      <c r="W173" s="24"/>
      <c r="X173" s="711"/>
      <c r="Y173" s="760"/>
      <c r="Z173" s="63"/>
      <c r="AA173" s="75"/>
      <c r="AB173" s="50"/>
      <c r="AC173" s="60"/>
      <c r="AD173" s="21"/>
      <c r="AE173" s="711"/>
      <c r="AF173" s="760"/>
      <c r="AG173" s="760"/>
      <c r="AH173" s="760"/>
      <c r="AI173" s="760"/>
      <c r="AJ173" s="63"/>
      <c r="AK173" s="75"/>
      <c r="AL173" s="50"/>
      <c r="AM173" s="60"/>
      <c r="AN173" s="21"/>
      <c r="AO173" s="714"/>
      <c r="AP173" s="666"/>
      <c r="AQ173" s="147"/>
      <c r="AR173" s="310"/>
      <c r="AS173" s="310"/>
      <c r="AT173" s="856"/>
      <c r="AU173" s="21"/>
      <c r="AV173" s="714"/>
      <c r="AW173" s="666"/>
      <c r="AX173" s="63"/>
      <c r="AY173" s="75"/>
      <c r="AZ173" s="50"/>
      <c r="BA173" s="669"/>
      <c r="BB173" s="21"/>
      <c r="BC173" s="660"/>
      <c r="BD173" s="641"/>
      <c r="BE173" s="50"/>
      <c r="BF173" s="60"/>
      <c r="BG173" s="21"/>
      <c r="BH173" s="274"/>
      <c r="BI173" s="660"/>
      <c r="BJ173" s="641"/>
      <c r="BK173" s="50"/>
      <c r="BL173" s="60"/>
      <c r="BM173" s="21"/>
      <c r="BN173" s="708"/>
      <c r="BO173" s="948"/>
      <c r="BP173" s="310"/>
      <c r="BQ173" s="1117"/>
      <c r="BR173" s="309"/>
      <c r="BS173" s="702"/>
      <c r="BT173" s="307"/>
      <c r="BU173" s="21"/>
      <c r="BV173" s="714"/>
      <c r="BW173" s="760"/>
      <c r="BX173" s="63"/>
      <c r="BY173" s="50"/>
      <c r="BZ173" s="60"/>
      <c r="CA173" s="21"/>
      <c r="CB173" s="270"/>
      <c r="CC173" s="720"/>
      <c r="CD173" s="309"/>
      <c r="CE173" s="44"/>
      <c r="CF173" s="36"/>
      <c r="CG173" s="21"/>
      <c r="CH173" s="270"/>
      <c r="CI173" s="672"/>
      <c r="CJ173" s="702"/>
      <c r="CK173" s="44"/>
      <c r="CL173" s="36"/>
      <c r="CM173" s="21"/>
      <c r="CN173" s="270"/>
      <c r="CO173" s="582"/>
      <c r="CP173" s="641"/>
      <c r="CQ173" s="44"/>
      <c r="CR173" s="307"/>
      <c r="CS173" s="21"/>
      <c r="CT173" s="270"/>
      <c r="CU173" s="781"/>
      <c r="CV173" s="73"/>
      <c r="CW173" s="42"/>
      <c r="CX173" s="43"/>
      <c r="CY173" s="567"/>
      <c r="CZ173" s="781"/>
      <c r="DA173" s="21"/>
      <c r="DB173" s="270"/>
      <c r="DC173" s="777"/>
      <c r="DD173" s="850"/>
      <c r="DE173" s="702"/>
      <c r="DF173" s="44"/>
      <c r="DG173" s="36"/>
      <c r="DH173" s="20"/>
      <c r="DI173" s="708"/>
      <c r="DJ173" s="760"/>
      <c r="DK173" s="40"/>
      <c r="DL173" s="44"/>
      <c r="DM173" s="36"/>
      <c r="DN173" s="20"/>
      <c r="DO173" s="270"/>
      <c r="DP173" s="760"/>
      <c r="DQ173" s="40"/>
      <c r="DR173" s="44"/>
      <c r="DS173" s="36"/>
      <c r="DT173" s="20"/>
      <c r="DU173" s="270"/>
      <c r="DV173" s="872"/>
      <c r="DW173" s="40"/>
      <c r="DX173" s="44"/>
      <c r="DY173" s="44"/>
      <c r="DZ173" s="36"/>
      <c r="EA173" s="20"/>
      <c r="EB173" s="271"/>
      <c r="EC173" s="794"/>
      <c r="ED173" s="309"/>
      <c r="EE173" s="44"/>
      <c r="EF173" s="36"/>
      <c r="EG173" s="20"/>
      <c r="EH173" s="774"/>
      <c r="EI173" s="760"/>
      <c r="EJ173" s="40"/>
      <c r="EK173" s="44"/>
      <c r="EL173" s="36"/>
      <c r="EM173" s="20"/>
      <c r="EN173" s="274"/>
    </row>
    <row r="174" spans="1:145" ht="17.25" customHeight="1" thickBot="1" x14ac:dyDescent="0.25">
      <c r="A174" s="6" t="s">
        <v>139</v>
      </c>
      <c r="B174" s="960"/>
      <c r="C174" s="33">
        <f>C173+1</f>
        <v>46121</v>
      </c>
      <c r="D174" s="1"/>
      <c r="F174" s="585"/>
      <c r="G174" s="807"/>
      <c r="H174" s="1"/>
      <c r="I174" s="708"/>
      <c r="J174" s="672"/>
      <c r="K174" s="850"/>
      <c r="L174" s="702"/>
      <c r="M174" s="260"/>
      <c r="N174" s="60"/>
      <c r="O174" s="23"/>
      <c r="P174" s="708"/>
      <c r="Q174" s="672"/>
      <c r="R174" s="260"/>
      <c r="S174" s="672"/>
      <c r="T174" s="260"/>
      <c r="U174" s="850"/>
      <c r="V174" s="702"/>
      <c r="W174" s="23"/>
      <c r="X174" s="711"/>
      <c r="Y174" s="760"/>
      <c r="Z174" s="63"/>
      <c r="AA174" s="75"/>
      <c r="AB174" s="50"/>
      <c r="AC174" s="60"/>
      <c r="AD174" s="21"/>
      <c r="AE174" s="711"/>
      <c r="AF174" s="760"/>
      <c r="AG174" s="760"/>
      <c r="AH174" s="760"/>
      <c r="AI174" s="760"/>
      <c r="AJ174" s="63"/>
      <c r="AK174" s="75"/>
      <c r="AL174" s="50"/>
      <c r="AM174" s="60"/>
      <c r="AN174" s="21"/>
      <c r="AO174" s="714"/>
      <c r="AP174" s="666"/>
      <c r="AQ174" s="147"/>
      <c r="AR174" s="310"/>
      <c r="AS174" s="310"/>
      <c r="AT174" s="856"/>
      <c r="AU174" s="21"/>
      <c r="AV174" s="714"/>
      <c r="AW174" s="666"/>
      <c r="AX174" s="63"/>
      <c r="AY174" s="75"/>
      <c r="AZ174" s="50"/>
      <c r="BA174" s="669"/>
      <c r="BB174" s="21"/>
      <c r="BC174" s="660"/>
      <c r="BD174" s="641"/>
      <c r="BE174" s="50"/>
      <c r="BF174" s="60"/>
      <c r="BG174" s="21"/>
      <c r="BH174" s="274"/>
      <c r="BI174" s="660"/>
      <c r="BJ174" s="641"/>
      <c r="BK174" s="50"/>
      <c r="BL174" s="60"/>
      <c r="BM174" s="21"/>
      <c r="BN174" s="708"/>
      <c r="BO174" s="948"/>
      <c r="BP174" s="86" t="s">
        <v>61</v>
      </c>
      <c r="BQ174" s="1117"/>
      <c r="BR174" s="309"/>
      <c r="BS174" s="702"/>
      <c r="BT174" s="307"/>
      <c r="BU174" s="21"/>
      <c r="BV174" s="714"/>
      <c r="BW174" s="760"/>
      <c r="BX174" s="40"/>
      <c r="BY174" s="50"/>
      <c r="BZ174" s="60"/>
      <c r="CA174" s="21"/>
      <c r="CB174" s="270"/>
      <c r="CC174" s="720"/>
      <c r="CD174" s="309"/>
      <c r="CE174" s="44"/>
      <c r="CF174" s="36"/>
      <c r="CG174" s="21"/>
      <c r="CH174" s="270"/>
      <c r="CI174" s="672"/>
      <c r="CJ174" s="702"/>
      <c r="CK174" s="66" t="s">
        <v>80</v>
      </c>
      <c r="CL174" s="36"/>
      <c r="CM174" s="21"/>
      <c r="CN174" s="270"/>
      <c r="CO174" s="582"/>
      <c r="CP174" s="641"/>
      <c r="CQ174" s="116" t="s">
        <v>61</v>
      </c>
      <c r="CR174" s="307"/>
      <c r="CS174" s="21"/>
      <c r="CT174" s="270"/>
      <c r="CU174" s="781"/>
      <c r="CV174" s="73"/>
      <c r="CW174" s="42"/>
      <c r="CX174" s="43"/>
      <c r="CY174" s="567"/>
      <c r="CZ174" s="781"/>
      <c r="DA174" s="21"/>
      <c r="DB174" s="270"/>
      <c r="DC174" s="777"/>
      <c r="DD174" s="850"/>
      <c r="DE174" s="702"/>
      <c r="DF174" s="66" t="s">
        <v>80</v>
      </c>
      <c r="DG174" s="36"/>
      <c r="DH174" s="20"/>
      <c r="DI174" s="708"/>
      <c r="DJ174" s="760"/>
      <c r="DK174" s="40"/>
      <c r="DL174" s="44"/>
      <c r="DM174" s="36"/>
      <c r="DN174" s="20"/>
      <c r="DO174" s="270"/>
      <c r="DP174" s="760"/>
      <c r="DQ174" s="40"/>
      <c r="DR174" s="44"/>
      <c r="DS174" s="36"/>
      <c r="DT174" s="20"/>
      <c r="DU174" s="270"/>
      <c r="DV174" s="872"/>
      <c r="DW174" s="40"/>
      <c r="DX174" s="44"/>
      <c r="DY174" s="44"/>
      <c r="DZ174" s="36"/>
      <c r="EA174" s="20"/>
      <c r="EB174" s="271"/>
      <c r="EC174" s="794"/>
      <c r="ED174" s="309"/>
      <c r="EE174" s="66" t="s">
        <v>80</v>
      </c>
      <c r="EF174" s="36"/>
      <c r="EG174" s="20"/>
      <c r="EH174" s="774"/>
      <c r="EI174" s="760"/>
      <c r="EJ174" s="40"/>
      <c r="EK174" s="44"/>
      <c r="EL174" s="36"/>
      <c r="EM174" s="20"/>
      <c r="EN174" s="274"/>
    </row>
    <row r="175" spans="1:145" ht="19.899999999999999" customHeight="1" thickBot="1" x14ac:dyDescent="0.25">
      <c r="A175" s="6" t="s">
        <v>139</v>
      </c>
      <c r="B175" s="961"/>
      <c r="C175" s="34">
        <f>C174+1</f>
        <v>46122</v>
      </c>
      <c r="D175" s="1"/>
      <c r="E175" s="23"/>
      <c r="F175" s="526"/>
      <c r="G175" s="807"/>
      <c r="H175" s="1"/>
      <c r="I175" s="709"/>
      <c r="J175" s="672"/>
      <c r="K175" s="851"/>
      <c r="L175" s="703"/>
      <c r="M175" s="47"/>
      <c r="N175" s="48"/>
      <c r="O175" s="23"/>
      <c r="P175" s="709"/>
      <c r="Q175" s="672"/>
      <c r="R175" s="312"/>
      <c r="S175" s="672"/>
      <c r="T175" s="312"/>
      <c r="U175" s="851"/>
      <c r="V175" s="703"/>
      <c r="W175" s="23"/>
      <c r="X175" s="712"/>
      <c r="Y175" s="760"/>
      <c r="Z175" s="67"/>
      <c r="AA175" s="76"/>
      <c r="AB175" s="312"/>
      <c r="AC175" s="48"/>
      <c r="AD175" s="21"/>
      <c r="AE175" s="712"/>
      <c r="AF175" s="760"/>
      <c r="AG175" s="760"/>
      <c r="AH175" s="760"/>
      <c r="AI175" s="760"/>
      <c r="AJ175" s="67"/>
      <c r="AK175" s="76"/>
      <c r="AL175" s="47"/>
      <c r="AM175" s="48"/>
      <c r="AN175" s="21"/>
      <c r="AO175" s="715"/>
      <c r="AP175" s="945"/>
      <c r="AQ175" s="311"/>
      <c r="AR175" s="313"/>
      <c r="AS175" s="313"/>
      <c r="AT175" s="857"/>
      <c r="AU175" s="21"/>
      <c r="AV175" s="715"/>
      <c r="AW175" s="832"/>
      <c r="AX175" s="67"/>
      <c r="AY175" s="76"/>
      <c r="AZ175" s="47"/>
      <c r="BA175" s="906"/>
      <c r="BB175" s="21"/>
      <c r="BC175" s="660"/>
      <c r="BD175" s="656"/>
      <c r="BE175" s="312"/>
      <c r="BF175" s="48"/>
      <c r="BG175" s="21"/>
      <c r="BH175" s="274"/>
      <c r="BI175" s="660"/>
      <c r="BJ175" s="656"/>
      <c r="BK175" s="47"/>
      <c r="BL175" s="48"/>
      <c r="BM175" s="21"/>
      <c r="BN175" s="709"/>
      <c r="BO175" s="948"/>
      <c r="BP175" s="313"/>
      <c r="BQ175" s="1117"/>
      <c r="BR175" s="311"/>
      <c r="BS175" s="703"/>
      <c r="BT175" s="315"/>
      <c r="BU175" s="21"/>
      <c r="BV175" s="714"/>
      <c r="BW175" s="760"/>
      <c r="BX175" s="67"/>
      <c r="BY175" s="47"/>
      <c r="BZ175" s="48"/>
      <c r="CA175" s="21"/>
      <c r="CB175" s="270"/>
      <c r="CC175" s="720"/>
      <c r="CD175" s="311"/>
      <c r="CE175" s="59"/>
      <c r="CF175" s="64"/>
      <c r="CG175" s="21"/>
      <c r="CH175" s="270"/>
      <c r="CI175" s="672"/>
      <c r="CJ175" s="703"/>
      <c r="CK175" s="59"/>
      <c r="CL175" s="64"/>
      <c r="CM175" s="21"/>
      <c r="CN175" s="270"/>
      <c r="CO175" s="583"/>
      <c r="CP175" s="656"/>
      <c r="CQ175" s="565" t="s">
        <v>48</v>
      </c>
      <c r="CR175" s="315"/>
      <c r="CS175" s="21"/>
      <c r="CT175" s="270"/>
      <c r="CU175" s="781"/>
      <c r="CV175" s="198"/>
      <c r="CW175" s="199"/>
      <c r="CX175" s="203"/>
      <c r="CY175" s="567"/>
      <c r="CZ175" s="781"/>
      <c r="DA175" s="21"/>
      <c r="DB175" s="270"/>
      <c r="DC175" s="777"/>
      <c r="DD175" s="851"/>
      <c r="DE175" s="703"/>
      <c r="DF175" s="59"/>
      <c r="DG175" s="64"/>
      <c r="DH175" s="20"/>
      <c r="DI175" s="709"/>
      <c r="DJ175" s="761"/>
      <c r="DK175" s="45"/>
      <c r="DL175" s="59"/>
      <c r="DM175" s="64"/>
      <c r="DN175" s="20"/>
      <c r="DO175" s="270"/>
      <c r="DP175" s="760"/>
      <c r="DQ175" s="45"/>
      <c r="DR175" s="59"/>
      <c r="DS175" s="64"/>
      <c r="DT175" s="20"/>
      <c r="DU175" s="270"/>
      <c r="DV175" s="872"/>
      <c r="DW175" s="45"/>
      <c r="DX175" s="59"/>
      <c r="DY175" s="59"/>
      <c r="DZ175" s="64"/>
      <c r="EA175" s="20"/>
      <c r="EB175" s="271"/>
      <c r="EC175" s="1022"/>
      <c r="ED175" s="311"/>
      <c r="EE175" s="59"/>
      <c r="EF175" s="64"/>
      <c r="EG175" s="20"/>
      <c r="EH175" s="775"/>
      <c r="EI175" s="760"/>
      <c r="EJ175" s="45"/>
      <c r="EK175" s="59"/>
      <c r="EL175" s="64"/>
      <c r="EM175" s="20"/>
      <c r="EN175" s="274"/>
    </row>
    <row r="176" spans="1:145" ht="19.899999999999999" customHeight="1" thickTop="1" thickBot="1" x14ac:dyDescent="0.25">
      <c r="A176" s="6" t="s">
        <v>145</v>
      </c>
      <c r="B176" s="959">
        <f>B171+1</f>
        <v>16</v>
      </c>
      <c r="C176" s="89">
        <f>C171+7</f>
        <v>46125</v>
      </c>
      <c r="D176" s="4"/>
      <c r="E176" s="23"/>
      <c r="F176" s="526"/>
      <c r="G176" s="807"/>
      <c r="H176" s="4"/>
      <c r="I176" s="268"/>
      <c r="J176" s="672"/>
      <c r="K176" s="744">
        <v>1</v>
      </c>
      <c r="L176" s="694" t="s">
        <v>195</v>
      </c>
      <c r="M176" s="39"/>
      <c r="N176" s="35"/>
      <c r="O176" s="24"/>
      <c r="P176" s="268"/>
      <c r="Q176" s="672"/>
      <c r="R176" s="308"/>
      <c r="S176" s="672"/>
      <c r="T176" s="308"/>
      <c r="U176" s="744">
        <v>1</v>
      </c>
      <c r="V176" s="694" t="s">
        <v>195</v>
      </c>
      <c r="W176" s="24"/>
      <c r="X176" s="273"/>
      <c r="Y176" s="760"/>
      <c r="Z176" s="81"/>
      <c r="AA176" s="82"/>
      <c r="AB176" s="83"/>
      <c r="AC176" s="84"/>
      <c r="AD176" s="21"/>
      <c r="AE176" s="273"/>
      <c r="AF176" s="760"/>
      <c r="AG176" s="760"/>
      <c r="AH176" s="760"/>
      <c r="AI176" s="760"/>
      <c r="AJ176" s="81"/>
      <c r="AK176" s="82"/>
      <c r="AL176" s="83"/>
      <c r="AM176" s="84"/>
      <c r="AN176" s="21"/>
      <c r="AO176" s="271"/>
      <c r="AP176" s="903" t="s">
        <v>192</v>
      </c>
      <c r="AQ176" s="950">
        <v>1</v>
      </c>
      <c r="AR176" s="701" t="s">
        <v>156</v>
      </c>
      <c r="AS176" s="308"/>
      <c r="AT176" s="306"/>
      <c r="AU176" s="21"/>
      <c r="AV176" s="271"/>
      <c r="AW176" s="829" t="s">
        <v>259</v>
      </c>
      <c r="AX176" s="61"/>
      <c r="AY176" s="701" t="s">
        <v>156</v>
      </c>
      <c r="AZ176" s="39"/>
      <c r="BA176" s="35"/>
      <c r="BB176" s="21"/>
      <c r="BC176" s="660"/>
      <c r="BD176" s="643" t="s">
        <v>144</v>
      </c>
      <c r="BE176" s="308"/>
      <c r="BF176" s="306"/>
      <c r="BG176" s="21"/>
      <c r="BH176" s="707" t="s">
        <v>44</v>
      </c>
      <c r="BI176" s="660"/>
      <c r="BJ176" s="643" t="s">
        <v>144</v>
      </c>
      <c r="BK176" s="39"/>
      <c r="BL176" s="35"/>
      <c r="BM176" s="21"/>
      <c r="BN176" s="707" t="s">
        <v>44</v>
      </c>
      <c r="BO176" s="948"/>
      <c r="BP176" s="308"/>
      <c r="BQ176" s="1117"/>
      <c r="BR176" s="314"/>
      <c r="BS176" s="694" t="s">
        <v>144</v>
      </c>
      <c r="BT176" s="306"/>
      <c r="BU176" s="21"/>
      <c r="BV176" s="714"/>
      <c r="BW176" s="760"/>
      <c r="BX176" s="132"/>
      <c r="BY176" s="56"/>
      <c r="BZ176" s="57"/>
      <c r="CA176" s="21"/>
      <c r="CB176" s="270"/>
      <c r="CC176" s="720"/>
      <c r="CD176" s="314"/>
      <c r="CE176" s="39"/>
      <c r="CF176" s="35"/>
      <c r="CG176" s="21"/>
      <c r="CH176" s="270"/>
      <c r="CI176" s="672"/>
      <c r="CJ176" s="694" t="s">
        <v>197</v>
      </c>
      <c r="CK176" s="39"/>
      <c r="CL176" s="35"/>
      <c r="CM176" s="21"/>
      <c r="CN176" s="707" t="s">
        <v>455</v>
      </c>
      <c r="CO176" s="734" t="s">
        <v>79</v>
      </c>
      <c r="CP176" s="61"/>
      <c r="CQ176" s="39"/>
      <c r="CR176" s="306"/>
      <c r="CS176" s="21"/>
      <c r="CT176" s="270"/>
      <c r="CU176" s="781"/>
      <c r="CV176" s="37"/>
      <c r="CW176" s="58"/>
      <c r="CX176" s="201"/>
      <c r="CY176" s="567"/>
      <c r="CZ176" s="781"/>
      <c r="DA176" s="21"/>
      <c r="DB176" s="270"/>
      <c r="DC176" s="777"/>
      <c r="DD176" s="744">
        <v>1</v>
      </c>
      <c r="DE176" s="694" t="s">
        <v>165</v>
      </c>
      <c r="DF176" s="39"/>
      <c r="DG176" s="35"/>
      <c r="DH176" s="20"/>
      <c r="DI176" s="710" t="s">
        <v>123</v>
      </c>
      <c r="DJ176" s="788" t="s">
        <v>334</v>
      </c>
      <c r="DK176" s="643" t="s">
        <v>175</v>
      </c>
      <c r="DL176" s="308"/>
      <c r="DM176" s="306"/>
      <c r="DN176" s="20"/>
      <c r="DO176" s="270"/>
      <c r="DP176" s="760"/>
      <c r="DQ176" s="61"/>
      <c r="DR176" s="39"/>
      <c r="DS176" s="35"/>
      <c r="DT176" s="20"/>
      <c r="DU176" s="270"/>
      <c r="DV176" s="872"/>
      <c r="DW176" s="61"/>
      <c r="DX176" s="39"/>
      <c r="DY176" s="39"/>
      <c r="DZ176" s="35"/>
      <c r="EA176" s="20"/>
      <c r="EB176" s="707" t="s">
        <v>81</v>
      </c>
      <c r="EC176" s="795" t="s">
        <v>334</v>
      </c>
      <c r="ED176" s="643" t="s">
        <v>175</v>
      </c>
      <c r="EE176" s="116" t="s">
        <v>61</v>
      </c>
      <c r="EF176" s="306"/>
      <c r="EG176" s="20"/>
      <c r="EH176" s="270"/>
      <c r="EI176" s="760"/>
      <c r="EJ176" s="61"/>
      <c r="EK176" s="39"/>
      <c r="EL176" s="35"/>
      <c r="EM176" s="20"/>
      <c r="EN176" s="274"/>
    </row>
    <row r="177" spans="1:145" ht="19.899999999999999" customHeight="1" thickBot="1" x14ac:dyDescent="0.25">
      <c r="A177" s="6" t="s">
        <v>145</v>
      </c>
      <c r="B177" s="960"/>
      <c r="C177" s="33">
        <f>C176+1</f>
        <v>46126</v>
      </c>
      <c r="D177" s="1"/>
      <c r="E177" s="23"/>
      <c r="F177" s="526"/>
      <c r="G177" s="807"/>
      <c r="H177" s="1"/>
      <c r="I177" s="268"/>
      <c r="J177" s="672"/>
      <c r="K177" s="745"/>
      <c r="L177" s="695"/>
      <c r="M177" s="42"/>
      <c r="N177" s="43"/>
      <c r="O177" s="23"/>
      <c r="P177" s="268"/>
      <c r="Q177" s="672"/>
      <c r="R177" s="42"/>
      <c r="S177" s="672"/>
      <c r="T177" s="42"/>
      <c r="U177" s="745"/>
      <c r="V177" s="695"/>
      <c r="W177" s="23"/>
      <c r="X177" s="274"/>
      <c r="Y177" s="760"/>
      <c r="Z177" s="73"/>
      <c r="AA177" s="75"/>
      <c r="AB177" s="42"/>
      <c r="AC177" s="43"/>
      <c r="AD177" s="21"/>
      <c r="AE177" s="274"/>
      <c r="AF177" s="760"/>
      <c r="AG177" s="760"/>
      <c r="AH177" s="760"/>
      <c r="AI177" s="760"/>
      <c r="AJ177" s="73"/>
      <c r="AK177" s="75"/>
      <c r="AL177" s="42"/>
      <c r="AM177" s="43"/>
      <c r="AN177" s="21"/>
      <c r="AO177" s="271"/>
      <c r="AP177" s="672"/>
      <c r="AQ177" s="951"/>
      <c r="AR177" s="702"/>
      <c r="AS177" s="310"/>
      <c r="AT177" s="307"/>
      <c r="AU177" s="21"/>
      <c r="AV177" s="271"/>
      <c r="AW177" s="660"/>
      <c r="AX177" s="73"/>
      <c r="AY177" s="702"/>
      <c r="AZ177" s="42"/>
      <c r="BA177" s="43"/>
      <c r="BB177" s="21"/>
      <c r="BC177" s="660"/>
      <c r="BD177" s="644"/>
      <c r="BE177" s="42"/>
      <c r="BF177" s="43"/>
      <c r="BG177" s="21"/>
      <c r="BH177" s="708"/>
      <c r="BI177" s="660"/>
      <c r="BJ177" s="644"/>
      <c r="BK177" s="42"/>
      <c r="BL177" s="43"/>
      <c r="BM177" s="21"/>
      <c r="BN177" s="708"/>
      <c r="BO177" s="948"/>
      <c r="BP177" s="310"/>
      <c r="BQ177" s="1117"/>
      <c r="BR177" s="309"/>
      <c r="BS177" s="695"/>
      <c r="BT177" s="307"/>
      <c r="BU177" s="21"/>
      <c r="BV177" s="714"/>
      <c r="BW177" s="760"/>
      <c r="BX177" s="63"/>
      <c r="BY177" s="42"/>
      <c r="BZ177" s="43"/>
      <c r="CA177" s="21"/>
      <c r="CB177" s="270"/>
      <c r="CC177" s="720"/>
      <c r="CD177" s="309"/>
      <c r="CE177" s="44"/>
      <c r="CF177" s="36"/>
      <c r="CG177" s="21"/>
      <c r="CH177" s="270"/>
      <c r="CI177" s="672"/>
      <c r="CJ177" s="695"/>
      <c r="CK177" s="44"/>
      <c r="CL177" s="36"/>
      <c r="CM177" s="21"/>
      <c r="CN177" s="708"/>
      <c r="CO177" s="672"/>
      <c r="CP177" s="40"/>
      <c r="CQ177" s="44"/>
      <c r="CR177" s="307"/>
      <c r="CS177" s="21"/>
      <c r="CT177" s="270"/>
      <c r="CU177" s="781"/>
      <c r="CV177" s="73"/>
      <c r="CW177" s="42"/>
      <c r="CX177" s="43"/>
      <c r="CY177" s="567"/>
      <c r="CZ177" s="781"/>
      <c r="DA177" s="21"/>
      <c r="DB177" s="270"/>
      <c r="DC177" s="777"/>
      <c r="DD177" s="745"/>
      <c r="DE177" s="695"/>
      <c r="DF177" s="44"/>
      <c r="DG177" s="36"/>
      <c r="DH177" s="20"/>
      <c r="DI177" s="711"/>
      <c r="DJ177" s="789"/>
      <c r="DK177" s="644"/>
      <c r="DL177" s="310"/>
      <c r="DM177" s="307"/>
      <c r="DN177" s="20"/>
      <c r="DO177" s="271"/>
      <c r="DP177" s="760"/>
      <c r="DQ177" s="40"/>
      <c r="DR177" s="44"/>
      <c r="DS177" s="36"/>
      <c r="DT177" s="20"/>
      <c r="DU177" s="270"/>
      <c r="DV177" s="872"/>
      <c r="DW177" s="40"/>
      <c r="DX177" s="44"/>
      <c r="DY177" s="44"/>
      <c r="DZ177" s="36"/>
      <c r="EA177" s="20"/>
      <c r="EB177" s="708"/>
      <c r="EC177" s="789"/>
      <c r="ED177" s="644"/>
      <c r="EE177" s="44"/>
      <c r="EF177" s="307"/>
      <c r="EG177" s="20"/>
      <c r="EH177" s="271"/>
      <c r="EI177" s="760"/>
      <c r="EJ177" s="40"/>
      <c r="EK177" s="44"/>
      <c r="EL177" s="36"/>
      <c r="EM177" s="20"/>
      <c r="EN177" s="274"/>
    </row>
    <row r="178" spans="1:145" ht="19.899999999999999" customHeight="1" thickBot="1" x14ac:dyDescent="0.25">
      <c r="A178" s="6" t="s">
        <v>145</v>
      </c>
      <c r="B178" s="960"/>
      <c r="C178" s="33">
        <f>C177+1</f>
        <v>46127</v>
      </c>
      <c r="D178" s="1"/>
      <c r="E178" s="23" t="s">
        <v>403</v>
      </c>
      <c r="F178" s="526"/>
      <c r="G178" s="807"/>
      <c r="H178" s="1"/>
      <c r="I178" s="268"/>
      <c r="J178" s="672"/>
      <c r="K178" s="745"/>
      <c r="L178" s="695"/>
      <c r="M178" s="44"/>
      <c r="N178" s="36"/>
      <c r="O178" s="24"/>
      <c r="P178" s="268"/>
      <c r="Q178" s="672"/>
      <c r="R178" s="310"/>
      <c r="S178" s="672"/>
      <c r="T178" s="310"/>
      <c r="U178" s="745"/>
      <c r="V178" s="695"/>
      <c r="W178" s="24"/>
      <c r="X178" s="274"/>
      <c r="Y178" s="760"/>
      <c r="Z178" s="309"/>
      <c r="AA178" s="75"/>
      <c r="AB178" s="310"/>
      <c r="AC178" s="307"/>
      <c r="AD178" s="21"/>
      <c r="AE178" s="274"/>
      <c r="AF178" s="760"/>
      <c r="AG178" s="760"/>
      <c r="AH178" s="760"/>
      <c r="AI178" s="760"/>
      <c r="AJ178" s="40"/>
      <c r="AK178" s="75"/>
      <c r="AL178" s="44"/>
      <c r="AM178" s="36"/>
      <c r="AN178" s="21"/>
      <c r="AO178" s="271"/>
      <c r="AP178" s="672"/>
      <c r="AQ178" s="951"/>
      <c r="AR178" s="702"/>
      <c r="AS178" s="310"/>
      <c r="AT178" s="307"/>
      <c r="AU178" s="21"/>
      <c r="AV178" s="271"/>
      <c r="AW178" s="660"/>
      <c r="AX178" s="40"/>
      <c r="AY178" s="702"/>
      <c r="AZ178" s="44"/>
      <c r="BA178" s="36"/>
      <c r="BB178" s="21"/>
      <c r="BC178" s="660"/>
      <c r="BD178" s="644"/>
      <c r="BE178" s="310"/>
      <c r="BF178" s="307"/>
      <c r="BG178" s="21"/>
      <c r="BH178" s="708"/>
      <c r="BI178" s="660"/>
      <c r="BJ178" s="644"/>
      <c r="BK178" s="44"/>
      <c r="BL178" s="36"/>
      <c r="BM178" s="21"/>
      <c r="BN178" s="708"/>
      <c r="BO178" s="948"/>
      <c r="BP178" s="310"/>
      <c r="BQ178" s="1117"/>
      <c r="BR178" s="309"/>
      <c r="BS178" s="695"/>
      <c r="BT178" s="307"/>
      <c r="BU178" s="21"/>
      <c r="BV178" s="714"/>
      <c r="BW178" s="760"/>
      <c r="BX178" s="63"/>
      <c r="BY178" s="44"/>
      <c r="BZ178" s="36"/>
      <c r="CA178" s="21"/>
      <c r="CB178" s="270"/>
      <c r="CC178" s="720"/>
      <c r="CD178" s="309"/>
      <c r="CE178" s="44"/>
      <c r="CF178" s="36"/>
      <c r="CG178" s="21"/>
      <c r="CH178" s="270"/>
      <c r="CI178" s="672"/>
      <c r="CJ178" s="695"/>
      <c r="CK178" s="44"/>
      <c r="CL178" s="36"/>
      <c r="CM178" s="21"/>
      <c r="CN178" s="708"/>
      <c r="CO178" s="672"/>
      <c r="CP178" s="40"/>
      <c r="CQ178" s="44"/>
      <c r="CR178" s="307"/>
      <c r="CS178" s="21"/>
      <c r="CT178" s="270"/>
      <c r="CU178" s="781"/>
      <c r="CV178" s="73"/>
      <c r="CW178" s="42"/>
      <c r="CX178" s="43"/>
      <c r="CY178" s="567"/>
      <c r="CZ178" s="781"/>
      <c r="DA178" s="21"/>
      <c r="DB178" s="270"/>
      <c r="DC178" s="777"/>
      <c r="DD178" s="745"/>
      <c r="DE178" s="695"/>
      <c r="DF178" s="116" t="s">
        <v>61</v>
      </c>
      <c r="DG178" s="36"/>
      <c r="DH178" s="20"/>
      <c r="DI178" s="711"/>
      <c r="DJ178" s="789"/>
      <c r="DK178" s="644"/>
      <c r="DL178" s="310"/>
      <c r="DM178" s="307"/>
      <c r="DN178" s="20"/>
      <c r="DO178" s="271"/>
      <c r="DP178" s="760"/>
      <c r="DQ178" s="40"/>
      <c r="DR178" s="44"/>
      <c r="DS178" s="36"/>
      <c r="DT178" s="20"/>
      <c r="DU178" s="270"/>
      <c r="DV178" s="872"/>
      <c r="DW178" s="40"/>
      <c r="DX178" s="44"/>
      <c r="DY178" s="44"/>
      <c r="DZ178" s="36"/>
      <c r="EA178" s="20"/>
      <c r="EB178" s="708"/>
      <c r="EC178" s="789"/>
      <c r="ED178" s="644"/>
      <c r="EE178" s="44"/>
      <c r="EF178" s="307"/>
      <c r="EG178" s="20"/>
      <c r="EH178" s="271"/>
      <c r="EI178" s="760"/>
      <c r="EJ178" s="40"/>
      <c r="EK178" s="44"/>
      <c r="EL178" s="36"/>
      <c r="EM178" s="20"/>
      <c r="EN178" s="274"/>
    </row>
    <row r="179" spans="1:145" ht="16.5" thickBot="1" x14ac:dyDescent="0.25">
      <c r="A179" s="6" t="s">
        <v>145</v>
      </c>
      <c r="B179" s="960"/>
      <c r="C179" s="33">
        <f>C178+1</f>
        <v>46128</v>
      </c>
      <c r="D179" s="1"/>
      <c r="E179" s="210" t="s">
        <v>91</v>
      </c>
      <c r="G179" s="807"/>
      <c r="H179" s="1"/>
      <c r="I179" s="268"/>
      <c r="J179" s="672"/>
      <c r="K179" s="745"/>
      <c r="L179" s="695"/>
      <c r="M179" s="622" t="s">
        <v>113</v>
      </c>
      <c r="N179" s="60"/>
      <c r="O179" s="23"/>
      <c r="P179" s="268"/>
      <c r="Q179" s="672"/>
      <c r="R179" s="615" t="s">
        <v>61</v>
      </c>
      <c r="S179" s="672"/>
      <c r="T179" s="622" t="s">
        <v>113</v>
      </c>
      <c r="U179" s="745"/>
      <c r="V179" s="695"/>
      <c r="W179" s="23"/>
      <c r="X179" s="274"/>
      <c r="Y179" s="760"/>
      <c r="Z179" s="63"/>
      <c r="AA179" s="75"/>
      <c r="AB179" s="50"/>
      <c r="AC179" s="60"/>
      <c r="AD179" s="21"/>
      <c r="AE179" s="274"/>
      <c r="AF179" s="760"/>
      <c r="AG179" s="760"/>
      <c r="AH179" s="760"/>
      <c r="AI179" s="760"/>
      <c r="AJ179" s="63"/>
      <c r="AK179" s="75"/>
      <c r="AL179" s="50"/>
      <c r="AM179" s="60"/>
      <c r="AN179" s="21"/>
      <c r="AO179" s="271"/>
      <c r="AP179" s="672"/>
      <c r="AQ179" s="951"/>
      <c r="AR179" s="702"/>
      <c r="AS179" s="310"/>
      <c r="AT179" s="307"/>
      <c r="AU179" s="21"/>
      <c r="AV179" s="271"/>
      <c r="AW179" s="660"/>
      <c r="AX179" s="63"/>
      <c r="AY179" s="702"/>
      <c r="AZ179" s="50"/>
      <c r="BA179" s="60"/>
      <c r="BB179" s="21"/>
      <c r="BC179" s="660"/>
      <c r="BD179" s="644"/>
      <c r="BE179" s="86" t="s">
        <v>61</v>
      </c>
      <c r="BF179" s="60"/>
      <c r="BG179" s="21"/>
      <c r="BH179" s="708"/>
      <c r="BI179" s="660"/>
      <c r="BJ179" s="644"/>
      <c r="BK179" s="86" t="s">
        <v>61</v>
      </c>
      <c r="BL179" s="60"/>
      <c r="BM179" s="21"/>
      <c r="BN179" s="708"/>
      <c r="BO179" s="948"/>
      <c r="BP179" s="86" t="s">
        <v>61</v>
      </c>
      <c r="BQ179" s="1117"/>
      <c r="BR179" s="1136" t="s">
        <v>113</v>
      </c>
      <c r="BS179" s="695"/>
      <c r="BT179" s="307"/>
      <c r="BU179" s="21"/>
      <c r="BV179" s="714"/>
      <c r="BW179" s="760"/>
      <c r="BX179" s="40"/>
      <c r="BY179" s="50"/>
      <c r="BZ179" s="60"/>
      <c r="CA179" s="21"/>
      <c r="CB179" s="270"/>
      <c r="CC179" s="720"/>
      <c r="CD179" s="309"/>
      <c r="CE179" s="44"/>
      <c r="CF179" s="36"/>
      <c r="CG179" s="21"/>
      <c r="CH179" s="270"/>
      <c r="CI179" s="672"/>
      <c r="CJ179" s="695"/>
      <c r="CK179" s="44"/>
      <c r="CL179" s="36"/>
      <c r="CM179" s="21"/>
      <c r="CN179" s="708"/>
      <c r="CO179" s="672"/>
      <c r="CP179" s="40"/>
      <c r="CQ179" s="310"/>
      <c r="CR179" s="307"/>
      <c r="CS179" s="21"/>
      <c r="CT179" s="270"/>
      <c r="CU179" s="781"/>
      <c r="CV179" s="73"/>
      <c r="CW179" s="42"/>
      <c r="CX179" s="43"/>
      <c r="CY179" s="567"/>
      <c r="CZ179" s="781"/>
      <c r="DA179" s="21"/>
      <c r="DB179" s="270"/>
      <c r="DC179" s="777"/>
      <c r="DD179" s="745"/>
      <c r="DE179" s="695"/>
      <c r="DF179" s="310"/>
      <c r="DG179" s="36"/>
      <c r="DH179" s="20"/>
      <c r="DI179" s="711"/>
      <c r="DJ179" s="789"/>
      <c r="DK179" s="644"/>
      <c r="DL179" s="83"/>
      <c r="DM179" s="307"/>
      <c r="DN179" s="20"/>
      <c r="DO179" s="271"/>
      <c r="DP179" s="760"/>
      <c r="DQ179" s="40"/>
      <c r="DR179" s="44"/>
      <c r="DS179" s="36"/>
      <c r="DT179" s="20"/>
      <c r="DU179" s="270"/>
      <c r="DV179" s="872"/>
      <c r="DW179" s="40"/>
      <c r="DX179" s="44"/>
      <c r="DY179" s="44"/>
      <c r="DZ179" s="36"/>
      <c r="EA179" s="20"/>
      <c r="EB179" s="708"/>
      <c r="EC179" s="789"/>
      <c r="ED179" s="644"/>
      <c r="EE179" s="310"/>
      <c r="EF179" s="307"/>
      <c r="EG179" s="20"/>
      <c r="EH179" s="271"/>
      <c r="EI179" s="760"/>
      <c r="EJ179" s="40"/>
      <c r="EK179" s="44"/>
      <c r="EL179" s="36"/>
      <c r="EM179" s="20"/>
      <c r="EN179" s="274"/>
    </row>
    <row r="180" spans="1:145" ht="19.899999999999999" customHeight="1" thickBot="1" x14ac:dyDescent="0.25">
      <c r="A180" s="6" t="s">
        <v>145</v>
      </c>
      <c r="B180" s="961"/>
      <c r="C180" s="34">
        <f>C179+1</f>
        <v>46129</v>
      </c>
      <c r="D180" s="1"/>
      <c r="E180" s="23"/>
      <c r="F180" s="526"/>
      <c r="G180" s="807"/>
      <c r="H180" s="1"/>
      <c r="I180" s="527"/>
      <c r="J180" s="735"/>
      <c r="K180" s="746"/>
      <c r="L180" s="696"/>
      <c r="M180" s="47"/>
      <c r="N180" s="48"/>
      <c r="O180" s="23"/>
      <c r="P180" s="624"/>
      <c r="Q180" s="735"/>
      <c r="R180" s="312"/>
      <c r="S180" s="735"/>
      <c r="T180" s="312"/>
      <c r="U180" s="746"/>
      <c r="V180" s="696"/>
      <c r="W180" s="23"/>
      <c r="X180" s="275"/>
      <c r="Y180" s="760"/>
      <c r="Z180" s="67"/>
      <c r="AA180" s="76"/>
      <c r="AB180" s="312"/>
      <c r="AC180" s="48"/>
      <c r="AD180" s="21"/>
      <c r="AE180" s="275"/>
      <c r="AF180" s="760"/>
      <c r="AG180" s="760"/>
      <c r="AH180" s="760"/>
      <c r="AI180" s="760"/>
      <c r="AJ180" s="67"/>
      <c r="AK180" s="76"/>
      <c r="AL180" s="47"/>
      <c r="AM180" s="48"/>
      <c r="AN180" s="21"/>
      <c r="AO180" s="271"/>
      <c r="AP180" s="212" t="s">
        <v>187</v>
      </c>
      <c r="AQ180" s="952"/>
      <c r="AR180" s="703"/>
      <c r="AS180" s="313"/>
      <c r="AT180" s="315"/>
      <c r="AU180" s="21"/>
      <c r="AV180" s="271"/>
      <c r="AW180" s="660"/>
      <c r="AX180" s="67"/>
      <c r="AY180" s="703"/>
      <c r="AZ180" s="47"/>
      <c r="BA180" s="48"/>
      <c r="BB180" s="21"/>
      <c r="BC180" s="663"/>
      <c r="BD180" s="645"/>
      <c r="BE180" s="288" t="s">
        <v>48</v>
      </c>
      <c r="BF180" s="48"/>
      <c r="BG180" s="21"/>
      <c r="BH180" s="709"/>
      <c r="BI180" s="663"/>
      <c r="BJ180" s="645"/>
      <c r="BK180" s="288" t="s">
        <v>48</v>
      </c>
      <c r="BL180" s="48"/>
      <c r="BM180" s="21"/>
      <c r="BN180" s="709"/>
      <c r="BO180" s="949"/>
      <c r="BP180" s="1157" t="s">
        <v>48</v>
      </c>
      <c r="BQ180" s="1118"/>
      <c r="BR180" s="1133" t="s">
        <v>48</v>
      </c>
      <c r="BS180" s="696"/>
      <c r="BT180" s="315"/>
      <c r="BU180" s="21"/>
      <c r="BV180" s="715"/>
      <c r="BW180" s="760"/>
      <c r="BX180" s="67"/>
      <c r="BY180" s="47"/>
      <c r="BZ180" s="48"/>
      <c r="CA180" s="21"/>
      <c r="CB180" s="270"/>
      <c r="CC180" s="720"/>
      <c r="CD180" s="311"/>
      <c r="CE180" s="59"/>
      <c r="CF180" s="64"/>
      <c r="CG180" s="21"/>
      <c r="CH180" s="270"/>
      <c r="CI180" s="672"/>
      <c r="CJ180" s="696"/>
      <c r="CK180" s="59"/>
      <c r="CL180" s="64"/>
      <c r="CM180" s="21"/>
      <c r="CN180" s="709"/>
      <c r="CO180" s="735"/>
      <c r="CP180" s="45"/>
      <c r="CQ180" s="328" t="s">
        <v>48</v>
      </c>
      <c r="CR180" s="315"/>
      <c r="CS180" s="21"/>
      <c r="CT180" s="270"/>
      <c r="CU180" s="781"/>
      <c r="CV180" s="198"/>
      <c r="CW180" s="199"/>
      <c r="CX180" s="200"/>
      <c r="CY180" s="567"/>
      <c r="CZ180" s="781"/>
      <c r="DA180" s="21"/>
      <c r="DB180" s="270"/>
      <c r="DC180" s="777"/>
      <c r="DD180" s="746"/>
      <c r="DE180" s="696"/>
      <c r="DF180" s="59"/>
      <c r="DG180" s="64"/>
      <c r="DH180" s="20"/>
      <c r="DI180" s="712"/>
      <c r="DJ180" s="789"/>
      <c r="DK180" s="645"/>
      <c r="DL180" s="313"/>
      <c r="DM180" s="315"/>
      <c r="DN180" s="20"/>
      <c r="DO180" s="271"/>
      <c r="DP180" s="760"/>
      <c r="DQ180" s="45"/>
      <c r="DR180" s="59"/>
      <c r="DS180" s="64"/>
      <c r="DT180" s="20"/>
      <c r="DU180" s="270"/>
      <c r="DV180" s="872"/>
      <c r="DW180" s="45"/>
      <c r="DX180" s="59"/>
      <c r="DY180" s="59"/>
      <c r="DZ180" s="64"/>
      <c r="EA180" s="20"/>
      <c r="EB180" s="709"/>
      <c r="EC180" s="789"/>
      <c r="ED180" s="645"/>
      <c r="EE180" s="59"/>
      <c r="EF180" s="315"/>
      <c r="EG180" s="20"/>
      <c r="EH180" s="271"/>
      <c r="EI180" s="760"/>
      <c r="EJ180" s="45"/>
      <c r="EK180" s="59"/>
      <c r="EL180" s="64"/>
      <c r="EM180" s="20"/>
      <c r="EN180" s="274"/>
    </row>
    <row r="181" spans="1:145" ht="19.899999999999999" customHeight="1" thickTop="1" thickBot="1" x14ac:dyDescent="0.25">
      <c r="A181" s="6" t="s">
        <v>71</v>
      </c>
      <c r="B181" s="959">
        <f>B176+1</f>
        <v>17</v>
      </c>
      <c r="C181" s="332">
        <f>C176+7</f>
        <v>46132</v>
      </c>
      <c r="D181" s="4"/>
      <c r="E181" s="24"/>
      <c r="F181" s="525"/>
      <c r="G181" s="807"/>
      <c r="H181" s="4"/>
      <c r="I181" s="527"/>
      <c r="J181" s="697" t="s">
        <v>68</v>
      </c>
      <c r="K181" s="133"/>
      <c r="L181" s="103"/>
      <c r="M181" s="103"/>
      <c r="N181" s="104"/>
      <c r="O181" s="24"/>
      <c r="P181" s="624"/>
      <c r="Q181" s="697" t="s">
        <v>68</v>
      </c>
      <c r="R181" s="103"/>
      <c r="S181" s="697" t="s">
        <v>68</v>
      </c>
      <c r="T181" s="103"/>
      <c r="U181" s="133"/>
      <c r="V181" s="103"/>
      <c r="W181" s="24"/>
      <c r="X181" s="707" t="s">
        <v>99</v>
      </c>
      <c r="Y181" s="760"/>
      <c r="Z181" s="388"/>
      <c r="AA181" s="389"/>
      <c r="AB181" s="390"/>
      <c r="AC181" s="391"/>
      <c r="AD181" s="21"/>
      <c r="AE181" s="707" t="s">
        <v>99</v>
      </c>
      <c r="AF181" s="760"/>
      <c r="AG181" s="760"/>
      <c r="AH181" s="760"/>
      <c r="AI181" s="760"/>
      <c r="AJ181" s="388"/>
      <c r="AK181" s="389"/>
      <c r="AL181" s="390"/>
      <c r="AM181" s="391"/>
      <c r="AN181" s="21"/>
      <c r="AO181" s="271"/>
      <c r="AP181" s="903" t="s">
        <v>192</v>
      </c>
      <c r="AQ181" s="950">
        <v>1</v>
      </c>
      <c r="AR181" s="701" t="s">
        <v>160</v>
      </c>
      <c r="AS181" s="392"/>
      <c r="AT181" s="306"/>
      <c r="AU181" s="21"/>
      <c r="AV181" s="271"/>
      <c r="AW181" s="660"/>
      <c r="AX181" s="314"/>
      <c r="AY181" s="701" t="s">
        <v>160</v>
      </c>
      <c r="AZ181" s="308"/>
      <c r="BA181" s="306"/>
      <c r="BB181" s="21"/>
      <c r="BC181" s="664" t="s">
        <v>68</v>
      </c>
      <c r="BD181" s="117"/>
      <c r="BE181" s="119"/>
      <c r="BF181" s="299"/>
      <c r="BG181" s="21"/>
      <c r="BH181" s="274"/>
      <c r="BI181" s="648" t="s">
        <v>68</v>
      </c>
      <c r="BJ181" s="117"/>
      <c r="BK181" s="119"/>
      <c r="BL181" s="299"/>
      <c r="BM181" s="21"/>
      <c r="BN181" s="274"/>
      <c r="BO181" s="1055" t="s">
        <v>68</v>
      </c>
      <c r="BP181" s="117"/>
      <c r="BQ181" s="1055" t="s">
        <v>68</v>
      </c>
      <c r="BR181" s="117"/>
      <c r="BS181" s="119"/>
      <c r="BT181" s="299"/>
      <c r="BU181" s="21"/>
      <c r="BV181" s="270"/>
      <c r="BW181" s="760"/>
      <c r="BX181" s="393"/>
      <c r="BY181" s="394"/>
      <c r="BZ181" s="395"/>
      <c r="CA181" s="21"/>
      <c r="CB181" s="270"/>
      <c r="CC181" s="720"/>
      <c r="CD181" s="314"/>
      <c r="CE181" s="308"/>
      <c r="CF181" s="306"/>
      <c r="CG181" s="21"/>
      <c r="CH181" s="707" t="s">
        <v>66</v>
      </c>
      <c r="CI181" s="672"/>
      <c r="CJ181" s="701" t="s">
        <v>328</v>
      </c>
      <c r="CK181" s="308"/>
      <c r="CL181" s="306"/>
      <c r="CM181" s="21"/>
      <c r="CN181" s="707" t="s">
        <v>336</v>
      </c>
      <c r="CO181" s="916" t="s">
        <v>26</v>
      </c>
      <c r="CP181" s="314"/>
      <c r="CQ181" s="308"/>
      <c r="CR181" s="306"/>
      <c r="CS181" s="21"/>
      <c r="CT181" s="270"/>
      <c r="CU181" s="781"/>
      <c r="CV181" s="37"/>
      <c r="CW181" s="58"/>
      <c r="CX181" s="201"/>
      <c r="CY181" s="567"/>
      <c r="CZ181" s="781"/>
      <c r="DA181" s="21"/>
      <c r="DB181" s="707" t="s">
        <v>66</v>
      </c>
      <c r="DC181" s="777"/>
      <c r="DD181" s="400"/>
      <c r="DE181" s="396"/>
      <c r="DF181" s="396"/>
      <c r="DG181" s="401"/>
      <c r="DH181" s="20"/>
      <c r="DI181" s="557"/>
      <c r="DJ181" s="789"/>
      <c r="DK181" s="655" t="s">
        <v>182</v>
      </c>
      <c r="DL181" s="396"/>
      <c r="DM181" s="401"/>
      <c r="DN181" s="20"/>
      <c r="DO181" s="271"/>
      <c r="DP181" s="760"/>
      <c r="DQ181" s="61"/>
      <c r="DR181" s="39"/>
      <c r="DS181" s="35"/>
      <c r="DT181" s="20"/>
      <c r="DU181" s="707" t="s">
        <v>81</v>
      </c>
      <c r="DV181" s="872"/>
      <c r="DW181" s="314"/>
      <c r="DX181" s="308"/>
      <c r="DY181" s="308"/>
      <c r="DZ181" s="306"/>
      <c r="EA181" s="20"/>
      <c r="EB181" s="268"/>
      <c r="EC181" s="789"/>
      <c r="ED181" s="655" t="s">
        <v>182</v>
      </c>
      <c r="EE181" s="323"/>
      <c r="EF181" s="306"/>
      <c r="EG181" s="20"/>
      <c r="EH181" s="271"/>
      <c r="EI181" s="760"/>
      <c r="EJ181" s="314"/>
      <c r="EK181" s="308"/>
      <c r="EL181" s="306"/>
      <c r="EM181" s="20"/>
      <c r="EN181" s="274"/>
    </row>
    <row r="182" spans="1:145" ht="19.899999999999999" customHeight="1" thickBot="1" x14ac:dyDescent="0.25">
      <c r="A182" s="6" t="s">
        <v>145</v>
      </c>
      <c r="B182" s="960"/>
      <c r="C182" s="33">
        <f>C181+1</f>
        <v>46133</v>
      </c>
      <c r="D182" s="1"/>
      <c r="E182" s="23"/>
      <c r="F182" s="526"/>
      <c r="G182" s="807"/>
      <c r="H182" s="1"/>
      <c r="I182" s="265"/>
      <c r="J182" s="647"/>
      <c r="K182" s="124"/>
      <c r="L182" s="126"/>
      <c r="M182" s="126"/>
      <c r="N182" s="127"/>
      <c r="O182" s="23"/>
      <c r="P182" s="624"/>
      <c r="Q182" s="647"/>
      <c r="R182" s="126"/>
      <c r="S182" s="647"/>
      <c r="T182" s="126"/>
      <c r="U182" s="124"/>
      <c r="V182" s="126"/>
      <c r="W182" s="23"/>
      <c r="X182" s="708"/>
      <c r="Y182" s="760"/>
      <c r="Z182" s="63"/>
      <c r="AA182" s="54"/>
      <c r="AB182" s="50"/>
      <c r="AC182" s="60"/>
      <c r="AD182" s="21"/>
      <c r="AE182" s="708"/>
      <c r="AF182" s="760"/>
      <c r="AG182" s="760"/>
      <c r="AH182" s="760"/>
      <c r="AI182" s="760"/>
      <c r="AJ182" s="63"/>
      <c r="AK182" s="54"/>
      <c r="AL182" s="50"/>
      <c r="AM182" s="60"/>
      <c r="AN182" s="21"/>
      <c r="AO182" s="271"/>
      <c r="AP182" s="672"/>
      <c r="AQ182" s="951"/>
      <c r="AR182" s="702"/>
      <c r="AS182" s="260"/>
      <c r="AT182" s="307"/>
      <c r="AU182" s="21"/>
      <c r="AV182" s="271"/>
      <c r="AW182" s="660"/>
      <c r="AX182" s="73"/>
      <c r="AY182" s="702"/>
      <c r="AZ182" s="42"/>
      <c r="BA182" s="43"/>
      <c r="BB182" s="21"/>
      <c r="BC182" s="664"/>
      <c r="BD182" s="142"/>
      <c r="BE182" s="105"/>
      <c r="BF182" s="143"/>
      <c r="BG182" s="21"/>
      <c r="BH182" s="274"/>
      <c r="BI182" s="664"/>
      <c r="BJ182" s="142"/>
      <c r="BK182" s="105"/>
      <c r="BL182" s="143"/>
      <c r="BM182" s="21"/>
      <c r="BN182" s="274"/>
      <c r="BO182" s="1056"/>
      <c r="BP182" s="142"/>
      <c r="BQ182" s="1056"/>
      <c r="BR182" s="142"/>
      <c r="BS182" s="105"/>
      <c r="BT182" s="143"/>
      <c r="BU182" s="21"/>
      <c r="BV182" s="270"/>
      <c r="BW182" s="760"/>
      <c r="BX182" s="63"/>
      <c r="BY182" s="50"/>
      <c r="BZ182" s="60"/>
      <c r="CA182" s="21"/>
      <c r="CB182" s="270"/>
      <c r="CC182" s="720"/>
      <c r="CD182" s="309"/>
      <c r="CE182" s="44"/>
      <c r="CF182" s="36"/>
      <c r="CG182" s="21"/>
      <c r="CH182" s="708"/>
      <c r="CI182" s="672"/>
      <c r="CJ182" s="702"/>
      <c r="CK182" s="44"/>
      <c r="CL182" s="36"/>
      <c r="CM182" s="21"/>
      <c r="CN182" s="708"/>
      <c r="CO182" s="917"/>
      <c r="CP182" s="40"/>
      <c r="CQ182" s="44"/>
      <c r="CR182" s="36"/>
      <c r="CS182" s="21"/>
      <c r="CT182" s="270"/>
      <c r="CU182" s="781"/>
      <c r="CV182" s="73"/>
      <c r="CW182" s="42"/>
      <c r="CX182" s="43"/>
      <c r="CY182" s="567"/>
      <c r="CZ182" s="781"/>
      <c r="DA182" s="21"/>
      <c r="DB182" s="708"/>
      <c r="DC182" s="777"/>
      <c r="DD182" s="81"/>
      <c r="DE182" s="83"/>
      <c r="DF182" s="83"/>
      <c r="DG182" s="84"/>
      <c r="DH182" s="20"/>
      <c r="DI182" s="268"/>
      <c r="DJ182" s="789"/>
      <c r="DK182" s="641"/>
      <c r="DL182" s="83"/>
      <c r="DM182" s="84"/>
      <c r="DN182" s="20"/>
      <c r="DO182" s="271"/>
      <c r="DP182" s="760"/>
      <c r="DQ182" s="40"/>
      <c r="DR182" s="44"/>
      <c r="DS182" s="36"/>
      <c r="DT182" s="20"/>
      <c r="DU182" s="708"/>
      <c r="DV182" s="872"/>
      <c r="DW182" s="40"/>
      <c r="DX182" s="44"/>
      <c r="DY182" s="44"/>
      <c r="DZ182" s="36"/>
      <c r="EA182" s="20"/>
      <c r="EB182" s="268"/>
      <c r="EC182" s="789"/>
      <c r="ED182" s="641"/>
      <c r="EE182" s="325"/>
      <c r="EF182" s="307"/>
      <c r="EG182" s="20"/>
      <c r="EH182" s="271"/>
      <c r="EI182" s="760"/>
      <c r="EJ182" s="40"/>
      <c r="EK182" s="44"/>
      <c r="EL182" s="36"/>
      <c r="EM182" s="20"/>
      <c r="EN182" s="274"/>
    </row>
    <row r="183" spans="1:145" ht="19.899999999999999" customHeight="1" thickBot="1" x14ac:dyDescent="0.25">
      <c r="A183" s="6" t="s">
        <v>145</v>
      </c>
      <c r="B183" s="960"/>
      <c r="C183" s="33">
        <f>C182+1</f>
        <v>46134</v>
      </c>
      <c r="D183" s="1"/>
      <c r="E183" s="23"/>
      <c r="F183" s="526"/>
      <c r="G183" s="807"/>
      <c r="H183" s="1"/>
      <c r="I183" s="265"/>
      <c r="J183" s="647"/>
      <c r="K183" s="124"/>
      <c r="L183" s="126"/>
      <c r="M183" s="126"/>
      <c r="N183" s="127"/>
      <c r="O183" s="23"/>
      <c r="P183" s="624"/>
      <c r="Q183" s="647"/>
      <c r="R183" s="126"/>
      <c r="S183" s="647"/>
      <c r="T183" s="126"/>
      <c r="U183" s="124"/>
      <c r="V183" s="126"/>
      <c r="W183" s="23"/>
      <c r="X183" s="708"/>
      <c r="Y183" s="760"/>
      <c r="Z183" s="63"/>
      <c r="AA183" s="54"/>
      <c r="AC183" s="60"/>
      <c r="AD183" s="21"/>
      <c r="AE183" s="708"/>
      <c r="AF183" s="760"/>
      <c r="AG183" s="760"/>
      <c r="AH183" s="760"/>
      <c r="AI183" s="760"/>
      <c r="AJ183" s="63"/>
      <c r="AK183" s="54"/>
      <c r="AM183" s="60"/>
      <c r="AN183" s="21"/>
      <c r="AO183" s="271"/>
      <c r="AP183" s="672"/>
      <c r="AQ183" s="951"/>
      <c r="AR183" s="702"/>
      <c r="AS183" s="50"/>
      <c r="AT183" s="307"/>
      <c r="AU183" s="21"/>
      <c r="AV183" s="271"/>
      <c r="AW183" s="660"/>
      <c r="AX183" s="54"/>
      <c r="AY183" s="702"/>
      <c r="AZ183" s="50"/>
      <c r="BA183" s="307"/>
      <c r="BB183" s="21"/>
      <c r="BC183" s="664"/>
      <c r="BD183" s="112"/>
      <c r="BE183" s="113"/>
      <c r="BF183" s="114"/>
      <c r="BG183" s="21"/>
      <c r="BH183" s="274"/>
      <c r="BI183" s="664"/>
      <c r="BJ183" s="112"/>
      <c r="BK183" s="113"/>
      <c r="BL183" s="114"/>
      <c r="BM183" s="21"/>
      <c r="BN183" s="276"/>
      <c r="BO183" s="1056"/>
      <c r="BP183" s="112"/>
      <c r="BQ183" s="1056"/>
      <c r="BR183" s="112"/>
      <c r="BS183" s="113"/>
      <c r="BT183" s="114"/>
      <c r="BU183" s="21"/>
      <c r="BV183" s="270"/>
      <c r="BW183" s="760"/>
      <c r="BX183" s="63"/>
      <c r="BY183" s="50"/>
      <c r="BZ183" s="60"/>
      <c r="CA183" s="21"/>
      <c r="CB183" s="270"/>
      <c r="CC183" s="720"/>
      <c r="CD183" s="309"/>
      <c r="CE183" s="44"/>
      <c r="CF183" s="36"/>
      <c r="CG183" s="21"/>
      <c r="CH183" s="708"/>
      <c r="CI183" s="672"/>
      <c r="CJ183" s="702"/>
      <c r="CK183" s="44"/>
      <c r="CL183" s="36"/>
      <c r="CM183" s="21"/>
      <c r="CN183" s="708"/>
      <c r="CO183" s="917"/>
      <c r="CP183" s="40"/>
      <c r="CQ183" s="44"/>
      <c r="CR183" s="36"/>
      <c r="CS183" s="21"/>
      <c r="CT183" s="270"/>
      <c r="CU183" s="781"/>
      <c r="CV183" s="73"/>
      <c r="CW183" s="42"/>
      <c r="CX183" s="43"/>
      <c r="CY183" s="567"/>
      <c r="CZ183" s="781"/>
      <c r="DA183" s="21"/>
      <c r="DB183" s="708"/>
      <c r="DC183" s="777"/>
      <c r="DD183" s="40"/>
      <c r="DE183" s="44"/>
      <c r="DF183" s="116" t="s">
        <v>61</v>
      </c>
      <c r="DG183" s="36"/>
      <c r="DH183" s="20"/>
      <c r="DI183" s="268"/>
      <c r="DJ183" s="789"/>
      <c r="DK183" s="641"/>
      <c r="DL183" s="310"/>
      <c r="DM183" s="307"/>
      <c r="DN183" s="20"/>
      <c r="DO183" s="271"/>
      <c r="DP183" s="760"/>
      <c r="DQ183" s="40"/>
      <c r="DR183" s="44"/>
      <c r="DS183" s="36"/>
      <c r="DT183" s="20"/>
      <c r="DU183" s="708"/>
      <c r="DV183" s="872"/>
      <c r="DW183" s="40"/>
      <c r="DX183" s="44"/>
      <c r="DY183" s="44"/>
      <c r="DZ183" s="36"/>
      <c r="EA183" s="20"/>
      <c r="EB183" s="268"/>
      <c r="EC183" s="789"/>
      <c r="ED183" s="641"/>
      <c r="EE183" s="310"/>
      <c r="EF183" s="307"/>
      <c r="EG183" s="20"/>
      <c r="EH183" s="271"/>
      <c r="EI183" s="760"/>
      <c r="EJ183" s="40"/>
      <c r="EK183" s="44"/>
      <c r="EL183" s="36"/>
      <c r="EM183" s="20"/>
      <c r="EN183" s="274"/>
    </row>
    <row r="184" spans="1:145" ht="16.5" thickBot="1" x14ac:dyDescent="0.25">
      <c r="A184" s="6" t="s">
        <v>145</v>
      </c>
      <c r="B184" s="960"/>
      <c r="C184" s="33">
        <f>C183+1</f>
        <v>46135</v>
      </c>
      <c r="D184" s="1"/>
      <c r="G184" s="807"/>
      <c r="H184" s="1"/>
      <c r="I184" s="265"/>
      <c r="J184" s="647"/>
      <c r="K184" s="142"/>
      <c r="L184" s="105"/>
      <c r="M184" s="105"/>
      <c r="N184" s="143"/>
      <c r="O184" s="23"/>
      <c r="P184" s="624"/>
      <c r="Q184" s="647"/>
      <c r="R184" s="105"/>
      <c r="S184" s="647"/>
      <c r="T184" s="105"/>
      <c r="U184" s="142"/>
      <c r="V184" s="105"/>
      <c r="W184" s="23"/>
      <c r="X184" s="708"/>
      <c r="Y184" s="760"/>
      <c r="Z184" s="63"/>
      <c r="AA184" s="54"/>
      <c r="AC184" s="60"/>
      <c r="AD184" s="21"/>
      <c r="AE184" s="708"/>
      <c r="AF184" s="760"/>
      <c r="AG184" s="760"/>
      <c r="AH184" s="760"/>
      <c r="AI184" s="760"/>
      <c r="AJ184" s="63"/>
      <c r="AK184" s="54"/>
      <c r="AM184" s="60"/>
      <c r="AN184" s="21"/>
      <c r="AO184" s="271"/>
      <c r="AP184" s="672"/>
      <c r="AQ184" s="951"/>
      <c r="AR184" s="702"/>
      <c r="AS184" s="50"/>
      <c r="AT184" s="307"/>
      <c r="AU184" s="21"/>
      <c r="AV184" s="271"/>
      <c r="AW184" s="660"/>
      <c r="AX184" s="54"/>
      <c r="AY184" s="702"/>
      <c r="AZ184" s="50"/>
      <c r="BA184" s="60"/>
      <c r="BB184" s="21"/>
      <c r="BC184" s="664"/>
      <c r="BD184" s="112"/>
      <c r="BE184" s="113"/>
      <c r="BF184" s="114"/>
      <c r="BG184" s="21"/>
      <c r="BH184" s="274"/>
      <c r="BI184" s="664"/>
      <c r="BJ184" s="112"/>
      <c r="BK184" s="113"/>
      <c r="BL184" s="114"/>
      <c r="BM184" s="21"/>
      <c r="BN184" s="276"/>
      <c r="BO184" s="1056"/>
      <c r="BP184" s="112"/>
      <c r="BQ184" s="1056"/>
      <c r="BR184" s="112"/>
      <c r="BS184" s="113"/>
      <c r="BT184" s="114"/>
      <c r="BU184" s="21"/>
      <c r="BV184" s="270"/>
      <c r="BW184" s="760"/>
      <c r="BX184" s="63"/>
      <c r="BY184" s="50"/>
      <c r="BZ184" s="60"/>
      <c r="CA184" s="21"/>
      <c r="CB184" s="270"/>
      <c r="CC184" s="720"/>
      <c r="CD184" s="309"/>
      <c r="CE184" s="44"/>
      <c r="CF184" s="36"/>
      <c r="CG184" s="21"/>
      <c r="CH184" s="708"/>
      <c r="CI184" s="672"/>
      <c r="CJ184" s="702"/>
      <c r="CK184" s="116" t="s">
        <v>61</v>
      </c>
      <c r="CL184" s="36"/>
      <c r="CM184" s="21"/>
      <c r="CN184" s="708"/>
      <c r="CO184" s="917"/>
      <c r="CP184" s="40"/>
      <c r="CQ184" s="44"/>
      <c r="CR184" s="36"/>
      <c r="CS184" s="21"/>
      <c r="CT184" s="270"/>
      <c r="CU184" s="781"/>
      <c r="CV184" s="73"/>
      <c r="CW184" s="42"/>
      <c r="CX184" s="43"/>
      <c r="CY184" s="567"/>
      <c r="CZ184" s="781"/>
      <c r="DA184" s="21"/>
      <c r="DB184" s="708"/>
      <c r="DC184" s="777"/>
      <c r="DD184" s="40"/>
      <c r="DE184" s="44"/>
      <c r="DF184" s="44"/>
      <c r="DG184" s="36"/>
      <c r="DH184" s="20"/>
      <c r="DI184" s="268"/>
      <c r="DJ184" s="789"/>
      <c r="DK184" s="641"/>
      <c r="DL184" s="66" t="s">
        <v>80</v>
      </c>
      <c r="DM184" s="307"/>
      <c r="DN184" s="20"/>
      <c r="DO184" s="271"/>
      <c r="DP184" s="760"/>
      <c r="DQ184" s="40"/>
      <c r="DR184" s="44"/>
      <c r="DS184" s="36"/>
      <c r="DT184" s="20"/>
      <c r="DU184" s="708"/>
      <c r="DV184" s="872"/>
      <c r="DW184" s="40"/>
      <c r="DX184" s="44"/>
      <c r="DY184" s="44"/>
      <c r="DZ184" s="36"/>
      <c r="EA184" s="20"/>
      <c r="EB184" s="268"/>
      <c r="EC184" s="789"/>
      <c r="ED184" s="641"/>
      <c r="EE184" s="325"/>
      <c r="EF184" s="307"/>
      <c r="EG184" s="20"/>
      <c r="EH184" s="271"/>
      <c r="EI184" s="760"/>
      <c r="EJ184" s="40"/>
      <c r="EK184" s="44"/>
      <c r="EL184" s="36"/>
      <c r="EM184" s="20"/>
      <c r="EN184" s="274"/>
    </row>
    <row r="185" spans="1:145" ht="19.899999999999999" customHeight="1" thickBot="1" x14ac:dyDescent="0.25">
      <c r="A185" s="6" t="s">
        <v>145</v>
      </c>
      <c r="B185" s="961"/>
      <c r="C185" s="34">
        <f>C184+1</f>
        <v>46136</v>
      </c>
      <c r="D185" s="1"/>
      <c r="E185" s="23"/>
      <c r="F185" s="526"/>
      <c r="G185" s="807"/>
      <c r="H185" s="1"/>
      <c r="I185" s="265"/>
      <c r="J185" s="647"/>
      <c r="K185" s="111"/>
      <c r="L185" s="109"/>
      <c r="M185" s="109"/>
      <c r="N185" s="110"/>
      <c r="O185" s="23"/>
      <c r="P185" s="624"/>
      <c r="Q185" s="647"/>
      <c r="R185" s="109"/>
      <c r="S185" s="647"/>
      <c r="T185" s="109"/>
      <c r="U185" s="111"/>
      <c r="V185" s="109"/>
      <c r="W185" s="23"/>
      <c r="X185" s="709"/>
      <c r="Y185" s="760"/>
      <c r="Z185" s="67"/>
      <c r="AA185" s="55"/>
      <c r="AB185" s="312"/>
      <c r="AC185" s="48"/>
      <c r="AD185" s="21"/>
      <c r="AE185" s="709"/>
      <c r="AF185" s="760"/>
      <c r="AG185" s="760"/>
      <c r="AH185" s="760"/>
      <c r="AI185" s="760"/>
      <c r="AJ185" s="67"/>
      <c r="AK185" s="55"/>
      <c r="AL185" s="47"/>
      <c r="AM185" s="48"/>
      <c r="AN185" s="21"/>
      <c r="AO185" s="271"/>
      <c r="AP185" s="212" t="s">
        <v>187</v>
      </c>
      <c r="AQ185" s="952"/>
      <c r="AR185" s="703"/>
      <c r="AS185" s="312"/>
      <c r="AT185" s="315"/>
      <c r="AU185" s="21"/>
      <c r="AV185" s="271"/>
      <c r="AW185" s="660"/>
      <c r="AX185" s="55"/>
      <c r="AY185" s="703"/>
      <c r="AZ185" s="47"/>
      <c r="BA185" s="48"/>
      <c r="BB185" s="21"/>
      <c r="BC185" s="664"/>
      <c r="BD185" s="150"/>
      <c r="BE185" s="148"/>
      <c r="BF185" s="149"/>
      <c r="BG185" s="21"/>
      <c r="BH185" s="274"/>
      <c r="BI185" s="664"/>
      <c r="BJ185" s="150"/>
      <c r="BK185" s="148"/>
      <c r="BL185" s="149"/>
      <c r="BM185" s="21"/>
      <c r="BN185" s="298"/>
      <c r="BO185" s="1057"/>
      <c r="BP185" s="150"/>
      <c r="BQ185" s="1057"/>
      <c r="BR185" s="150"/>
      <c r="BS185" s="148"/>
      <c r="BT185" s="149"/>
      <c r="BU185" s="21"/>
      <c r="BV185" s="271"/>
      <c r="BW185" s="760"/>
      <c r="BX185" s="67"/>
      <c r="BY185" s="47"/>
      <c r="BZ185" s="48"/>
      <c r="CA185" s="21"/>
      <c r="CB185" s="270"/>
      <c r="CC185" s="720"/>
      <c r="CD185" s="311"/>
      <c r="CE185" s="59"/>
      <c r="CF185" s="64"/>
      <c r="CG185" s="21"/>
      <c r="CH185" s="709"/>
      <c r="CI185" s="673"/>
      <c r="CJ185" s="703"/>
      <c r="CK185" s="328" t="s">
        <v>48</v>
      </c>
      <c r="CL185" s="64"/>
      <c r="CM185" s="21"/>
      <c r="CN185" s="709"/>
      <c r="CO185" s="917"/>
      <c r="CP185" s="45"/>
      <c r="CQ185" s="59"/>
      <c r="CR185" s="64"/>
      <c r="CS185" s="21"/>
      <c r="CT185" s="270"/>
      <c r="CU185" s="781"/>
      <c r="CV185" s="198"/>
      <c r="CW185" s="199"/>
      <c r="CX185" s="200"/>
      <c r="CY185" s="567"/>
      <c r="CZ185" s="781"/>
      <c r="DA185" s="21"/>
      <c r="DB185" s="709"/>
      <c r="DC185" s="1106"/>
      <c r="DD185" s="45"/>
      <c r="DE185" s="59"/>
      <c r="DF185" s="183" t="s">
        <v>48</v>
      </c>
      <c r="DG185" s="64"/>
      <c r="DH185" s="20"/>
      <c r="DI185" s="269"/>
      <c r="DJ185" s="789"/>
      <c r="DK185" s="656"/>
      <c r="DL185" s="313"/>
      <c r="DM185" s="315"/>
      <c r="DN185" s="20"/>
      <c r="DO185" s="271"/>
      <c r="DP185" s="760"/>
      <c r="DQ185" s="45"/>
      <c r="DR185" s="59"/>
      <c r="DS185" s="64"/>
      <c r="DT185" s="20"/>
      <c r="DU185" s="709"/>
      <c r="DV185" s="872"/>
      <c r="DW185" s="45"/>
      <c r="DX185" s="59"/>
      <c r="DY185" s="59"/>
      <c r="DZ185" s="64"/>
      <c r="EA185" s="20"/>
      <c r="EB185" s="269"/>
      <c r="EC185" s="789"/>
      <c r="ED185" s="656"/>
      <c r="EE185" s="294"/>
      <c r="EF185" s="315"/>
      <c r="EG185" s="20"/>
      <c r="EH185" s="271"/>
      <c r="EI185" s="760"/>
      <c r="EJ185" s="45"/>
      <c r="EK185" s="59"/>
      <c r="EL185" s="64"/>
      <c r="EM185" s="20"/>
      <c r="EN185" s="274"/>
    </row>
    <row r="186" spans="1:145" ht="33" customHeight="1" thickTop="1" x14ac:dyDescent="0.2">
      <c r="A186" s="6" t="s">
        <v>150</v>
      </c>
      <c r="B186" s="959">
        <f>B181+1</f>
        <v>18</v>
      </c>
      <c r="C186" s="89">
        <f>C181+7</f>
        <v>46139</v>
      </c>
      <c r="D186" s="4"/>
      <c r="E186" s="24" t="s">
        <v>188</v>
      </c>
      <c r="F186" s="525"/>
      <c r="G186" s="807"/>
      <c r="H186" s="4"/>
      <c r="I186" s="265"/>
      <c r="J186" s="647"/>
      <c r="K186" s="133"/>
      <c r="L186" s="103"/>
      <c r="M186" s="103"/>
      <c r="N186" s="104"/>
      <c r="O186" s="24"/>
      <c r="P186" s="624"/>
      <c r="Q186" s="647"/>
      <c r="R186" s="103"/>
      <c r="S186" s="647"/>
      <c r="T186" s="103"/>
      <c r="U186" s="133"/>
      <c r="V186" s="103"/>
      <c r="W186" s="24"/>
      <c r="X186" s="713" t="s">
        <v>153</v>
      </c>
      <c r="Y186" s="760"/>
      <c r="Z186" s="71"/>
      <c r="AA186" s="74"/>
      <c r="AB186" s="72"/>
      <c r="AC186" s="62"/>
      <c r="AD186" s="21"/>
      <c r="AE186" s="713" t="s">
        <v>153</v>
      </c>
      <c r="AF186" s="760"/>
      <c r="AG186" s="760"/>
      <c r="AH186" s="760"/>
      <c r="AI186" s="760"/>
      <c r="AJ186" s="71"/>
      <c r="AK186" s="74"/>
      <c r="AL186" s="72"/>
      <c r="AM186" s="62"/>
      <c r="AN186" s="21"/>
      <c r="AO186" s="271"/>
      <c r="AP186" s="903" t="s">
        <v>192</v>
      </c>
      <c r="AQ186" s="147"/>
      <c r="AR186" s="701" t="s">
        <v>186</v>
      </c>
      <c r="AS186" s="72"/>
      <c r="AT186" s="62"/>
      <c r="AU186" s="21"/>
      <c r="AV186" s="271"/>
      <c r="AW186" s="660"/>
      <c r="AX186" s="314"/>
      <c r="AY186" s="701" t="s">
        <v>186</v>
      </c>
      <c r="AZ186" s="308"/>
      <c r="BA186" s="62"/>
      <c r="BB186" s="21"/>
      <c r="BC186" s="665" t="s">
        <v>198</v>
      </c>
      <c r="BD186" s="71"/>
      <c r="BE186" s="308"/>
      <c r="BF186" s="668" t="s">
        <v>48</v>
      </c>
      <c r="BG186" s="21"/>
      <c r="BH186" s="710" t="s">
        <v>123</v>
      </c>
      <c r="BI186" s="665" t="s">
        <v>198</v>
      </c>
      <c r="BJ186" s="71"/>
      <c r="BK186" s="39"/>
      <c r="BL186" s="668" t="s">
        <v>48</v>
      </c>
      <c r="BM186" s="21"/>
      <c r="BN186" s="710" t="s">
        <v>458</v>
      </c>
      <c r="BO186" s="1068" t="s">
        <v>198</v>
      </c>
      <c r="BP186" s="83"/>
      <c r="BQ186" s="1068" t="s">
        <v>198</v>
      </c>
      <c r="BR186" s="467"/>
      <c r="BS186" s="1137"/>
      <c r="BT186" s="668" t="s">
        <v>48</v>
      </c>
      <c r="BU186" s="21"/>
      <c r="BV186" s="271"/>
      <c r="BW186" s="760"/>
      <c r="BX186" s="132"/>
      <c r="BY186" s="56"/>
      <c r="BZ186" s="57"/>
      <c r="CA186" s="21"/>
      <c r="CB186" s="270"/>
      <c r="CC186" s="720"/>
      <c r="CD186" s="314"/>
      <c r="CE186" s="39"/>
      <c r="CF186" s="35"/>
      <c r="CG186" s="21"/>
      <c r="CH186" s="707" t="s">
        <v>69</v>
      </c>
      <c r="CI186" s="917" t="s">
        <v>26</v>
      </c>
      <c r="CJ186" s="39"/>
      <c r="CK186" s="39"/>
      <c r="CL186" s="35"/>
      <c r="CM186" s="21"/>
      <c r="CN186" s="271"/>
      <c r="CO186" s="917"/>
      <c r="CP186" s="61"/>
      <c r="CQ186" s="39"/>
      <c r="CR186" s="35"/>
      <c r="CS186" s="21"/>
      <c r="CT186" s="270"/>
      <c r="CU186" s="781"/>
      <c r="CV186" s="37"/>
      <c r="CW186" s="58"/>
      <c r="CX186" s="201"/>
      <c r="CY186" s="567"/>
      <c r="CZ186" s="781"/>
      <c r="DA186" s="21"/>
      <c r="DB186" s="707" t="s">
        <v>69</v>
      </c>
      <c r="DC186" s="760" t="s">
        <v>26</v>
      </c>
      <c r="DD186" s="61"/>
      <c r="DE186" s="39"/>
      <c r="DF186" s="39"/>
      <c r="DG186" s="35"/>
      <c r="DH186" s="20"/>
      <c r="DI186" s="707" t="s">
        <v>174</v>
      </c>
      <c r="DJ186" s="789"/>
      <c r="DK186" s="655" t="s">
        <v>178</v>
      </c>
      <c r="DL186" s="308"/>
      <c r="DM186" s="841" t="s">
        <v>54</v>
      </c>
      <c r="DN186" s="20"/>
      <c r="DO186" s="271"/>
      <c r="DP186" s="760"/>
      <c r="DQ186" s="61"/>
      <c r="DR186" s="39"/>
      <c r="DS186" s="35"/>
      <c r="DT186" s="20"/>
      <c r="DU186" s="707" t="s">
        <v>330</v>
      </c>
      <c r="DV186" s="788" t="s">
        <v>190</v>
      </c>
      <c r="DW186" s="61"/>
      <c r="DX186" s="701" t="s">
        <v>186</v>
      </c>
      <c r="DY186" s="39"/>
      <c r="DZ186" s="35"/>
      <c r="EA186" s="20"/>
      <c r="EB186" s="707" t="s">
        <v>174</v>
      </c>
      <c r="EC186" s="789"/>
      <c r="ED186" s="655" t="s">
        <v>178</v>
      </c>
      <c r="EE186" s="66" t="s">
        <v>80</v>
      </c>
      <c r="EF186" s="841" t="s">
        <v>54</v>
      </c>
      <c r="EG186" s="20"/>
      <c r="EH186" s="271"/>
      <c r="EI186" s="760"/>
      <c r="EJ186" s="61"/>
      <c r="EK186" s="39"/>
      <c r="EL186" s="35"/>
      <c r="EM186" s="20"/>
      <c r="EN186" s="274"/>
    </row>
    <row r="187" spans="1:145" ht="19.899999999999999" customHeight="1" x14ac:dyDescent="0.2">
      <c r="A187" s="6" t="s">
        <v>150</v>
      </c>
      <c r="B187" s="960"/>
      <c r="C187" s="33">
        <f>C186+1</f>
        <v>46140</v>
      </c>
      <c r="D187" s="1"/>
      <c r="E187" s="23"/>
      <c r="F187" s="526"/>
      <c r="G187" s="807"/>
      <c r="H187" s="1"/>
      <c r="I187" s="265"/>
      <c r="J187" s="647"/>
      <c r="K187" s="124"/>
      <c r="L187" s="126"/>
      <c r="M187" s="126"/>
      <c r="N187" s="127"/>
      <c r="O187" s="23"/>
      <c r="P187" s="624"/>
      <c r="Q187" s="647"/>
      <c r="R187" s="126"/>
      <c r="S187" s="647"/>
      <c r="T187" s="126"/>
      <c r="U187" s="124"/>
      <c r="V187" s="126"/>
      <c r="W187" s="23"/>
      <c r="X187" s="714"/>
      <c r="Y187" s="760"/>
      <c r="Z187" s="63"/>
      <c r="AA187" s="54"/>
      <c r="AB187" s="50"/>
      <c r="AC187" s="60"/>
      <c r="AD187" s="21"/>
      <c r="AE187" s="714"/>
      <c r="AF187" s="760"/>
      <c r="AG187" s="760"/>
      <c r="AH187" s="760"/>
      <c r="AI187" s="760"/>
      <c r="AJ187" s="63"/>
      <c r="AK187" s="54"/>
      <c r="AL187" s="50"/>
      <c r="AM187" s="60"/>
      <c r="AN187" s="21"/>
      <c r="AO187" s="271"/>
      <c r="AP187" s="672"/>
      <c r="AQ187" s="147"/>
      <c r="AR187" s="702"/>
      <c r="AS187" s="50"/>
      <c r="AT187" s="60"/>
      <c r="AU187" s="21"/>
      <c r="AV187" s="271"/>
      <c r="AW187" s="660"/>
      <c r="AX187" s="73"/>
      <c r="AY187" s="702"/>
      <c r="AZ187" s="42"/>
      <c r="BA187" s="60"/>
      <c r="BB187" s="21"/>
      <c r="BC187" s="666"/>
      <c r="BD187" s="63"/>
      <c r="BE187" s="165"/>
      <c r="BF187" s="669"/>
      <c r="BG187" s="21"/>
      <c r="BH187" s="711"/>
      <c r="BI187" s="666"/>
      <c r="BJ187" s="63"/>
      <c r="BK187" s="165"/>
      <c r="BL187" s="669"/>
      <c r="BM187" s="21"/>
      <c r="BN187" s="711"/>
      <c r="BO187" s="1068"/>
      <c r="BP187" s="310"/>
      <c r="BQ187" s="1068"/>
      <c r="BR187" s="309"/>
      <c r="BS187" s="1137"/>
      <c r="BT187" s="669"/>
      <c r="BU187" s="21"/>
      <c r="BV187" s="271"/>
      <c r="BW187" s="760"/>
      <c r="BX187" s="63"/>
      <c r="BY187" s="50"/>
      <c r="BZ187" s="60"/>
      <c r="CA187" s="21"/>
      <c r="CB187" s="270"/>
      <c r="CC187" s="720"/>
      <c r="CD187" s="309"/>
      <c r="CE187" s="44"/>
      <c r="CF187" s="36"/>
      <c r="CG187" s="21"/>
      <c r="CH187" s="708"/>
      <c r="CI187" s="917"/>
      <c r="CJ187" s="44"/>
      <c r="CK187" s="44"/>
      <c r="CL187" s="36"/>
      <c r="CM187" s="21"/>
      <c r="CN187" s="271"/>
      <c r="CO187" s="917"/>
      <c r="CP187" s="40"/>
      <c r="CQ187" s="44"/>
      <c r="CR187" s="36"/>
      <c r="CS187" s="21"/>
      <c r="CT187" s="270"/>
      <c r="CU187" s="781"/>
      <c r="CV187" s="73"/>
      <c r="CW187" s="42"/>
      <c r="CX187" s="43"/>
      <c r="CY187" s="567"/>
      <c r="CZ187" s="781"/>
      <c r="DA187" s="21"/>
      <c r="DB187" s="708"/>
      <c r="DC187" s="760"/>
      <c r="DD187" s="40"/>
      <c r="DE187" s="44"/>
      <c r="DF187" s="44"/>
      <c r="DG187" s="36"/>
      <c r="DH187" s="20"/>
      <c r="DI187" s="708"/>
      <c r="DJ187" s="789"/>
      <c r="DK187" s="641"/>
      <c r="DL187" s="310"/>
      <c r="DM187" s="842"/>
      <c r="DN187" s="20"/>
      <c r="DO187" s="271"/>
      <c r="DP187" s="760"/>
      <c r="DQ187" s="40"/>
      <c r="DR187" s="44"/>
      <c r="DS187" s="36"/>
      <c r="DT187" s="20"/>
      <c r="DU187" s="708"/>
      <c r="DV187" s="789"/>
      <c r="DW187" s="40"/>
      <c r="DX187" s="702"/>
      <c r="DY187" s="44"/>
      <c r="DZ187" s="36"/>
      <c r="EA187" s="20"/>
      <c r="EB187" s="708"/>
      <c r="EC187" s="789"/>
      <c r="ED187" s="641"/>
      <c r="EE187" s="44"/>
      <c r="EF187" s="842"/>
      <c r="EG187" s="20"/>
      <c r="EH187" s="271"/>
      <c r="EI187" s="760"/>
      <c r="EJ187" s="40"/>
      <c r="EK187" s="44"/>
      <c r="EL187" s="36"/>
      <c r="EM187" s="20"/>
      <c r="EN187" s="268"/>
    </row>
    <row r="188" spans="1:145" ht="19.899999999999999" customHeight="1" x14ac:dyDescent="0.2">
      <c r="A188" s="6" t="s">
        <v>150</v>
      </c>
      <c r="B188" s="960"/>
      <c r="C188" s="33">
        <f>C187+1</f>
        <v>46141</v>
      </c>
      <c r="D188" s="1"/>
      <c r="E188" s="23"/>
      <c r="F188" s="526"/>
      <c r="G188" s="807"/>
      <c r="H188" s="1"/>
      <c r="I188" s="527"/>
      <c r="J188" s="647"/>
      <c r="K188" s="124"/>
      <c r="L188" s="126"/>
      <c r="M188" s="126"/>
      <c r="N188" s="127"/>
      <c r="O188" s="23"/>
      <c r="P188" s="624"/>
      <c r="Q188" s="647"/>
      <c r="R188" s="126"/>
      <c r="S188" s="647"/>
      <c r="T188" s="126"/>
      <c r="U188" s="124"/>
      <c r="V188" s="126"/>
      <c r="W188" s="23"/>
      <c r="X188" s="714"/>
      <c r="Y188" s="760"/>
      <c r="Z188" s="193"/>
      <c r="AA188" s="85"/>
      <c r="AC188" s="245"/>
      <c r="AD188" s="21"/>
      <c r="AE188" s="714"/>
      <c r="AF188" s="760"/>
      <c r="AG188" s="760"/>
      <c r="AH188" s="760"/>
      <c r="AI188" s="760"/>
      <c r="AJ188" s="193"/>
      <c r="AK188" s="85"/>
      <c r="AM188" s="245"/>
      <c r="AN188" s="21"/>
      <c r="AO188" s="271"/>
      <c r="AP188" s="672"/>
      <c r="AQ188" s="147"/>
      <c r="AR188" s="702"/>
      <c r="AS188" s="244"/>
      <c r="AT188" s="245"/>
      <c r="AU188" s="21"/>
      <c r="AV188" s="271"/>
      <c r="AW188" s="660"/>
      <c r="AX188" s="284"/>
      <c r="AY188" s="702"/>
      <c r="AZ188" s="244"/>
      <c r="BA188" s="245"/>
      <c r="BB188" s="21"/>
      <c r="BC188" s="666"/>
      <c r="BD188" s="407"/>
      <c r="BE188" s="408"/>
      <c r="BF188" s="669"/>
      <c r="BG188" s="21"/>
      <c r="BH188" s="711"/>
      <c r="BI188" s="666"/>
      <c r="BJ188" s="407"/>
      <c r="BK188" s="408"/>
      <c r="BL188" s="669"/>
      <c r="BM188" s="21"/>
      <c r="BN188" s="711"/>
      <c r="BO188" s="1068"/>
      <c r="BP188" s="310"/>
      <c r="BQ188" s="1068"/>
      <c r="BR188" s="1138"/>
      <c r="BS188" s="1137"/>
      <c r="BT188" s="669"/>
      <c r="BU188" s="21"/>
      <c r="BV188" s="271"/>
      <c r="BW188" s="760"/>
      <c r="BX188" s="193"/>
      <c r="BY188" s="244"/>
      <c r="BZ188" s="245"/>
      <c r="CA188" s="21"/>
      <c r="CB188" s="270"/>
      <c r="CC188" s="720"/>
      <c r="CD188" s="309"/>
      <c r="CE188" s="44"/>
      <c r="CF188" s="36"/>
      <c r="CG188" s="21"/>
      <c r="CH188" s="708"/>
      <c r="CI188" s="917"/>
      <c r="CJ188" s="44"/>
      <c r="CK188" s="310"/>
      <c r="CL188" s="36"/>
      <c r="CM188" s="21"/>
      <c r="CN188" s="271"/>
      <c r="CO188" s="917"/>
      <c r="CP188" s="40"/>
      <c r="CQ188" s="44"/>
      <c r="CR188" s="36"/>
      <c r="CS188" s="21"/>
      <c r="CT188" s="270"/>
      <c r="CU188" s="781"/>
      <c r="CV188" s="73"/>
      <c r="CW188" s="42"/>
      <c r="CX188" s="43"/>
      <c r="CY188" s="567"/>
      <c r="CZ188" s="781"/>
      <c r="DA188" s="21"/>
      <c r="DB188" s="708"/>
      <c r="DC188" s="760"/>
      <c r="DD188" s="73"/>
      <c r="DE188" s="42"/>
      <c r="DF188" s="42"/>
      <c r="DG188" s="43"/>
      <c r="DH188" s="20"/>
      <c r="DI188" s="708"/>
      <c r="DJ188" s="789"/>
      <c r="DK188" s="641"/>
      <c r="DL188" s="83"/>
      <c r="DM188" s="932"/>
      <c r="DN188" s="20"/>
      <c r="DO188" s="271"/>
      <c r="DP188" s="760"/>
      <c r="DQ188" s="40"/>
      <c r="DR188" s="44"/>
      <c r="DS188" s="36"/>
      <c r="DT188" s="20"/>
      <c r="DU188" s="708"/>
      <c r="DV188" s="789"/>
      <c r="DW188" s="40"/>
      <c r="DX188" s="702"/>
      <c r="DY188" s="44"/>
      <c r="DZ188" s="36"/>
      <c r="EA188" s="20"/>
      <c r="EB188" s="708"/>
      <c r="EC188" s="789"/>
      <c r="ED188" s="641"/>
      <c r="EE188" s="325"/>
      <c r="EF188" s="932"/>
      <c r="EG188" s="20"/>
      <c r="EH188" s="271"/>
      <c r="EI188" s="760"/>
      <c r="EJ188" s="40"/>
      <c r="EK188" s="44"/>
      <c r="EL188" s="36"/>
      <c r="EM188" s="20"/>
      <c r="EN188" s="268"/>
    </row>
    <row r="189" spans="1:145" ht="15.75" customHeight="1" thickBot="1" x14ac:dyDescent="0.25">
      <c r="A189" s="6" t="s">
        <v>71</v>
      </c>
      <c r="B189" s="960"/>
      <c r="C189" s="302">
        <f>C188+1</f>
        <v>46142</v>
      </c>
      <c r="D189" s="1"/>
      <c r="E189" s="23"/>
      <c r="F189" s="526"/>
      <c r="G189" s="807"/>
      <c r="H189" s="1"/>
      <c r="I189" s="527"/>
      <c r="J189" s="647"/>
      <c r="K189" s="142"/>
      <c r="L189" s="105"/>
      <c r="M189" s="105"/>
      <c r="N189" s="143"/>
      <c r="O189" s="23"/>
      <c r="P189" s="624"/>
      <c r="Q189" s="647"/>
      <c r="R189" s="105"/>
      <c r="S189" s="647"/>
      <c r="T189" s="105"/>
      <c r="U189" s="142"/>
      <c r="V189" s="105"/>
      <c r="W189" s="23"/>
      <c r="X189" s="714"/>
      <c r="Y189" s="760"/>
      <c r="Z189" s="309"/>
      <c r="AA189" s="41"/>
      <c r="AB189" s="622" t="s">
        <v>80</v>
      </c>
      <c r="AC189" s="307"/>
      <c r="AD189" s="21"/>
      <c r="AE189" s="714"/>
      <c r="AF189" s="760"/>
      <c r="AG189" s="760"/>
      <c r="AH189" s="760"/>
      <c r="AI189" s="760"/>
      <c r="AJ189" s="309"/>
      <c r="AK189" s="41"/>
      <c r="AL189" s="66" t="s">
        <v>80</v>
      </c>
      <c r="AM189" s="307"/>
      <c r="AN189" s="21"/>
      <c r="AO189" s="271"/>
      <c r="AP189" s="821"/>
      <c r="AQ189" s="290"/>
      <c r="AR189" s="1087"/>
      <c r="AS189" s="1088" t="s">
        <v>61</v>
      </c>
      <c r="AT189" s="287"/>
      <c r="AU189" s="21"/>
      <c r="AV189" s="271"/>
      <c r="AW189" s="661"/>
      <c r="AX189" s="290"/>
      <c r="AY189" s="790"/>
      <c r="AZ189" s="291"/>
      <c r="BA189" s="287"/>
      <c r="BB189" s="21"/>
      <c r="BC189" s="667"/>
      <c r="BD189" s="412"/>
      <c r="BE189" s="236"/>
      <c r="BF189" s="670"/>
      <c r="BG189" s="21"/>
      <c r="BH189" s="711"/>
      <c r="BI189" s="667"/>
      <c r="BJ189" s="412"/>
      <c r="BK189" s="236"/>
      <c r="BL189" s="670"/>
      <c r="BM189" s="21"/>
      <c r="BN189" s="711"/>
      <c r="BO189" s="1073"/>
      <c r="BP189" s="292" t="s">
        <v>48</v>
      </c>
      <c r="BQ189" s="1073"/>
      <c r="BR189" s="1139" t="s">
        <v>48</v>
      </c>
      <c r="BS189" s="1140"/>
      <c r="BT189" s="670"/>
      <c r="BU189" s="21"/>
      <c r="BV189" s="271"/>
      <c r="BW189" s="760"/>
      <c r="BX189" s="309"/>
      <c r="BY189" s="310"/>
      <c r="BZ189" s="307"/>
      <c r="CA189" s="21"/>
      <c r="CB189" s="270"/>
      <c r="CC189" s="720"/>
      <c r="CD189" s="309"/>
      <c r="CE189" s="310"/>
      <c r="CF189" s="307"/>
      <c r="CG189" s="21"/>
      <c r="CH189" s="708"/>
      <c r="CI189" s="917"/>
      <c r="CJ189" s="310"/>
      <c r="CK189" s="310"/>
      <c r="CL189" s="307"/>
      <c r="CM189" s="21"/>
      <c r="CN189" s="271"/>
      <c r="CO189" s="917"/>
      <c r="CP189" s="309"/>
      <c r="CQ189" s="66" t="s">
        <v>80</v>
      </c>
      <c r="CR189" s="307"/>
      <c r="CS189" s="21"/>
      <c r="CT189" s="270"/>
      <c r="CU189" s="781"/>
      <c r="CV189" s="73"/>
      <c r="CW189" s="42"/>
      <c r="CX189" s="43"/>
      <c r="CY189" s="567"/>
      <c r="CZ189" s="781"/>
      <c r="DA189" s="21"/>
      <c r="DB189" s="708"/>
      <c r="DC189" s="760"/>
      <c r="DD189" s="309"/>
      <c r="DE189" s="310"/>
      <c r="DF189" s="310"/>
      <c r="DG189" s="307"/>
      <c r="DH189" s="20"/>
      <c r="DI189" s="708"/>
      <c r="DJ189" s="796"/>
      <c r="DK189" s="642"/>
      <c r="DL189" s="297" t="s">
        <v>48</v>
      </c>
      <c r="DM189" s="307"/>
      <c r="DN189" s="20"/>
      <c r="DO189" s="271"/>
      <c r="DP189" s="760"/>
      <c r="DQ189" s="309"/>
      <c r="DR189" s="310"/>
      <c r="DS189" s="307"/>
      <c r="DT189" s="20"/>
      <c r="DU189" s="708"/>
      <c r="DV189" s="792"/>
      <c r="DW189" s="309"/>
      <c r="DX189" s="793"/>
      <c r="DY189" s="66" t="s">
        <v>80</v>
      </c>
      <c r="DZ189" s="307"/>
      <c r="EA189" s="20"/>
      <c r="EB189" s="708"/>
      <c r="EC189" s="796"/>
      <c r="ED189" s="642"/>
      <c r="EE189" s="328" t="s">
        <v>48</v>
      </c>
      <c r="EF189" s="307"/>
      <c r="EG189" s="20"/>
      <c r="EH189" s="271"/>
      <c r="EI189" s="760"/>
      <c r="EJ189" s="309"/>
      <c r="EK189" s="310"/>
      <c r="EL189" s="307"/>
      <c r="EM189" s="20"/>
      <c r="EN189" s="268"/>
    </row>
    <row r="190" spans="1:145" ht="19.899999999999999" customHeight="1" thickTop="1" thickBot="1" x14ac:dyDescent="0.25">
      <c r="A190" s="6" t="s">
        <v>70</v>
      </c>
      <c r="B190" s="961"/>
      <c r="C190" s="219">
        <f>C189+1</f>
        <v>46143</v>
      </c>
      <c r="D190" s="1"/>
      <c r="E190" s="23"/>
      <c r="F190" s="526"/>
      <c r="G190" s="807"/>
      <c r="H190" s="1"/>
      <c r="I190" s="527"/>
      <c r="J190" s="648"/>
      <c r="K190" s="111"/>
      <c r="L190" s="109"/>
      <c r="M190" s="109"/>
      <c r="N190" s="110"/>
      <c r="O190" s="23"/>
      <c r="P190" s="624"/>
      <c r="Q190" s="648"/>
      <c r="R190" s="109"/>
      <c r="S190" s="648"/>
      <c r="T190" s="109"/>
      <c r="U190" s="111"/>
      <c r="V190" s="109"/>
      <c r="W190" s="23"/>
      <c r="X190" s="714"/>
      <c r="Y190" s="760"/>
      <c r="Z190" s="248"/>
      <c r="AA190" s="249"/>
      <c r="AB190" s="250"/>
      <c r="AC190" s="251"/>
      <c r="AD190" s="21"/>
      <c r="AE190" s="714"/>
      <c r="AF190" s="760"/>
      <c r="AG190" s="760"/>
      <c r="AH190" s="760"/>
      <c r="AI190" s="760"/>
      <c r="AJ190" s="248"/>
      <c r="AK190" s="249"/>
      <c r="AL190" s="250"/>
      <c r="AM190" s="251"/>
      <c r="AN190" s="21"/>
      <c r="AO190" s="271"/>
      <c r="AP190" s="406"/>
      <c r="AQ190" s="414"/>
      <c r="AR190" s="178"/>
      <c r="AS190" s="416"/>
      <c r="AT190" s="417"/>
      <c r="AU190" s="21"/>
      <c r="AV190" s="271"/>
      <c r="AW190" s="285"/>
      <c r="AX190" s="414"/>
      <c r="AY190" s="415"/>
      <c r="AZ190" s="416"/>
      <c r="BA190" s="417"/>
      <c r="BB190" s="21"/>
      <c r="BC190" s="405"/>
      <c r="BD190" s="409"/>
      <c r="BE190" s="410"/>
      <c r="BF190" s="411"/>
      <c r="BG190" s="21"/>
      <c r="BH190" s="712"/>
      <c r="BI190" s="405"/>
      <c r="BJ190" s="409"/>
      <c r="BK190" s="410"/>
      <c r="BL190" s="411"/>
      <c r="BM190" s="21"/>
      <c r="BN190" s="712"/>
      <c r="BO190" s="405"/>
      <c r="BP190" s="416"/>
      <c r="BQ190" s="596"/>
      <c r="BR190" s="482"/>
      <c r="BS190" s="416"/>
      <c r="BT190" s="483"/>
      <c r="BU190" s="21"/>
      <c r="BV190" s="271"/>
      <c r="BW190" s="760"/>
      <c r="BX190" s="128"/>
      <c r="BY190" s="108"/>
      <c r="BZ190" s="130"/>
      <c r="CA190" s="21"/>
      <c r="CB190" s="270"/>
      <c r="CC190" s="720"/>
      <c r="CD190" s="111"/>
      <c r="CE190" s="109"/>
      <c r="CF190" s="110"/>
      <c r="CG190" s="21"/>
      <c r="CH190" s="709"/>
      <c r="CI190" s="917"/>
      <c r="CJ190" s="257"/>
      <c r="CK190" s="257"/>
      <c r="CL190" s="258"/>
      <c r="CM190" s="21"/>
      <c r="CN190" s="271"/>
      <c r="CO190" s="918"/>
      <c r="CP190" s="256"/>
      <c r="CQ190" s="257"/>
      <c r="CR190" s="258"/>
      <c r="CS190" s="21"/>
      <c r="CT190" s="270"/>
      <c r="CU190" s="781"/>
      <c r="CV190" s="498"/>
      <c r="CW190" s="499"/>
      <c r="CX190" s="500"/>
      <c r="CY190" s="567"/>
      <c r="CZ190" s="782"/>
      <c r="DA190" s="21"/>
      <c r="DB190" s="709"/>
      <c r="DC190" s="760"/>
      <c r="DD190" s="111"/>
      <c r="DE190" s="109"/>
      <c r="DF190" s="109"/>
      <c r="DG190" s="110"/>
      <c r="DH190" s="20"/>
      <c r="DI190" s="709"/>
      <c r="DJ190" s="304"/>
      <c r="DK190" s="509"/>
      <c r="DL190" s="510"/>
      <c r="DM190" s="511"/>
      <c r="DN190" s="20"/>
      <c r="DO190" s="271"/>
      <c r="DP190" s="760"/>
      <c r="DQ190" s="111"/>
      <c r="DR190" s="109"/>
      <c r="DS190" s="110"/>
      <c r="DT190" s="20"/>
      <c r="DU190" s="709"/>
      <c r="DV190" s="514"/>
      <c r="DW190" s="256"/>
      <c r="DX190" s="402"/>
      <c r="DY190" s="257"/>
      <c r="DZ190" s="258"/>
      <c r="EA190" s="20"/>
      <c r="EB190" s="709"/>
      <c r="EC190" s="304"/>
      <c r="ED190" s="111"/>
      <c r="EE190" s="109"/>
      <c r="EF190" s="110"/>
      <c r="EG190" s="20"/>
      <c r="EH190" s="271"/>
      <c r="EI190" s="760"/>
      <c r="EJ190" s="111"/>
      <c r="EK190" s="109"/>
      <c r="EL190" s="110"/>
      <c r="EM190" s="20"/>
      <c r="EN190" s="268"/>
    </row>
    <row r="191" spans="1:145" ht="27.75" customHeight="1" x14ac:dyDescent="0.2">
      <c r="B191" s="959">
        <f>B186+1</f>
        <v>19</v>
      </c>
      <c r="C191" s="89">
        <f>C186+7</f>
        <v>46146</v>
      </c>
      <c r="D191" s="4"/>
      <c r="E191" s="24" t="s">
        <v>193</v>
      </c>
      <c r="F191" s="525"/>
      <c r="G191" s="807"/>
      <c r="H191" s="4"/>
      <c r="I191" s="527"/>
      <c r="J191" s="671" t="s">
        <v>194</v>
      </c>
      <c r="K191" s="79"/>
      <c r="L191" s="819" t="s">
        <v>269</v>
      </c>
      <c r="M191" s="72"/>
      <c r="N191" s="785" t="s">
        <v>394</v>
      </c>
      <c r="O191" s="24"/>
      <c r="P191" s="624"/>
      <c r="Q191" s="671" t="s">
        <v>194</v>
      </c>
      <c r="R191" s="1047" t="s">
        <v>394</v>
      </c>
      <c r="S191" s="671" t="s">
        <v>255</v>
      </c>
      <c r="T191" s="1058" t="s">
        <v>394</v>
      </c>
      <c r="U191" s="79"/>
      <c r="V191" s="819" t="s">
        <v>269</v>
      </c>
      <c r="W191" s="24"/>
      <c r="X191" s="714"/>
      <c r="Y191" s="760"/>
      <c r="Z191" s="71"/>
      <c r="AA191" s="74"/>
      <c r="AB191" s="72"/>
      <c r="AC191" s="62"/>
      <c r="AD191" s="21"/>
      <c r="AE191" s="714"/>
      <c r="AF191" s="760"/>
      <c r="AG191" s="760"/>
      <c r="AH191" s="760"/>
      <c r="AI191" s="760"/>
      <c r="AJ191" s="71"/>
      <c r="AK191" s="74"/>
      <c r="AL191" s="72"/>
      <c r="AM191" s="62"/>
      <c r="AN191" s="21"/>
      <c r="AO191" s="707" t="s">
        <v>324</v>
      </c>
      <c r="AP191" s="671" t="s">
        <v>192</v>
      </c>
      <c r="AQ191" s="321"/>
      <c r="AR191" s="701" t="s">
        <v>197</v>
      </c>
      <c r="AS191" s="323"/>
      <c r="AT191" s="324"/>
      <c r="AU191" s="21"/>
      <c r="AV191" s="707" t="s">
        <v>324</v>
      </c>
      <c r="AW191" s="662" t="s">
        <v>259</v>
      </c>
      <c r="AX191" s="151"/>
      <c r="AY191" s="701" t="s">
        <v>197</v>
      </c>
      <c r="AZ191" s="72"/>
      <c r="BA191" s="62"/>
      <c r="BB191" s="21"/>
      <c r="BC191" s="671" t="s">
        <v>79</v>
      </c>
      <c r="BD191" s="655" t="s">
        <v>147</v>
      </c>
      <c r="BE191" s="50"/>
      <c r="BF191" s="62"/>
      <c r="BG191" s="21"/>
      <c r="BH191" s="707" t="s">
        <v>44</v>
      </c>
      <c r="BI191" s="671" t="s">
        <v>79</v>
      </c>
      <c r="BJ191" s="655" t="s">
        <v>147</v>
      </c>
      <c r="BK191" s="50"/>
      <c r="BL191" s="62"/>
      <c r="BM191" s="21"/>
      <c r="BN191" s="707" t="s">
        <v>66</v>
      </c>
      <c r="BO191" s="1095" t="s">
        <v>79</v>
      </c>
      <c r="BP191" s="632"/>
      <c r="BQ191" s="1074" t="s">
        <v>79</v>
      </c>
      <c r="BR191" s="71"/>
      <c r="BS191" s="701" t="s">
        <v>147</v>
      </c>
      <c r="BT191" s="62"/>
      <c r="BU191" s="21"/>
      <c r="BV191" s="271"/>
      <c r="BW191" s="760"/>
      <c r="BX191" s="132"/>
      <c r="BY191" s="56"/>
      <c r="BZ191" s="57"/>
      <c r="CA191" s="21"/>
      <c r="CB191" s="271"/>
      <c r="CC191" s="720"/>
      <c r="CD191" s="314"/>
      <c r="CE191" s="39"/>
      <c r="CF191" s="35"/>
      <c r="CG191" s="21"/>
      <c r="CH191" s="271"/>
      <c r="CI191" s="917"/>
      <c r="CJ191" s="39"/>
      <c r="CK191" s="39"/>
      <c r="CL191" s="35"/>
      <c r="CM191" s="21"/>
      <c r="CN191" s="271"/>
      <c r="CO191" s="759" t="s">
        <v>398</v>
      </c>
      <c r="CP191" s="61"/>
      <c r="CQ191" s="39"/>
      <c r="CR191" s="35"/>
      <c r="CS191" s="21"/>
      <c r="CT191" s="707" t="s">
        <v>81</v>
      </c>
      <c r="CU191" s="781"/>
      <c r="CV191" s="37"/>
      <c r="CW191" s="58"/>
      <c r="CX191" s="201"/>
      <c r="CY191" s="567"/>
      <c r="CZ191" s="875" t="s">
        <v>452</v>
      </c>
      <c r="DA191" s="21"/>
      <c r="DB191" s="271"/>
      <c r="DC191" s="760"/>
      <c r="DD191" s="61"/>
      <c r="DE191" s="39"/>
      <c r="DF191" s="39"/>
      <c r="DG191" s="35"/>
      <c r="DH191" s="20"/>
      <c r="DI191" s="707" t="s">
        <v>69</v>
      </c>
      <c r="DJ191" s="759" t="s">
        <v>398</v>
      </c>
      <c r="DK191" s="61"/>
      <c r="DL191" s="39"/>
      <c r="DM191" s="306"/>
      <c r="DN191" s="20"/>
      <c r="DO191" s="271"/>
      <c r="DP191" s="760"/>
      <c r="DQ191" s="61"/>
      <c r="DR191" s="39"/>
      <c r="DS191" s="35"/>
      <c r="DT191" s="20"/>
      <c r="DU191" s="270"/>
      <c r="DV191" s="852" t="s">
        <v>190</v>
      </c>
      <c r="DW191" s="61"/>
      <c r="DX191" s="701" t="s">
        <v>197</v>
      </c>
      <c r="DY191" s="39"/>
      <c r="DZ191" s="35"/>
      <c r="EA191" s="20"/>
      <c r="EB191" s="707" t="s">
        <v>69</v>
      </c>
      <c r="EC191" s="759" t="s">
        <v>398</v>
      </c>
      <c r="ED191" s="314"/>
      <c r="EE191" s="308"/>
      <c r="EF191" s="306"/>
      <c r="EG191" s="20"/>
      <c r="EH191" s="271"/>
      <c r="EI191" s="760"/>
      <c r="EJ191" s="61"/>
      <c r="EK191" s="39"/>
      <c r="EL191" s="35"/>
      <c r="EM191" s="20"/>
      <c r="EN191" s="268"/>
      <c r="EO191" s="759" t="s">
        <v>456</v>
      </c>
    </row>
    <row r="192" spans="1:145" ht="19.899999999999999" customHeight="1" x14ac:dyDescent="0.2">
      <c r="B192" s="960"/>
      <c r="C192" s="33">
        <f>C191+1</f>
        <v>46147</v>
      </c>
      <c r="D192" s="1"/>
      <c r="E192" s="23" t="s">
        <v>289</v>
      </c>
      <c r="F192" s="526"/>
      <c r="G192" s="807"/>
      <c r="H192" s="1"/>
      <c r="I192" s="527"/>
      <c r="J192" s="672"/>
      <c r="K192" s="79"/>
      <c r="L192" s="704"/>
      <c r="M192" s="42"/>
      <c r="N192" s="786"/>
      <c r="O192" s="23"/>
      <c r="P192" s="624"/>
      <c r="Q192" s="672"/>
      <c r="R192" s="1048"/>
      <c r="S192" s="672"/>
      <c r="T192" s="1059"/>
      <c r="U192" s="79"/>
      <c r="V192" s="704"/>
      <c r="W192" s="23"/>
      <c r="X192" s="714"/>
      <c r="Y192" s="760"/>
      <c r="Z192" s="73"/>
      <c r="AA192" s="52"/>
      <c r="AB192" s="42"/>
      <c r="AC192" s="43"/>
      <c r="AD192" s="21"/>
      <c r="AE192" s="714"/>
      <c r="AF192" s="760"/>
      <c r="AG192" s="760"/>
      <c r="AH192" s="760"/>
      <c r="AI192" s="760"/>
      <c r="AJ192" s="73"/>
      <c r="AK192" s="52"/>
      <c r="AL192" s="42"/>
      <c r="AM192" s="43"/>
      <c r="AN192" s="21"/>
      <c r="AO192" s="708"/>
      <c r="AP192" s="1033"/>
      <c r="AQ192" s="322"/>
      <c r="AR192" s="702"/>
      <c r="AS192" s="325"/>
      <c r="AT192" s="326"/>
      <c r="AU192" s="21"/>
      <c r="AV192" s="708"/>
      <c r="AW192" s="660"/>
      <c r="AX192" s="79"/>
      <c r="AY192" s="702"/>
      <c r="AZ192" s="42"/>
      <c r="BA192" s="43"/>
      <c r="BB192" s="21"/>
      <c r="BC192" s="672"/>
      <c r="BD192" s="641"/>
      <c r="BE192" s="50"/>
      <c r="BF192" s="43"/>
      <c r="BG192" s="21"/>
      <c r="BH192" s="708"/>
      <c r="BI192" s="672"/>
      <c r="BJ192" s="641"/>
      <c r="BK192" s="50"/>
      <c r="BL192" s="43"/>
      <c r="BM192" s="21"/>
      <c r="BN192" s="708"/>
      <c r="BO192" s="794"/>
      <c r="BP192" s="633"/>
      <c r="BQ192" s="1075"/>
      <c r="BR192" s="73"/>
      <c r="BS192" s="702"/>
      <c r="BT192" s="43"/>
      <c r="BU192" s="21"/>
      <c r="BV192" s="271"/>
      <c r="BW192" s="760"/>
      <c r="BX192" s="73"/>
      <c r="BY192" s="42"/>
      <c r="BZ192" s="43"/>
      <c r="CA192" s="21"/>
      <c r="CB192" s="271"/>
      <c r="CC192" s="720"/>
      <c r="CD192" s="309"/>
      <c r="CE192" s="44"/>
      <c r="CF192" s="36"/>
      <c r="CG192" s="21"/>
      <c r="CH192" s="271"/>
      <c r="CI192" s="917"/>
      <c r="CJ192" s="44"/>
      <c r="CK192" s="44"/>
      <c r="CL192" s="36"/>
      <c r="CM192" s="21"/>
      <c r="CN192" s="271"/>
      <c r="CO192" s="760"/>
      <c r="CP192" s="40"/>
      <c r="CQ192" s="44"/>
      <c r="CR192" s="36"/>
      <c r="CS192" s="21"/>
      <c r="CT192" s="708"/>
      <c r="CU192" s="781"/>
      <c r="CV192" s="73"/>
      <c r="CW192" s="42"/>
      <c r="CX192" s="43"/>
      <c r="CY192" s="567"/>
      <c r="CZ192" s="876"/>
      <c r="DA192" s="21"/>
      <c r="DB192" s="271"/>
      <c r="DC192" s="760"/>
      <c r="DD192" s="40"/>
      <c r="DE192" s="44"/>
      <c r="DF192" s="44"/>
      <c r="DG192" s="36"/>
      <c r="DH192" s="20"/>
      <c r="DI192" s="708"/>
      <c r="DJ192" s="760"/>
      <c r="DK192" s="40"/>
      <c r="DL192" s="44"/>
      <c r="DM192" s="307"/>
      <c r="DN192" s="20"/>
      <c r="DO192" s="271"/>
      <c r="DP192" s="760"/>
      <c r="DQ192" s="40"/>
      <c r="DR192" s="44"/>
      <c r="DS192" s="36"/>
      <c r="DT192" s="20"/>
      <c r="DU192" s="270"/>
      <c r="DV192" s="789"/>
      <c r="DW192" s="40"/>
      <c r="DX192" s="702"/>
      <c r="DY192" s="44"/>
      <c r="DZ192" s="36"/>
      <c r="EA192" s="20"/>
      <c r="EB192" s="708"/>
      <c r="EC192" s="760"/>
      <c r="ED192" s="309"/>
      <c r="EE192" s="310"/>
      <c r="EF192" s="307"/>
      <c r="EG192" s="20"/>
      <c r="EH192" s="271"/>
      <c r="EI192" s="760"/>
      <c r="EJ192" s="40"/>
      <c r="EK192" s="44"/>
      <c r="EL192" s="36"/>
      <c r="EM192" s="20"/>
      <c r="EN192" s="268"/>
      <c r="EO192" s="760"/>
    </row>
    <row r="193" spans="1:145" ht="19.899999999999999" customHeight="1" thickBot="1" x14ac:dyDescent="0.25">
      <c r="B193" s="960"/>
      <c r="C193" s="33">
        <f>C192+1</f>
        <v>46148</v>
      </c>
      <c r="D193" s="1"/>
      <c r="F193" s="526"/>
      <c r="G193" s="807"/>
      <c r="H193" s="1"/>
      <c r="I193" s="527"/>
      <c r="J193" s="672"/>
      <c r="K193" s="79"/>
      <c r="L193" s="704"/>
      <c r="M193" s="50"/>
      <c r="N193" s="786"/>
      <c r="O193" s="24"/>
      <c r="P193" s="624"/>
      <c r="Q193" s="672"/>
      <c r="R193" s="1049"/>
      <c r="S193" s="672"/>
      <c r="T193" s="1060"/>
      <c r="U193" s="79"/>
      <c r="V193" s="704"/>
      <c r="W193" s="24"/>
      <c r="X193" s="714"/>
      <c r="Y193" s="760"/>
      <c r="Z193" s="73"/>
      <c r="AA193" s="52"/>
      <c r="AB193" s="42"/>
      <c r="AC193" s="43"/>
      <c r="AD193" s="21"/>
      <c r="AE193" s="714"/>
      <c r="AF193" s="760"/>
      <c r="AG193" s="760"/>
      <c r="AH193" s="760"/>
      <c r="AI193" s="760"/>
      <c r="AJ193" s="73"/>
      <c r="AK193" s="52"/>
      <c r="AL193" s="42"/>
      <c r="AM193" s="43"/>
      <c r="AN193" s="21"/>
      <c r="AO193" s="708"/>
      <c r="AP193" s="1061" t="s">
        <v>187</v>
      </c>
      <c r="AQ193" s="284"/>
      <c r="AR193" s="702"/>
      <c r="AS193" s="476" t="s">
        <v>48</v>
      </c>
      <c r="AT193" s="84"/>
      <c r="AU193" s="21"/>
      <c r="AV193" s="708"/>
      <c r="AW193" s="660"/>
      <c r="AX193" s="284"/>
      <c r="AY193" s="702"/>
      <c r="AZ193" s="244"/>
      <c r="BA193" s="245"/>
      <c r="BB193" s="21"/>
      <c r="BC193" s="672"/>
      <c r="BD193" s="641"/>
      <c r="BE193" s="286"/>
      <c r="BF193" s="287"/>
      <c r="BG193" s="21"/>
      <c r="BH193" s="708"/>
      <c r="BI193" s="672"/>
      <c r="BJ193" s="641"/>
      <c r="BK193" s="286"/>
      <c r="BL193" s="287"/>
      <c r="BM193" s="21"/>
      <c r="BN193" s="708"/>
      <c r="BO193" s="794"/>
      <c r="BP193" s="633"/>
      <c r="BQ193" s="1075"/>
      <c r="BR193" s="290"/>
      <c r="BS193" s="702"/>
      <c r="BT193" s="164"/>
      <c r="BU193" s="21"/>
      <c r="BV193" s="271"/>
      <c r="BW193" s="760"/>
      <c r="BX193" s="193"/>
      <c r="BY193" s="244"/>
      <c r="BZ193" s="245"/>
      <c r="CA193" s="21"/>
      <c r="CB193" s="271"/>
      <c r="CC193" s="720"/>
      <c r="CD193" s="309"/>
      <c r="CE193" s="44"/>
      <c r="CF193" s="36"/>
      <c r="CG193" s="21"/>
      <c r="CH193" s="271"/>
      <c r="CI193" s="917"/>
      <c r="CJ193" s="44"/>
      <c r="CK193" s="44"/>
      <c r="CL193" s="36"/>
      <c r="CM193" s="21"/>
      <c r="CN193" s="271"/>
      <c r="CO193" s="760"/>
      <c r="CP193" s="40"/>
      <c r="CQ193" s="44"/>
      <c r="CR193" s="36"/>
      <c r="CS193" s="21"/>
      <c r="CT193" s="708"/>
      <c r="CU193" s="781"/>
      <c r="CV193" s="73"/>
      <c r="CW193" s="42"/>
      <c r="CX193" s="43"/>
      <c r="CY193" s="567"/>
      <c r="CZ193" s="876"/>
      <c r="DA193" s="21"/>
      <c r="DB193" s="271"/>
      <c r="DC193" s="760"/>
      <c r="DD193" s="40"/>
      <c r="DE193" s="44"/>
      <c r="DF193" s="44"/>
      <c r="DG193" s="36"/>
      <c r="DH193" s="20"/>
      <c r="DI193" s="708"/>
      <c r="DJ193" s="760"/>
      <c r="DK193" s="40"/>
      <c r="DL193" s="44"/>
      <c r="DM193" s="36"/>
      <c r="DN193" s="20"/>
      <c r="DO193" s="271"/>
      <c r="DP193" s="760"/>
      <c r="DQ193" s="40"/>
      <c r="DR193" s="44"/>
      <c r="DS193" s="36"/>
      <c r="DT193" s="20"/>
      <c r="DU193" s="274"/>
      <c r="DV193" s="789"/>
      <c r="DW193" s="40"/>
      <c r="DX193" s="702"/>
      <c r="DY193" s="44"/>
      <c r="DZ193" s="36"/>
      <c r="EA193" s="20"/>
      <c r="EB193" s="708"/>
      <c r="EC193" s="760"/>
      <c r="ED193" s="309"/>
      <c r="EE193" s="310"/>
      <c r="EF193" s="307"/>
      <c r="EG193" s="20"/>
      <c r="EH193" s="271"/>
      <c r="EI193" s="760"/>
      <c r="EJ193" s="40"/>
      <c r="EK193" s="44"/>
      <c r="EL193" s="36"/>
      <c r="EM193" s="20"/>
      <c r="EN193" s="268"/>
      <c r="EO193" s="760"/>
    </row>
    <row r="194" spans="1:145" ht="19.899999999999999" customHeight="1" thickBot="1" x14ac:dyDescent="0.25">
      <c r="A194" s="6" t="s">
        <v>71</v>
      </c>
      <c r="B194" s="960"/>
      <c r="C194" s="302">
        <f>C193+1</f>
        <v>46149</v>
      </c>
      <c r="D194" s="1"/>
      <c r="E194" s="210" t="s">
        <v>91</v>
      </c>
      <c r="F194" s="526"/>
      <c r="G194" s="807"/>
      <c r="H194" s="1"/>
      <c r="I194" s="527"/>
      <c r="J194" s="821"/>
      <c r="K194" s="501"/>
      <c r="L194" s="820"/>
      <c r="M194" s="263" t="s">
        <v>61</v>
      </c>
      <c r="N194" s="818"/>
      <c r="O194" s="23"/>
      <c r="P194" s="624"/>
      <c r="Q194" s="821"/>
      <c r="R194" s="628" t="s">
        <v>61</v>
      </c>
      <c r="S194" s="821"/>
      <c r="T194" s="627"/>
      <c r="U194" s="501"/>
      <c r="V194" s="820"/>
      <c r="W194" s="23"/>
      <c r="X194" s="714"/>
      <c r="Y194" s="760"/>
      <c r="Z194" s="193"/>
      <c r="AA194" s="244"/>
      <c r="AB194" s="42"/>
      <c r="AC194" s="245"/>
      <c r="AD194" s="21"/>
      <c r="AE194" s="714"/>
      <c r="AF194" s="760"/>
      <c r="AG194" s="760"/>
      <c r="AH194" s="760"/>
      <c r="AI194" s="760"/>
      <c r="AJ194" s="193"/>
      <c r="AK194" s="244"/>
      <c r="AL194" s="42"/>
      <c r="AM194" s="245"/>
      <c r="AN194" s="21"/>
      <c r="AO194" s="708"/>
      <c r="AP194" s="1062"/>
      <c r="AQ194" s="472"/>
      <c r="AR194" s="790"/>
      <c r="AS194" s="291"/>
      <c r="AT194" s="287"/>
      <c r="AU194" s="21"/>
      <c r="AV194" s="708"/>
      <c r="AW194" s="661"/>
      <c r="AX194" s="447"/>
      <c r="AY194" s="790"/>
      <c r="AZ194" s="291"/>
      <c r="BA194" s="448"/>
      <c r="BB194" s="21"/>
      <c r="BC194" s="673"/>
      <c r="BD194" s="642"/>
      <c r="BE194" s="288" t="s">
        <v>48</v>
      </c>
      <c r="BF194" s="449"/>
      <c r="BG194" s="21"/>
      <c r="BH194" s="708"/>
      <c r="BI194" s="673"/>
      <c r="BJ194" s="642"/>
      <c r="BK194" s="288" t="s">
        <v>48</v>
      </c>
      <c r="BL194" s="449"/>
      <c r="BM194" s="21"/>
      <c r="BN194" s="708"/>
      <c r="BO194" s="1022"/>
      <c r="BP194" s="1159"/>
      <c r="BQ194" s="1076"/>
      <c r="BR194" s="1141" t="s">
        <v>80</v>
      </c>
      <c r="BS194" s="790"/>
      <c r="BT194" s="413"/>
      <c r="BU194" s="21"/>
      <c r="BV194" s="271"/>
      <c r="BW194" s="760"/>
      <c r="BX194" s="193"/>
      <c r="BY194" s="244"/>
      <c r="BZ194" s="245"/>
      <c r="CA194" s="21"/>
      <c r="CB194" s="271"/>
      <c r="CC194" s="720"/>
      <c r="CD194" s="309"/>
      <c r="CE194" s="310"/>
      <c r="CF194" s="307"/>
      <c r="CG194" s="21"/>
      <c r="CH194" s="271"/>
      <c r="CI194" s="917"/>
      <c r="CJ194" s="310"/>
      <c r="CK194" s="310"/>
      <c r="CL194" s="307"/>
      <c r="CM194" s="21"/>
      <c r="CN194" s="271"/>
      <c r="CO194" s="761"/>
      <c r="CP194" s="309"/>
      <c r="CQ194" s="310"/>
      <c r="CR194" s="307"/>
      <c r="CS194" s="21"/>
      <c r="CT194" s="708"/>
      <c r="CU194" s="781"/>
      <c r="CV194" s="73"/>
      <c r="CW194" s="42"/>
      <c r="CX194" s="43"/>
      <c r="CY194" s="567"/>
      <c r="CZ194" s="876"/>
      <c r="DA194" s="21"/>
      <c r="DB194" s="271"/>
      <c r="DC194" s="760"/>
      <c r="DD194" s="309"/>
      <c r="DE194" s="310"/>
      <c r="DF194" s="310"/>
      <c r="DG194" s="307"/>
      <c r="DH194" s="20"/>
      <c r="DI194" s="708"/>
      <c r="DJ194" s="761"/>
      <c r="DK194" s="309"/>
      <c r="DL194" s="310"/>
      <c r="DM194" s="307"/>
      <c r="DN194" s="20"/>
      <c r="DO194" s="271"/>
      <c r="DP194" s="760"/>
      <c r="DQ194" s="309"/>
      <c r="DR194" s="310"/>
      <c r="DS194" s="307"/>
      <c r="DT194" s="20"/>
      <c r="DU194" s="274"/>
      <c r="DV194" s="792"/>
      <c r="DW194" s="309"/>
      <c r="DX194" s="793"/>
      <c r="DY194" s="66" t="s">
        <v>80</v>
      </c>
      <c r="DZ194" s="307"/>
      <c r="EA194" s="20"/>
      <c r="EB194" s="708"/>
      <c r="EC194" s="761"/>
      <c r="ED194" s="309"/>
      <c r="EE194" s="310"/>
      <c r="EF194" s="307"/>
      <c r="EG194" s="20"/>
      <c r="EH194" s="271"/>
      <c r="EI194" s="760"/>
      <c r="EJ194" s="309"/>
      <c r="EK194" s="310"/>
      <c r="EL194" s="307"/>
      <c r="EM194" s="520"/>
      <c r="EN194" s="268"/>
      <c r="EO194" s="761"/>
    </row>
    <row r="195" spans="1:145" ht="19.899999999999999" customHeight="1" thickBot="1" x14ac:dyDescent="0.25">
      <c r="B195" s="961"/>
      <c r="C195" s="223">
        <f>C194+1</f>
        <v>46150</v>
      </c>
      <c r="D195" s="1"/>
      <c r="E195" s="23"/>
      <c r="F195" s="526"/>
      <c r="G195" s="808"/>
      <c r="H195" s="1"/>
      <c r="I195" s="268"/>
      <c r="J195" s="429"/>
      <c r="K195" s="409"/>
      <c r="L195" s="419"/>
      <c r="M195" s="410"/>
      <c r="N195" s="420"/>
      <c r="O195" s="23"/>
      <c r="P195" s="268"/>
      <c r="Q195" s="429"/>
      <c r="R195" s="410"/>
      <c r="S195" s="429"/>
      <c r="T195" s="410"/>
      <c r="U195" s="409"/>
      <c r="V195" s="419"/>
      <c r="W195" s="23"/>
      <c r="X195" s="715"/>
      <c r="Y195" s="760"/>
      <c r="Z195" s="421"/>
      <c r="AA195" s="422"/>
      <c r="AB195" s="422"/>
      <c r="AC195" s="423"/>
      <c r="AD195" s="21"/>
      <c r="AE195" s="715"/>
      <c r="AF195" s="760"/>
      <c r="AG195" s="760"/>
      <c r="AH195" s="760"/>
      <c r="AI195" s="760"/>
      <c r="AJ195" s="421"/>
      <c r="AK195" s="422"/>
      <c r="AL195" s="422"/>
      <c r="AM195" s="423"/>
      <c r="AN195" s="21"/>
      <c r="AO195" s="709"/>
      <c r="AP195" s="468"/>
      <c r="AQ195" s="469"/>
      <c r="AR195" s="470"/>
      <c r="AS195" s="470"/>
      <c r="AT195" s="471"/>
      <c r="AU195" s="21"/>
      <c r="AV195" s="709"/>
      <c r="AW195" s="429"/>
      <c r="AX195" s="444"/>
      <c r="AY195" s="445"/>
      <c r="AZ195" s="445"/>
      <c r="BA195" s="446"/>
      <c r="BB195" s="21"/>
      <c r="BC195" s="405"/>
      <c r="BD195" s="409"/>
      <c r="BE195" s="450"/>
      <c r="BF195" s="411"/>
      <c r="BG195" s="21"/>
      <c r="BH195" s="709"/>
      <c r="BI195" s="405"/>
      <c r="BJ195" s="409"/>
      <c r="BK195" s="450"/>
      <c r="BL195" s="411"/>
      <c r="BM195" s="21"/>
      <c r="BN195" s="709"/>
      <c r="BO195" s="478"/>
      <c r="BP195" s="1158"/>
      <c r="BQ195" s="597"/>
      <c r="BR195" s="1142"/>
      <c r="BS195" s="1143"/>
      <c r="BT195" s="411"/>
      <c r="BU195" s="21"/>
      <c r="BV195" s="271"/>
      <c r="BW195" s="760"/>
      <c r="BX195" s="421"/>
      <c r="BY195" s="422"/>
      <c r="BZ195" s="423"/>
      <c r="CA195" s="21"/>
      <c r="CB195" s="271"/>
      <c r="CC195" s="720"/>
      <c r="CD195" s="256"/>
      <c r="CE195" s="257"/>
      <c r="CF195" s="258"/>
      <c r="CG195" s="21"/>
      <c r="CH195" s="271"/>
      <c r="CI195" s="917"/>
      <c r="CJ195" s="257"/>
      <c r="CK195" s="257"/>
      <c r="CL195" s="258"/>
      <c r="CM195" s="21"/>
      <c r="CN195" s="271"/>
      <c r="CO195" s="759" t="s">
        <v>26</v>
      </c>
      <c r="CP195" s="256"/>
      <c r="CQ195" s="257"/>
      <c r="CR195" s="258"/>
      <c r="CS195" s="21"/>
      <c r="CT195" s="709"/>
      <c r="CU195" s="782"/>
      <c r="CV195" s="498"/>
      <c r="CW195" s="499"/>
      <c r="CX195" s="500"/>
      <c r="CY195" s="567"/>
      <c r="CZ195" s="876"/>
      <c r="DA195" s="21"/>
      <c r="DB195" s="271"/>
      <c r="DC195" s="760"/>
      <c r="DD195" s="256"/>
      <c r="DE195" s="257"/>
      <c r="DF195" s="257"/>
      <c r="DG195" s="258"/>
      <c r="DH195" s="20"/>
      <c r="DI195" s="709"/>
      <c r="DJ195" s="759" t="s">
        <v>26</v>
      </c>
      <c r="DK195" s="256"/>
      <c r="DL195" s="257"/>
      <c r="DM195" s="258"/>
      <c r="DN195" s="20"/>
      <c r="DO195" s="271"/>
      <c r="DP195" s="760"/>
      <c r="DQ195" s="256"/>
      <c r="DR195" s="257"/>
      <c r="DS195" s="258"/>
      <c r="DT195" s="20"/>
      <c r="DU195" s="274"/>
      <c r="DV195" s="484"/>
      <c r="DW195" s="256"/>
      <c r="DX195" s="402"/>
      <c r="DY195" s="257"/>
      <c r="DZ195" s="258"/>
      <c r="EA195" s="20"/>
      <c r="EB195" s="709"/>
      <c r="EC195" s="759" t="s">
        <v>26</v>
      </c>
      <c r="ED195" s="256"/>
      <c r="EE195" s="516"/>
      <c r="EF195" s="258"/>
      <c r="EG195" s="20"/>
      <c r="EH195" s="271"/>
      <c r="EI195" s="760"/>
      <c r="EJ195" s="256"/>
      <c r="EK195" s="257"/>
      <c r="EL195" s="258"/>
      <c r="EM195" s="20"/>
      <c r="EN195" s="269"/>
    </row>
    <row r="196" spans="1:145" ht="19.899999999999999" customHeight="1" thickBot="1" x14ac:dyDescent="0.25">
      <c r="B196" s="959">
        <f>B191+1</f>
        <v>20</v>
      </c>
      <c r="C196" s="89">
        <f>C191+7</f>
        <v>46153</v>
      </c>
      <c r="D196" s="4"/>
      <c r="E196" s="24"/>
      <c r="F196" s="525"/>
      <c r="G196" s="962" t="s">
        <v>429</v>
      </c>
      <c r="H196" s="4"/>
      <c r="I196" s="707" t="s">
        <v>92</v>
      </c>
      <c r="J196" s="588"/>
      <c r="K196" s="883">
        <v>1</v>
      </c>
      <c r="L196" s="731" t="s">
        <v>200</v>
      </c>
      <c r="M196" s="292" t="s">
        <v>48</v>
      </c>
      <c r="N196" s="62"/>
      <c r="O196" s="24"/>
      <c r="P196" s="707" t="s">
        <v>92</v>
      </c>
      <c r="Q196" s="626"/>
      <c r="R196" s="292" t="s">
        <v>48</v>
      </c>
      <c r="S196" s="626"/>
      <c r="T196" s="72"/>
      <c r="U196" s="883">
        <v>1</v>
      </c>
      <c r="V196" s="731" t="s">
        <v>200</v>
      </c>
      <c r="W196" s="24"/>
      <c r="X196" s="270"/>
      <c r="Y196" s="760"/>
      <c r="Z196" s="71"/>
      <c r="AA196" s="74"/>
      <c r="AB196" s="72"/>
      <c r="AC196" s="62"/>
      <c r="AD196" s="21"/>
      <c r="AE196" s="270"/>
      <c r="AF196" s="760"/>
      <c r="AG196" s="760"/>
      <c r="AH196" s="760"/>
      <c r="AI196" s="760"/>
      <c r="AJ196" s="71"/>
      <c r="AK196" s="74"/>
      <c r="AL196" s="72"/>
      <c r="AM196" s="62"/>
      <c r="AN196" s="21"/>
      <c r="AO196" s="707" t="s">
        <v>99</v>
      </c>
      <c r="AP196" s="903" t="s">
        <v>205</v>
      </c>
      <c r="AQ196" s="308"/>
      <c r="AR196" s="308"/>
      <c r="AS196" s="323"/>
      <c r="AT196" s="306"/>
      <c r="AU196" s="21"/>
      <c r="AV196" s="273"/>
      <c r="AW196" s="660" t="s">
        <v>259</v>
      </c>
      <c r="AX196" s="314"/>
      <c r="AY196" s="72"/>
      <c r="AZ196" s="72"/>
      <c r="BA196" s="62"/>
      <c r="BB196" s="21"/>
      <c r="BC196" s="674" t="s">
        <v>437</v>
      </c>
      <c r="BD196" s="314"/>
      <c r="BE196" s="72"/>
      <c r="BF196" s="403"/>
      <c r="BG196" s="21"/>
      <c r="BH196" s="707" t="s">
        <v>99</v>
      </c>
      <c r="BI196" s="674" t="s">
        <v>437</v>
      </c>
      <c r="BJ196" s="314"/>
      <c r="BK196" s="72"/>
      <c r="BL196" s="403"/>
      <c r="BM196" s="21"/>
      <c r="BN196" s="707" t="s">
        <v>457</v>
      </c>
      <c r="BO196" s="939" t="s">
        <v>370</v>
      </c>
      <c r="BP196" s="308"/>
      <c r="BQ196" s="1124" t="s">
        <v>376</v>
      </c>
      <c r="BR196" s="314"/>
      <c r="BS196" s="1137"/>
      <c r="BT196" s="403"/>
      <c r="BU196" s="21"/>
      <c r="BV196" s="271"/>
      <c r="BW196" s="760"/>
      <c r="BX196" s="132"/>
      <c r="BY196" s="56"/>
      <c r="BZ196" s="57"/>
      <c r="CA196" s="21"/>
      <c r="CB196" s="271"/>
      <c r="CC196" s="720"/>
      <c r="CD196" s="314"/>
      <c r="CE196" s="39"/>
      <c r="CF196" s="35"/>
      <c r="CG196" s="21"/>
      <c r="CH196" s="271"/>
      <c r="CI196" s="917"/>
      <c r="CJ196" s="39"/>
      <c r="CK196" s="39"/>
      <c r="CL196" s="35"/>
      <c r="CM196" s="21"/>
      <c r="CN196" s="271"/>
      <c r="CO196" s="760"/>
      <c r="CP196" s="61"/>
      <c r="CQ196" s="39"/>
      <c r="CR196" s="35"/>
      <c r="CS196" s="21"/>
      <c r="CT196" s="271"/>
      <c r="CU196" s="875" t="s">
        <v>172</v>
      </c>
      <c r="CV196" s="37"/>
      <c r="CW196" s="58"/>
      <c r="CX196" s="201"/>
      <c r="CY196" s="567"/>
      <c r="CZ196" s="876"/>
      <c r="DA196" s="21"/>
      <c r="DB196" s="271"/>
      <c r="DC196" s="760"/>
      <c r="DD196" s="61"/>
      <c r="DE196" s="39"/>
      <c r="DF196" s="39"/>
      <c r="DG196" s="35"/>
      <c r="DH196" s="20"/>
      <c r="DI196" s="271"/>
      <c r="DJ196" s="760"/>
      <c r="DK196" s="61"/>
      <c r="DL196" s="39"/>
      <c r="DM196" s="35"/>
      <c r="DN196" s="20"/>
      <c r="DO196" s="271"/>
      <c r="DP196" s="760"/>
      <c r="DQ196" s="61"/>
      <c r="DR196" s="39"/>
      <c r="DS196" s="35"/>
      <c r="DT196" s="20"/>
      <c r="DU196" s="274"/>
      <c r="DV196" s="849" t="s">
        <v>190</v>
      </c>
      <c r="DW196" s="314"/>
      <c r="DX196" s="701" t="s">
        <v>181</v>
      </c>
      <c r="DY196" s="308"/>
      <c r="DZ196" s="306"/>
      <c r="EA196" s="20"/>
      <c r="EB196" s="273"/>
      <c r="EC196" s="760"/>
      <c r="ED196" s="61"/>
      <c r="EE196" s="39"/>
      <c r="EF196" s="306"/>
      <c r="EG196" s="20"/>
      <c r="EH196" s="271"/>
      <c r="EI196" s="760"/>
      <c r="EJ196" s="61"/>
      <c r="EK196" s="39"/>
      <c r="EL196" s="35"/>
      <c r="EM196" s="20"/>
      <c r="EN196" s="710" t="s">
        <v>123</v>
      </c>
      <c r="EO196" s="1065" t="s">
        <v>422</v>
      </c>
    </row>
    <row r="197" spans="1:145" ht="19.899999999999999" customHeight="1" thickTop="1" x14ac:dyDescent="0.2">
      <c r="B197" s="960"/>
      <c r="C197" s="33">
        <f>C196+1</f>
        <v>46154</v>
      </c>
      <c r="D197" s="1"/>
      <c r="E197" s="23"/>
      <c r="F197" s="526"/>
      <c r="G197" s="963"/>
      <c r="H197" s="1"/>
      <c r="I197" s="708"/>
      <c r="J197" s="734" t="s">
        <v>292</v>
      </c>
      <c r="K197" s="884"/>
      <c r="L197" s="732"/>
      <c r="M197" s="50"/>
      <c r="N197" s="60"/>
      <c r="O197" s="23"/>
      <c r="P197" s="708"/>
      <c r="Q197" s="672" t="s">
        <v>255</v>
      </c>
      <c r="R197" s="50"/>
      <c r="S197" s="672" t="s">
        <v>292</v>
      </c>
      <c r="T197" s="50"/>
      <c r="U197" s="884"/>
      <c r="V197" s="732"/>
      <c r="W197" s="23"/>
      <c r="X197" s="270"/>
      <c r="Y197" s="760"/>
      <c r="Z197" s="63"/>
      <c r="AA197" s="54"/>
      <c r="AB197" s="50"/>
      <c r="AC197" s="60"/>
      <c r="AD197" s="21"/>
      <c r="AE197" s="270"/>
      <c r="AF197" s="760"/>
      <c r="AG197" s="760"/>
      <c r="AH197" s="760"/>
      <c r="AI197" s="760"/>
      <c r="AJ197" s="63"/>
      <c r="AK197" s="54"/>
      <c r="AL197" s="50"/>
      <c r="AM197" s="60"/>
      <c r="AN197" s="21"/>
      <c r="AO197" s="708"/>
      <c r="AP197" s="672"/>
      <c r="AQ197" s="310"/>
      <c r="AR197" s="310"/>
      <c r="AS197" s="310"/>
      <c r="AT197" s="307"/>
      <c r="AU197" s="21"/>
      <c r="AV197" s="274"/>
      <c r="AW197" s="660"/>
      <c r="AX197" s="73"/>
      <c r="AY197" s="50"/>
      <c r="AZ197" s="50"/>
      <c r="BA197" s="60"/>
      <c r="BB197" s="21"/>
      <c r="BC197" s="639"/>
      <c r="BD197" s="63"/>
      <c r="BE197" s="50"/>
      <c r="BF197" s="609"/>
      <c r="BG197" s="21"/>
      <c r="BH197" s="708"/>
      <c r="BI197" s="639"/>
      <c r="BJ197" s="63"/>
      <c r="BK197" s="50"/>
      <c r="BL197" s="609"/>
      <c r="BM197" s="21"/>
      <c r="BN197" s="708"/>
      <c r="BO197" s="940"/>
      <c r="BP197" s="310"/>
      <c r="BQ197" s="1125"/>
      <c r="BR197" s="309"/>
      <c r="BS197" s="1137"/>
      <c r="BT197" s="609"/>
      <c r="BU197" s="21"/>
      <c r="BV197" s="271"/>
      <c r="BW197" s="760"/>
      <c r="BX197" s="63"/>
      <c r="BY197" s="50"/>
      <c r="BZ197" s="60"/>
      <c r="CA197" s="21"/>
      <c r="CB197" s="271"/>
      <c r="CC197" s="720"/>
      <c r="CD197" s="309"/>
      <c r="CE197" s="44"/>
      <c r="CF197" s="36"/>
      <c r="CG197" s="21"/>
      <c r="CH197" s="271"/>
      <c r="CI197" s="917"/>
      <c r="CJ197" s="44"/>
      <c r="CK197" s="44"/>
      <c r="CL197" s="36"/>
      <c r="CM197" s="21"/>
      <c r="CN197" s="271"/>
      <c r="CO197" s="760"/>
      <c r="CP197" s="40"/>
      <c r="CQ197" s="44"/>
      <c r="CR197" s="36"/>
      <c r="CS197" s="21"/>
      <c r="CT197" s="271"/>
      <c r="CU197" s="876"/>
      <c r="CV197" s="73"/>
      <c r="CW197" s="42"/>
      <c r="CX197" s="43"/>
      <c r="CY197" s="567"/>
      <c r="CZ197" s="876"/>
      <c r="DA197" s="21"/>
      <c r="DB197" s="271"/>
      <c r="DC197" s="760"/>
      <c r="DD197" s="40"/>
      <c r="DE197" s="44"/>
      <c r="DF197" s="44"/>
      <c r="DG197" s="36"/>
      <c r="DH197" s="20"/>
      <c r="DI197" s="271"/>
      <c r="DJ197" s="760"/>
      <c r="DK197" s="40"/>
      <c r="DL197" s="44"/>
      <c r="DM197" s="36"/>
      <c r="DN197" s="20"/>
      <c r="DO197" s="271"/>
      <c r="DP197" s="760"/>
      <c r="DQ197" s="40"/>
      <c r="DR197" s="44"/>
      <c r="DS197" s="36"/>
      <c r="DT197" s="20"/>
      <c r="DU197" s="274"/>
      <c r="DV197" s="789"/>
      <c r="DW197" s="309"/>
      <c r="DX197" s="702"/>
      <c r="DY197" s="310"/>
      <c r="DZ197" s="307"/>
      <c r="EA197" s="20"/>
      <c r="EB197" s="274"/>
      <c r="EC197" s="760"/>
      <c r="ED197" s="40"/>
      <c r="EE197" s="44"/>
      <c r="EF197" s="307"/>
      <c r="EG197" s="20"/>
      <c r="EH197" s="271"/>
      <c r="EI197" s="760"/>
      <c r="EJ197" s="40"/>
      <c r="EK197" s="44"/>
      <c r="EL197" s="36"/>
      <c r="EM197" s="20"/>
      <c r="EN197" s="711"/>
      <c r="EO197" s="1066"/>
    </row>
    <row r="198" spans="1:145" ht="19.899999999999999" customHeight="1" thickBot="1" x14ac:dyDescent="0.25">
      <c r="B198" s="960"/>
      <c r="C198" s="33">
        <f>C197+1</f>
        <v>46155</v>
      </c>
      <c r="D198" s="1"/>
      <c r="E198" s="23"/>
      <c r="F198" s="526"/>
      <c r="G198" s="963"/>
      <c r="H198" s="1"/>
      <c r="I198" s="708"/>
      <c r="J198" s="821"/>
      <c r="K198" s="885"/>
      <c r="L198" s="733"/>
      <c r="M198" s="236"/>
      <c r="N198" s="427"/>
      <c r="O198" s="23"/>
      <c r="P198" s="708"/>
      <c r="Q198" s="673"/>
      <c r="R198" s="236"/>
      <c r="S198" s="673"/>
      <c r="T198" s="236"/>
      <c r="U198" s="885"/>
      <c r="V198" s="733"/>
      <c r="W198" s="23"/>
      <c r="X198" s="270"/>
      <c r="Y198" s="760"/>
      <c r="Z198" s="63"/>
      <c r="AA198" s="54"/>
      <c r="AB198" s="50"/>
      <c r="AC198" s="60"/>
      <c r="AD198" s="21"/>
      <c r="AE198" s="270"/>
      <c r="AF198" s="760"/>
      <c r="AG198" s="760"/>
      <c r="AH198" s="760"/>
      <c r="AI198" s="760"/>
      <c r="AJ198" s="63"/>
      <c r="AK198" s="54"/>
      <c r="AL198" s="50"/>
      <c r="AM198" s="60"/>
      <c r="AN198" s="21"/>
      <c r="AO198" s="708"/>
      <c r="AP198" s="821"/>
      <c r="AQ198" s="291"/>
      <c r="AR198" s="291"/>
      <c r="AS198" s="291"/>
      <c r="AT198" s="287"/>
      <c r="AU198" s="21"/>
      <c r="AV198" s="274"/>
      <c r="AW198" s="661"/>
      <c r="AX198" s="290"/>
      <c r="AY198" s="236"/>
      <c r="AZ198" s="236"/>
      <c r="BA198" s="427"/>
      <c r="BB198" s="21"/>
      <c r="BC198" s="675"/>
      <c r="BD198" s="309"/>
      <c r="BE198" s="236"/>
      <c r="BF198" s="611"/>
      <c r="BG198" s="21"/>
      <c r="BH198" s="708"/>
      <c r="BI198" s="675"/>
      <c r="BJ198" s="309"/>
      <c r="BK198" s="236"/>
      <c r="BL198" s="611"/>
      <c r="BM198" s="21"/>
      <c r="BN198" s="708"/>
      <c r="BO198" s="941"/>
      <c r="BP198" s="291"/>
      <c r="BQ198" s="1126"/>
      <c r="BR198" s="290"/>
      <c r="BS198" s="1140"/>
      <c r="BT198" s="611"/>
      <c r="BU198" s="21"/>
      <c r="BV198" s="271"/>
      <c r="BW198" s="760"/>
      <c r="BX198" s="63"/>
      <c r="BY198" s="50"/>
      <c r="BZ198" s="60"/>
      <c r="CA198" s="21"/>
      <c r="CB198" s="271"/>
      <c r="CC198" s="720"/>
      <c r="CD198" s="309"/>
      <c r="CE198" s="44"/>
      <c r="CF198" s="36"/>
      <c r="CG198" s="21"/>
      <c r="CH198" s="271"/>
      <c r="CI198" s="917"/>
      <c r="CJ198" s="44"/>
      <c r="CK198" s="44"/>
      <c r="CL198" s="36"/>
      <c r="CM198" s="21"/>
      <c r="CN198" s="271"/>
      <c r="CO198" s="760"/>
      <c r="CP198" s="40"/>
      <c r="CQ198" s="44"/>
      <c r="CR198" s="36"/>
      <c r="CS198" s="21"/>
      <c r="CT198" s="271"/>
      <c r="CU198" s="913"/>
      <c r="CV198" s="501"/>
      <c r="CW198" s="502"/>
      <c r="CX198" s="503"/>
      <c r="CY198" s="567"/>
      <c r="CZ198" s="876"/>
      <c r="DA198" s="21"/>
      <c r="DB198" s="271"/>
      <c r="DC198" s="760"/>
      <c r="DD198" s="40"/>
      <c r="DE198" s="44"/>
      <c r="DF198" s="44"/>
      <c r="DG198" s="36"/>
      <c r="DH198" s="20"/>
      <c r="DI198" s="271"/>
      <c r="DJ198" s="760"/>
      <c r="DK198" s="40"/>
      <c r="DL198" s="44"/>
      <c r="DM198" s="36"/>
      <c r="DN198" s="20"/>
      <c r="DO198" s="271"/>
      <c r="DP198" s="760"/>
      <c r="DQ198" s="40"/>
      <c r="DR198" s="44"/>
      <c r="DS198" s="36"/>
      <c r="DT198" s="20"/>
      <c r="DU198" s="274"/>
      <c r="DV198" s="802"/>
      <c r="DW198" s="290"/>
      <c r="DX198" s="790"/>
      <c r="DY198" s="263" t="s">
        <v>61</v>
      </c>
      <c r="DZ198" s="287"/>
      <c r="EA198" s="20"/>
      <c r="EB198" s="274"/>
      <c r="EC198" s="760"/>
      <c r="ED198" s="40"/>
      <c r="EE198" s="44"/>
      <c r="EF198" s="307"/>
      <c r="EG198" s="20"/>
      <c r="EH198" s="271"/>
      <c r="EI198" s="760"/>
      <c r="EJ198" s="40"/>
      <c r="EK198" s="44"/>
      <c r="EL198" s="36"/>
      <c r="EM198" s="20"/>
      <c r="EN198" s="711"/>
      <c r="EO198" s="1067"/>
    </row>
    <row r="199" spans="1:145" ht="16.5" thickTop="1" x14ac:dyDescent="0.2">
      <c r="B199" s="960"/>
      <c r="C199" s="331">
        <f>C198+1</f>
        <v>46156</v>
      </c>
      <c r="D199" s="1"/>
      <c r="G199" s="963"/>
      <c r="H199" s="1"/>
      <c r="I199" s="708"/>
      <c r="J199" s="346"/>
      <c r="K199" s="425"/>
      <c r="L199" s="351"/>
      <c r="M199" s="351"/>
      <c r="N199" s="426"/>
      <c r="O199" s="23"/>
      <c r="P199" s="708"/>
      <c r="Q199" s="346"/>
      <c r="R199" s="351"/>
      <c r="S199" s="346"/>
      <c r="T199" s="351"/>
      <c r="U199" s="425"/>
      <c r="V199" s="351"/>
      <c r="W199" s="23"/>
      <c r="X199" s="270"/>
      <c r="Y199" s="760"/>
      <c r="Z199" s="238"/>
      <c r="AA199" s="247"/>
      <c r="AB199" s="239"/>
      <c r="AC199" s="240"/>
      <c r="AD199" s="21"/>
      <c r="AE199" s="270"/>
      <c r="AF199" s="760"/>
      <c r="AG199" s="760"/>
      <c r="AH199" s="760"/>
      <c r="AI199" s="760"/>
      <c r="AJ199" s="238"/>
      <c r="AK199" s="247"/>
      <c r="AL199" s="239"/>
      <c r="AM199" s="240"/>
      <c r="AN199" s="21"/>
      <c r="AO199" s="708"/>
      <c r="AP199" s="339"/>
      <c r="AQ199" s="473"/>
      <c r="AR199" s="340"/>
      <c r="AS199" s="474"/>
      <c r="AT199" s="475"/>
      <c r="AU199" s="21"/>
      <c r="AV199" s="274"/>
      <c r="AW199" s="339"/>
      <c r="AX199" s="434"/>
      <c r="AY199" s="435"/>
      <c r="AZ199" s="351"/>
      <c r="BA199" s="426"/>
      <c r="BB199" s="21"/>
      <c r="BC199" s="457"/>
      <c r="BD199" s="458"/>
      <c r="BE199" s="459"/>
      <c r="BF199" s="460"/>
      <c r="BG199" s="21"/>
      <c r="BH199" s="708"/>
      <c r="BI199" s="457"/>
      <c r="BJ199" s="458"/>
      <c r="BK199" s="459"/>
      <c r="BL199" s="460"/>
      <c r="BM199" s="21"/>
      <c r="BN199" s="708"/>
      <c r="BO199" s="451"/>
      <c r="BP199" s="480"/>
      <c r="BQ199" s="1115"/>
      <c r="BR199" s="1144"/>
      <c r="BS199" s="1145"/>
      <c r="BT199" s="452"/>
      <c r="BU199" s="21"/>
      <c r="BV199" s="271"/>
      <c r="BW199" s="760"/>
      <c r="BX199" s="238"/>
      <c r="BY199" s="239"/>
      <c r="BZ199" s="240"/>
      <c r="CA199" s="21"/>
      <c r="CB199" s="271"/>
      <c r="CC199" s="720"/>
      <c r="CD199" s="238"/>
      <c r="CE199" s="239"/>
      <c r="CF199" s="240"/>
      <c r="CG199" s="21"/>
      <c r="CH199" s="271"/>
      <c r="CI199" s="917"/>
      <c r="CJ199" s="239"/>
      <c r="CK199" s="239"/>
      <c r="CL199" s="240"/>
      <c r="CM199" s="21"/>
      <c r="CN199" s="271"/>
      <c r="CO199" s="760"/>
      <c r="CP199" s="238"/>
      <c r="CQ199" s="239"/>
      <c r="CR199" s="240"/>
      <c r="CS199" s="21"/>
      <c r="CT199" s="271"/>
      <c r="CU199" s="381"/>
      <c r="CV199" s="350"/>
      <c r="CW199" s="359"/>
      <c r="CX199" s="333"/>
      <c r="CY199" s="567"/>
      <c r="CZ199" s="876"/>
      <c r="DA199" s="21"/>
      <c r="DB199" s="271"/>
      <c r="DC199" s="760"/>
      <c r="DD199" s="238"/>
      <c r="DE199" s="239"/>
      <c r="DF199" s="239"/>
      <c r="DG199" s="240"/>
      <c r="DH199" s="20"/>
      <c r="DI199" s="271"/>
      <c r="DJ199" s="760"/>
      <c r="DK199" s="238"/>
      <c r="DL199" s="239"/>
      <c r="DM199" s="240"/>
      <c r="DN199" s="20"/>
      <c r="DO199" s="271"/>
      <c r="DP199" s="760"/>
      <c r="DQ199" s="238"/>
      <c r="DR199" s="239"/>
      <c r="DS199" s="240"/>
      <c r="DT199" s="20"/>
      <c r="DU199" s="274"/>
      <c r="DV199" s="361"/>
      <c r="DW199" s="515"/>
      <c r="DX199" s="435"/>
      <c r="DY199" s="351"/>
      <c r="DZ199" s="426"/>
      <c r="EA199" s="20"/>
      <c r="EB199" s="274"/>
      <c r="EC199" s="760"/>
      <c r="ED199" s="238"/>
      <c r="EE199" s="239"/>
      <c r="EF199" s="240"/>
      <c r="EG199" s="20"/>
      <c r="EH199" s="271"/>
      <c r="EI199" s="760"/>
      <c r="EJ199" s="238"/>
      <c r="EK199" s="239"/>
      <c r="EL199" s="240"/>
      <c r="EM199" s="20"/>
      <c r="EN199" s="711"/>
    </row>
    <row r="200" spans="1:145" ht="19.899999999999999" customHeight="1" thickBot="1" x14ac:dyDescent="0.25">
      <c r="B200" s="961"/>
      <c r="C200" s="223">
        <f>C199+1</f>
        <v>46157</v>
      </c>
      <c r="D200" s="1"/>
      <c r="E200" s="23"/>
      <c r="F200" s="526"/>
      <c r="G200" s="963"/>
      <c r="H200" s="1"/>
      <c r="I200" s="709"/>
      <c r="J200" s="428"/>
      <c r="K200" s="424"/>
      <c r="L200" s="250"/>
      <c r="M200" s="250"/>
      <c r="N200" s="251"/>
      <c r="O200" s="23"/>
      <c r="P200" s="709"/>
      <c r="Q200" s="428"/>
      <c r="R200" s="250"/>
      <c r="S200" s="428"/>
      <c r="T200" s="250"/>
      <c r="U200" s="424"/>
      <c r="V200" s="250"/>
      <c r="W200" s="23"/>
      <c r="X200" s="270"/>
      <c r="Y200" s="760"/>
      <c r="Z200" s="248"/>
      <c r="AA200" s="430"/>
      <c r="AB200" s="431"/>
      <c r="AC200" s="432"/>
      <c r="AD200" s="21"/>
      <c r="AE200" s="270"/>
      <c r="AF200" s="760"/>
      <c r="AG200" s="760"/>
      <c r="AH200" s="760"/>
      <c r="AI200" s="760"/>
      <c r="AJ200" s="248"/>
      <c r="AK200" s="430"/>
      <c r="AL200" s="431"/>
      <c r="AM200" s="432"/>
      <c r="AN200" s="21"/>
      <c r="AO200" s="709"/>
      <c r="AP200" s="468"/>
      <c r="AQ200" s="469"/>
      <c r="AR200" s="419"/>
      <c r="AS200" s="470"/>
      <c r="AT200" s="471"/>
      <c r="AU200" s="21"/>
      <c r="AV200" s="275"/>
      <c r="AW200" s="428"/>
      <c r="AX200" s="433"/>
      <c r="AY200" s="402"/>
      <c r="AZ200" s="250"/>
      <c r="BA200" s="432"/>
      <c r="BB200" s="21"/>
      <c r="BC200" s="454"/>
      <c r="BD200" s="455"/>
      <c r="BE200" s="461"/>
      <c r="BF200" s="456"/>
      <c r="BG200" s="21"/>
      <c r="BH200" s="709"/>
      <c r="BI200" s="454"/>
      <c r="BJ200" s="455"/>
      <c r="BK200" s="461"/>
      <c r="BL200" s="456"/>
      <c r="BM200" s="21"/>
      <c r="BN200" s="709"/>
      <c r="BO200" s="405"/>
      <c r="BP200" s="479"/>
      <c r="BQ200" s="596"/>
      <c r="BR200" s="1146"/>
      <c r="BS200" s="1147"/>
      <c r="BT200" s="411"/>
      <c r="BU200" s="21"/>
      <c r="BV200" s="271"/>
      <c r="BW200" s="760"/>
      <c r="BX200" s="248"/>
      <c r="BY200" s="250"/>
      <c r="BZ200" s="251"/>
      <c r="CA200" s="21"/>
      <c r="CB200" s="271"/>
      <c r="CC200" s="720"/>
      <c r="CD200" s="256"/>
      <c r="CE200" s="257"/>
      <c r="CF200" s="258"/>
      <c r="CG200" s="21"/>
      <c r="CH200" s="271"/>
      <c r="CI200" s="917"/>
      <c r="CJ200" s="257"/>
      <c r="CK200" s="257"/>
      <c r="CL200" s="258"/>
      <c r="CM200" s="21"/>
      <c r="CN200" s="271"/>
      <c r="CO200" s="760"/>
      <c r="CP200" s="45"/>
      <c r="CQ200" s="59"/>
      <c r="CR200" s="64"/>
      <c r="CS200" s="21"/>
      <c r="CT200" s="271"/>
      <c r="CU200" s="504"/>
      <c r="CV200" s="498"/>
      <c r="CW200" s="499"/>
      <c r="CX200" s="500"/>
      <c r="CY200" s="567"/>
      <c r="CZ200" s="876"/>
      <c r="DA200" s="21"/>
      <c r="DB200" s="271"/>
      <c r="DC200" s="760"/>
      <c r="DD200" s="45"/>
      <c r="DE200" s="59"/>
      <c r="DF200" s="59"/>
      <c r="DG200" s="64"/>
      <c r="DH200" s="20"/>
      <c r="DI200" s="271"/>
      <c r="DJ200" s="760"/>
      <c r="DK200" s="45"/>
      <c r="DL200" s="59"/>
      <c r="DM200" s="64"/>
      <c r="DN200" s="20"/>
      <c r="DO200" s="271"/>
      <c r="DP200" s="760"/>
      <c r="DQ200" s="45"/>
      <c r="DR200" s="59"/>
      <c r="DS200" s="64"/>
      <c r="DT200" s="20"/>
      <c r="DU200" s="274"/>
      <c r="DV200" s="485"/>
      <c r="DW200" s="256"/>
      <c r="DX200" s="402"/>
      <c r="DY200" s="257"/>
      <c r="DZ200" s="258"/>
      <c r="EA200" s="20"/>
      <c r="EB200" s="274"/>
      <c r="EC200" s="760"/>
      <c r="ED200" s="45"/>
      <c r="EE200" s="59"/>
      <c r="EF200" s="315"/>
      <c r="EG200" s="20"/>
      <c r="EH200" s="271"/>
      <c r="EI200" s="760"/>
      <c r="EJ200" s="45"/>
      <c r="EK200" s="59"/>
      <c r="EL200" s="64"/>
      <c r="EM200" s="20"/>
      <c r="EN200" s="712"/>
    </row>
    <row r="201" spans="1:145" ht="19.899999999999999" customHeight="1" thickBot="1" x14ac:dyDescent="0.25">
      <c r="B201" s="959">
        <f>B196+1</f>
        <v>21</v>
      </c>
      <c r="C201" s="89">
        <f>C196+7</f>
        <v>46160</v>
      </c>
      <c r="D201" s="4"/>
      <c r="E201" s="24"/>
      <c r="F201" s="525"/>
      <c r="G201" s="963"/>
      <c r="H201" s="4"/>
      <c r="I201" s="707" t="s">
        <v>99</v>
      </c>
      <c r="J201" s="671" t="s">
        <v>292</v>
      </c>
      <c r="K201" s="892">
        <v>1</v>
      </c>
      <c r="L201" s="731" t="s">
        <v>201</v>
      </c>
      <c r="M201" s="72"/>
      <c r="N201" s="62"/>
      <c r="O201" s="24"/>
      <c r="P201" s="707" t="s">
        <v>99</v>
      </c>
      <c r="Q201" s="671" t="s">
        <v>255</v>
      </c>
      <c r="R201" s="72"/>
      <c r="S201" s="671" t="s">
        <v>292</v>
      </c>
      <c r="T201" s="72"/>
      <c r="U201" s="892">
        <v>1</v>
      </c>
      <c r="V201" s="731" t="s">
        <v>201</v>
      </c>
      <c r="W201" s="24"/>
      <c r="X201" s="270"/>
      <c r="Y201" s="760"/>
      <c r="Z201" s="71"/>
      <c r="AA201" s="74"/>
      <c r="AB201" s="308"/>
      <c r="AC201" s="62"/>
      <c r="AD201" s="21"/>
      <c r="AE201" s="270"/>
      <c r="AF201" s="760"/>
      <c r="AG201" s="760"/>
      <c r="AH201" s="760"/>
      <c r="AI201" s="760"/>
      <c r="AJ201" s="71"/>
      <c r="AK201" s="74"/>
      <c r="AL201" s="308"/>
      <c r="AM201" s="62"/>
      <c r="AN201" s="21"/>
      <c r="AO201" s="707" t="s">
        <v>44</v>
      </c>
      <c r="AP201" s="903" t="s">
        <v>205</v>
      </c>
      <c r="AQ201" s="950">
        <v>1</v>
      </c>
      <c r="AR201" s="701" t="s">
        <v>204</v>
      </c>
      <c r="AS201" s="308"/>
      <c r="AT201" s="306"/>
      <c r="AU201" s="21"/>
      <c r="AV201" s="707" t="s">
        <v>44</v>
      </c>
      <c r="AW201" s="559"/>
      <c r="AX201" s="151"/>
      <c r="AY201" s="701" t="s">
        <v>204</v>
      </c>
      <c r="AZ201" s="180" t="s">
        <v>48</v>
      </c>
      <c r="BA201" s="62"/>
      <c r="BB201" s="21"/>
      <c r="BC201" s="638" t="s">
        <v>437</v>
      </c>
      <c r="BD201" s="641" t="s">
        <v>176</v>
      </c>
      <c r="BE201" s="260"/>
      <c r="BF201" s="453"/>
      <c r="BG201" s="21"/>
      <c r="BH201" s="273"/>
      <c r="BI201" s="638" t="s">
        <v>437</v>
      </c>
      <c r="BJ201" s="641" t="s">
        <v>176</v>
      </c>
      <c r="BK201" s="260"/>
      <c r="BL201" s="453"/>
      <c r="BM201" s="21"/>
      <c r="BN201" s="274"/>
      <c r="BO201" s="988" t="s">
        <v>370</v>
      </c>
      <c r="BP201" s="308"/>
      <c r="BQ201" s="1127" t="s">
        <v>376</v>
      </c>
      <c r="BR201" s="314"/>
      <c r="BS201" s="701" t="s">
        <v>176</v>
      </c>
      <c r="BT201" s="306"/>
      <c r="BU201" s="21"/>
      <c r="BV201" s="268"/>
      <c r="BW201" s="760"/>
      <c r="BX201" s="132"/>
      <c r="BY201" s="56"/>
      <c r="BZ201" s="57"/>
      <c r="CA201" s="21"/>
      <c r="CB201" s="268"/>
      <c r="CC201" s="720"/>
      <c r="CD201" s="314"/>
      <c r="CE201" s="39"/>
      <c r="CF201" s="35"/>
      <c r="CG201" s="21"/>
      <c r="CH201" s="271"/>
      <c r="CI201" s="917"/>
      <c r="CJ201" s="39"/>
      <c r="CK201" s="39"/>
      <c r="CL201" s="35"/>
      <c r="CM201" s="21"/>
      <c r="CN201" s="271"/>
      <c r="CO201" s="760"/>
      <c r="CP201" s="61"/>
      <c r="CQ201" s="39"/>
      <c r="CR201" s="35"/>
      <c r="CS201" s="21"/>
      <c r="CT201" s="271"/>
      <c r="CU201" s="875" t="s">
        <v>207</v>
      </c>
      <c r="CV201" s="736" t="s">
        <v>385</v>
      </c>
      <c r="CW201" s="58"/>
      <c r="CX201" s="201"/>
      <c r="CY201" s="567"/>
      <c r="CZ201" s="876"/>
      <c r="DA201" s="21"/>
      <c r="DB201" s="707" t="s">
        <v>81</v>
      </c>
      <c r="DC201" s="760"/>
      <c r="DD201" s="61"/>
      <c r="DE201" s="39"/>
      <c r="DF201" s="39"/>
      <c r="DG201" s="35"/>
      <c r="DH201" s="20"/>
      <c r="DI201" s="271"/>
      <c r="DJ201" s="760"/>
      <c r="DK201" s="61"/>
      <c r="DL201" s="39"/>
      <c r="DM201" s="35"/>
      <c r="DN201" s="20"/>
      <c r="DO201" s="271"/>
      <c r="DP201" s="760"/>
      <c r="DQ201" s="61"/>
      <c r="DR201" s="39"/>
      <c r="DS201" s="35"/>
      <c r="DT201" s="20"/>
      <c r="DU201" s="707" t="s">
        <v>66</v>
      </c>
      <c r="DV201" s="852" t="s">
        <v>190</v>
      </c>
      <c r="DW201" s="61"/>
      <c r="DX201" s="39"/>
      <c r="DY201" s="39"/>
      <c r="DZ201" s="35"/>
      <c r="EA201" s="20"/>
      <c r="EB201" s="274"/>
      <c r="EC201" s="760"/>
      <c r="ED201" s="61"/>
      <c r="EE201" s="39"/>
      <c r="EF201" s="35"/>
      <c r="EG201" s="20"/>
      <c r="EH201" s="271"/>
      <c r="EI201" s="760"/>
      <c r="EJ201" s="61"/>
      <c r="EK201" s="39"/>
      <c r="EL201" s="35"/>
      <c r="EM201" s="20"/>
      <c r="EN201" s="707" t="s">
        <v>44</v>
      </c>
    </row>
    <row r="202" spans="1:145" ht="19.899999999999999" customHeight="1" thickTop="1" thickBot="1" x14ac:dyDescent="0.25">
      <c r="B202" s="960"/>
      <c r="C202" s="33">
        <f>C201+1</f>
        <v>46161</v>
      </c>
      <c r="D202" s="1"/>
      <c r="E202" s="23"/>
      <c r="F202" s="526"/>
      <c r="G202" s="963"/>
      <c r="H202" s="1"/>
      <c r="I202" s="708"/>
      <c r="J202" s="672"/>
      <c r="K202" s="893"/>
      <c r="L202" s="732"/>
      <c r="M202" s="42"/>
      <c r="N202" s="43"/>
      <c r="O202" s="23"/>
      <c r="P202" s="708"/>
      <c r="Q202" s="672"/>
      <c r="R202" s="42"/>
      <c r="S202" s="672"/>
      <c r="T202" s="42"/>
      <c r="U202" s="893"/>
      <c r="V202" s="732"/>
      <c r="W202" s="23"/>
      <c r="X202" s="270"/>
      <c r="Y202" s="760"/>
      <c r="Z202" s="73"/>
      <c r="AA202" s="171"/>
      <c r="AB202" s="42"/>
      <c r="AC202" s="43"/>
      <c r="AD202" s="21"/>
      <c r="AE202" s="270"/>
      <c r="AF202" s="760"/>
      <c r="AG202" s="760"/>
      <c r="AH202" s="760"/>
      <c r="AI202" s="760"/>
      <c r="AJ202" s="73"/>
      <c r="AK202" s="171"/>
      <c r="AL202" s="42"/>
      <c r="AM202" s="43"/>
      <c r="AN202" s="21"/>
      <c r="AO202" s="708"/>
      <c r="AP202" s="672"/>
      <c r="AQ202" s="951"/>
      <c r="AR202" s="702"/>
      <c r="AS202" s="310"/>
      <c r="AT202" s="307"/>
      <c r="AU202" s="21"/>
      <c r="AV202" s="708"/>
      <c r="AW202" s="659" t="s">
        <v>260</v>
      </c>
      <c r="AX202" s="79"/>
      <c r="AY202" s="702"/>
      <c r="AZ202" s="42"/>
      <c r="BA202" s="43"/>
      <c r="BB202" s="21"/>
      <c r="BC202" s="639"/>
      <c r="BD202" s="641"/>
      <c r="BE202" s="42"/>
      <c r="BF202" s="43"/>
      <c r="BG202" s="21"/>
      <c r="BH202" s="274"/>
      <c r="BI202" s="639"/>
      <c r="BJ202" s="641"/>
      <c r="BK202" s="42"/>
      <c r="BL202" s="43"/>
      <c r="BM202" s="21"/>
      <c r="BN202" s="274"/>
      <c r="BO202" s="988"/>
      <c r="BP202" s="310"/>
      <c r="BQ202" s="1127"/>
      <c r="BR202" s="309"/>
      <c r="BS202" s="702"/>
      <c r="BT202" s="307"/>
      <c r="BU202" s="21"/>
      <c r="BV202" s="268"/>
      <c r="BW202" s="760"/>
      <c r="BX202" s="63"/>
      <c r="BY202" s="42"/>
      <c r="BZ202" s="43"/>
      <c r="CA202" s="21"/>
      <c r="CB202" s="268"/>
      <c r="CC202" s="720"/>
      <c r="CD202" s="309"/>
      <c r="CE202" s="44"/>
      <c r="CF202" s="36"/>
      <c r="CG202" s="21"/>
      <c r="CH202" s="271"/>
      <c r="CI202" s="917"/>
      <c r="CJ202" s="44"/>
      <c r="CK202" s="44"/>
      <c r="CL202" s="36"/>
      <c r="CM202" s="21"/>
      <c r="CN202" s="271"/>
      <c r="CO202" s="760"/>
      <c r="CP202" s="40"/>
      <c r="CQ202" s="44"/>
      <c r="CR202" s="36"/>
      <c r="CS202" s="21"/>
      <c r="CT202" s="271"/>
      <c r="CU202" s="876"/>
      <c r="CV202" s="737"/>
      <c r="CW202" s="42"/>
      <c r="CX202" s="43"/>
      <c r="CY202" s="567"/>
      <c r="CZ202" s="876"/>
      <c r="DA202" s="21"/>
      <c r="DB202" s="708"/>
      <c r="DC202" s="760"/>
      <c r="DD202" s="40"/>
      <c r="DE202" s="44"/>
      <c r="DF202" s="44"/>
      <c r="DG202" s="36"/>
      <c r="DH202" s="20"/>
      <c r="DI202" s="271"/>
      <c r="DJ202" s="760"/>
      <c r="DK202" s="40"/>
      <c r="DL202" s="44"/>
      <c r="DM202" s="36"/>
      <c r="DN202" s="20"/>
      <c r="DO202" s="271"/>
      <c r="DP202" s="760"/>
      <c r="DQ202" s="40"/>
      <c r="DR202" s="44"/>
      <c r="DS202" s="36"/>
      <c r="DT202" s="20"/>
      <c r="DU202" s="708"/>
      <c r="DV202" s="789"/>
      <c r="DW202" s="40"/>
      <c r="DX202" s="44"/>
      <c r="DY202" s="44"/>
      <c r="DZ202" s="36"/>
      <c r="EA202" s="20"/>
      <c r="EB202" s="274"/>
      <c r="EC202" s="760"/>
      <c r="ED202" s="40"/>
      <c r="EE202" s="44"/>
      <c r="EF202" s="36"/>
      <c r="EG202" s="20"/>
      <c r="EH202" s="271"/>
      <c r="EI202" s="760"/>
      <c r="EJ202" s="40"/>
      <c r="EK202" s="44"/>
      <c r="EL202" s="36"/>
      <c r="EM202" s="20"/>
      <c r="EN202" s="708"/>
    </row>
    <row r="203" spans="1:145" ht="19.899999999999999" customHeight="1" thickBot="1" x14ac:dyDescent="0.25">
      <c r="B203" s="960"/>
      <c r="C203" s="33">
        <f>C202+1</f>
        <v>46162</v>
      </c>
      <c r="D203" s="1"/>
      <c r="E203" s="23"/>
      <c r="F203" s="526"/>
      <c r="G203" s="963"/>
      <c r="H203" s="1"/>
      <c r="I203" s="708"/>
      <c r="J203" s="672"/>
      <c r="K203" s="893"/>
      <c r="L203" s="732"/>
      <c r="M203" s="44"/>
      <c r="N203" s="36"/>
      <c r="O203" s="24"/>
      <c r="P203" s="708"/>
      <c r="Q203" s="672"/>
      <c r="R203" s="310"/>
      <c r="S203" s="672"/>
      <c r="T203" s="310"/>
      <c r="U203" s="893"/>
      <c r="V203" s="732"/>
      <c r="W203" s="24"/>
      <c r="X203" s="270"/>
      <c r="Y203" s="760"/>
      <c r="Z203" s="309"/>
      <c r="AA203" s="171"/>
      <c r="AB203" s="310"/>
      <c r="AC203" s="307"/>
      <c r="AD203" s="21"/>
      <c r="AE203" s="270"/>
      <c r="AF203" s="760"/>
      <c r="AG203" s="760"/>
      <c r="AH203" s="760"/>
      <c r="AI203" s="760"/>
      <c r="AJ203" s="40"/>
      <c r="AK203" s="171"/>
      <c r="AL203" s="310"/>
      <c r="AM203" s="36"/>
      <c r="AN203" s="21"/>
      <c r="AO203" s="708"/>
      <c r="AP203" s="672"/>
      <c r="AQ203" s="951"/>
      <c r="AR203" s="702"/>
      <c r="AS203" s="310"/>
      <c r="AT203" s="307"/>
      <c r="AU203" s="21"/>
      <c r="AV203" s="708"/>
      <c r="AW203" s="660"/>
      <c r="AX203" s="147"/>
      <c r="AY203" s="702"/>
      <c r="AZ203" s="44"/>
      <c r="BA203" s="36"/>
      <c r="BB203" s="21"/>
      <c r="BC203" s="639"/>
      <c r="BD203" s="641"/>
      <c r="BE203" s="310"/>
      <c r="BF203" s="307"/>
      <c r="BG203" s="21"/>
      <c r="BH203" s="274"/>
      <c r="BI203" s="639"/>
      <c r="BJ203" s="641"/>
      <c r="BK203" s="44"/>
      <c r="BL203" s="36"/>
      <c r="BM203" s="21"/>
      <c r="BN203" s="274"/>
      <c r="BO203" s="988"/>
      <c r="BP203" s="310"/>
      <c r="BQ203" s="1127"/>
      <c r="BR203" s="309"/>
      <c r="BS203" s="702"/>
      <c r="BT203" s="307"/>
      <c r="BU203" s="21"/>
      <c r="BV203" s="268"/>
      <c r="BW203" s="760"/>
      <c r="BX203" s="63"/>
      <c r="BY203" s="44"/>
      <c r="BZ203" s="36"/>
      <c r="CA203" s="21"/>
      <c r="CB203" s="268"/>
      <c r="CC203" s="720"/>
      <c r="CD203" s="309"/>
      <c r="CE203" s="44"/>
      <c r="CF203" s="36"/>
      <c r="CG203" s="21"/>
      <c r="CH203" s="271"/>
      <c r="CI203" s="917"/>
      <c r="CJ203" s="44"/>
      <c r="CK203" s="44"/>
      <c r="CL203" s="36"/>
      <c r="CM203" s="21"/>
      <c r="CN203" s="271"/>
      <c r="CO203" s="760"/>
      <c r="CP203" s="40"/>
      <c r="CQ203" s="44"/>
      <c r="CR203" s="36"/>
      <c r="CS203" s="21"/>
      <c r="CT203" s="271"/>
      <c r="CU203" s="876"/>
      <c r="CV203" s="737"/>
      <c r="CW203" s="42"/>
      <c r="CX203" s="43"/>
      <c r="CY203" s="567"/>
      <c r="CZ203" s="876"/>
      <c r="DA203" s="21"/>
      <c r="DB203" s="708"/>
      <c r="DC203" s="760"/>
      <c r="DD203" s="40"/>
      <c r="DE203" s="44"/>
      <c r="DF203" s="44"/>
      <c r="DG203" s="36"/>
      <c r="DH203" s="20"/>
      <c r="DI203" s="271"/>
      <c r="DJ203" s="760"/>
      <c r="DK203" s="40"/>
      <c r="DL203" s="44"/>
      <c r="DM203" s="36"/>
      <c r="DN203" s="20"/>
      <c r="DO203" s="271"/>
      <c r="DP203" s="760"/>
      <c r="DQ203" s="40"/>
      <c r="DR203" s="44"/>
      <c r="DS203" s="36"/>
      <c r="DT203" s="20"/>
      <c r="DU203" s="708"/>
      <c r="DV203" s="789"/>
      <c r="DW203" s="40"/>
      <c r="DX203" s="44"/>
      <c r="DY203" s="621" t="s">
        <v>61</v>
      </c>
      <c r="DZ203" s="36"/>
      <c r="EA203" s="20"/>
      <c r="EB203" s="274"/>
      <c r="EC203" s="760"/>
      <c r="ED203" s="40"/>
      <c r="EE203" s="44"/>
      <c r="EF203" s="36"/>
      <c r="EG203" s="20"/>
      <c r="EH203" s="271"/>
      <c r="EI203" s="760"/>
      <c r="EJ203" s="40"/>
      <c r="EK203" s="44"/>
      <c r="EL203" s="36"/>
      <c r="EM203" s="20"/>
      <c r="EN203" s="708"/>
    </row>
    <row r="204" spans="1:145" ht="19.899999999999999" customHeight="1" thickBot="1" x14ac:dyDescent="0.25">
      <c r="B204" s="960"/>
      <c r="C204" s="33">
        <f>C203+1</f>
        <v>46163</v>
      </c>
      <c r="D204" s="1"/>
      <c r="F204" s="585"/>
      <c r="G204" s="963"/>
      <c r="H204" s="1"/>
      <c r="I204" s="708"/>
      <c r="J204" s="672"/>
      <c r="K204" s="893"/>
      <c r="L204" s="732"/>
      <c r="M204" s="612" t="s">
        <v>80</v>
      </c>
      <c r="N204" s="36"/>
      <c r="O204" s="23"/>
      <c r="P204" s="708"/>
      <c r="Q204" s="672"/>
      <c r="R204" s="612" t="s">
        <v>80</v>
      </c>
      <c r="S204" s="672"/>
      <c r="T204" s="612" t="s">
        <v>80</v>
      </c>
      <c r="U204" s="893"/>
      <c r="V204" s="732"/>
      <c r="W204" s="23"/>
      <c r="X204" s="270"/>
      <c r="Y204" s="760"/>
      <c r="Z204" s="309"/>
      <c r="AA204" s="171"/>
      <c r="AB204" s="310"/>
      <c r="AC204" s="307"/>
      <c r="AD204" s="21"/>
      <c r="AE204" s="270"/>
      <c r="AF204" s="760"/>
      <c r="AG204" s="760"/>
      <c r="AH204" s="760"/>
      <c r="AI204" s="760"/>
      <c r="AJ204" s="40"/>
      <c r="AK204" s="171"/>
      <c r="AL204" s="310"/>
      <c r="AM204" s="36"/>
      <c r="AN204" s="21"/>
      <c r="AO204" s="708"/>
      <c r="AP204" s="1033"/>
      <c r="AQ204" s="951"/>
      <c r="AR204" s="702"/>
      <c r="AS204" s="66" t="s">
        <v>80</v>
      </c>
      <c r="AT204" s="307"/>
      <c r="AU204" s="21"/>
      <c r="AV204" s="708"/>
      <c r="AW204" s="660"/>
      <c r="AX204" s="147"/>
      <c r="AY204" s="702"/>
      <c r="AZ204" s="86" t="s">
        <v>61</v>
      </c>
      <c r="BA204" s="36"/>
      <c r="BB204" s="21"/>
      <c r="BC204" s="639"/>
      <c r="BD204" s="641"/>
      <c r="BE204" s="66" t="s">
        <v>80</v>
      </c>
      <c r="BF204" s="307"/>
      <c r="BG204" s="21"/>
      <c r="BH204" s="274"/>
      <c r="BI204" s="639"/>
      <c r="BJ204" s="641"/>
      <c r="BK204" s="66" t="s">
        <v>80</v>
      </c>
      <c r="BL204" s="36"/>
      <c r="BM204" s="21"/>
      <c r="BN204" s="274"/>
      <c r="BO204" s="988"/>
      <c r="BP204" s="66" t="s">
        <v>80</v>
      </c>
      <c r="BQ204" s="1127"/>
      <c r="BR204" s="1141" t="s">
        <v>80</v>
      </c>
      <c r="BS204" s="702"/>
      <c r="BT204" s="307"/>
      <c r="BU204" s="21"/>
      <c r="BV204" s="268"/>
      <c r="BW204" s="760"/>
      <c r="BX204" s="40"/>
      <c r="BY204" s="44"/>
      <c r="BZ204" s="36"/>
      <c r="CA204" s="21"/>
      <c r="CB204" s="268"/>
      <c r="CC204" s="720"/>
      <c r="CD204" s="309"/>
      <c r="CE204" s="44"/>
      <c r="CF204" s="36"/>
      <c r="CG204" s="21"/>
      <c r="CH204" s="271"/>
      <c r="CI204" s="917"/>
      <c r="CJ204" s="44"/>
      <c r="CK204" s="310"/>
      <c r="CL204" s="36"/>
      <c r="CM204" s="21"/>
      <c r="CN204" s="271"/>
      <c r="CO204" s="760"/>
      <c r="CP204" s="40"/>
      <c r="CQ204" s="310"/>
      <c r="CR204" s="36"/>
      <c r="CS204" s="21"/>
      <c r="CT204" s="271"/>
      <c r="CU204" s="876"/>
      <c r="CV204" s="737"/>
      <c r="CW204" s="66" t="s">
        <v>80</v>
      </c>
      <c r="CX204" s="43"/>
      <c r="CY204" s="567"/>
      <c r="CZ204" s="876"/>
      <c r="DA204" s="21"/>
      <c r="DB204" s="708"/>
      <c r="DC204" s="760"/>
      <c r="DD204" s="40"/>
      <c r="DE204" s="44"/>
      <c r="DF204" s="44"/>
      <c r="DG204" s="36"/>
      <c r="DH204" s="20"/>
      <c r="DI204" s="271"/>
      <c r="DJ204" s="760"/>
      <c r="DK204" s="40"/>
      <c r="DL204" s="44"/>
      <c r="DM204" s="36"/>
      <c r="DN204" s="20"/>
      <c r="DO204" s="268"/>
      <c r="DP204" s="760"/>
      <c r="DQ204" s="40"/>
      <c r="DR204" s="44"/>
      <c r="DS204" s="36"/>
      <c r="DT204" s="20"/>
      <c r="DU204" s="708"/>
      <c r="DV204" s="796"/>
      <c r="DW204" s="40"/>
      <c r="DX204" s="44"/>
      <c r="DY204" s="297" t="s">
        <v>48</v>
      </c>
      <c r="DZ204" s="36"/>
      <c r="EA204" s="20"/>
      <c r="EB204" s="274"/>
      <c r="EC204" s="760"/>
      <c r="ED204" s="40"/>
      <c r="EE204" s="325"/>
      <c r="EF204" s="36"/>
      <c r="EG204" s="20"/>
      <c r="EH204" s="271"/>
      <c r="EI204" s="760"/>
      <c r="EJ204" s="40"/>
      <c r="EK204" s="44"/>
      <c r="EL204" s="36"/>
      <c r="EM204" s="20"/>
      <c r="EN204" s="708"/>
    </row>
    <row r="205" spans="1:145" ht="19.899999999999999" customHeight="1" thickBot="1" x14ac:dyDescent="0.25">
      <c r="B205" s="961"/>
      <c r="C205" s="34">
        <f>C204+1</f>
        <v>46164</v>
      </c>
      <c r="D205" s="1"/>
      <c r="E205" s="23"/>
      <c r="F205" s="526"/>
      <c r="G205" s="963"/>
      <c r="H205" s="1"/>
      <c r="I205" s="709"/>
      <c r="J205" s="735"/>
      <c r="K205" s="894"/>
      <c r="L205" s="895"/>
      <c r="M205" s="47"/>
      <c r="N205" s="48"/>
      <c r="O205" s="23"/>
      <c r="P205" s="709"/>
      <c r="Q205" s="735"/>
      <c r="R205" s="312"/>
      <c r="S205" s="735"/>
      <c r="T205" s="312"/>
      <c r="U205" s="894"/>
      <c r="V205" s="895"/>
      <c r="W205" s="23"/>
      <c r="X205" s="270"/>
      <c r="Y205" s="760"/>
      <c r="Z205" s="67"/>
      <c r="AA205" s="172"/>
      <c r="AB205" s="312"/>
      <c r="AC205" s="48"/>
      <c r="AD205" s="21"/>
      <c r="AE205" s="270"/>
      <c r="AF205" s="760"/>
      <c r="AG205" s="760"/>
      <c r="AH205" s="760"/>
      <c r="AI205" s="760"/>
      <c r="AJ205" s="67"/>
      <c r="AK205" s="172"/>
      <c r="AL205" s="312"/>
      <c r="AM205" s="48"/>
      <c r="AN205" s="21"/>
      <c r="AO205" s="709"/>
      <c r="AP205" s="212" t="s">
        <v>187</v>
      </c>
      <c r="AQ205" s="952"/>
      <c r="AR205" s="703"/>
      <c r="AS205" s="313"/>
      <c r="AT205" s="315"/>
      <c r="AU205" s="21"/>
      <c r="AV205" s="709"/>
      <c r="AW205" s="693"/>
      <c r="AX205" s="80"/>
      <c r="AY205" s="703"/>
      <c r="AZ205" s="47"/>
      <c r="BA205" s="48"/>
      <c r="BB205" s="21"/>
      <c r="BC205" s="640"/>
      <c r="BD205" s="656"/>
      <c r="BE205" s="466"/>
      <c r="BF205" s="48"/>
      <c r="BG205" s="21"/>
      <c r="BH205" s="268"/>
      <c r="BI205" s="640"/>
      <c r="BJ205" s="656"/>
      <c r="BK205" s="466"/>
      <c r="BL205" s="48"/>
      <c r="BM205" s="21"/>
      <c r="BN205" s="274"/>
      <c r="BO205" s="1161"/>
      <c r="BP205" s="313"/>
      <c r="BQ205" s="1128"/>
      <c r="BR205" s="311"/>
      <c r="BS205" s="703"/>
      <c r="BT205" s="315"/>
      <c r="BU205" s="21"/>
      <c r="BV205" s="268"/>
      <c r="BW205" s="760"/>
      <c r="BX205" s="67"/>
      <c r="BY205" s="47"/>
      <c r="BZ205" s="48"/>
      <c r="CA205" s="21"/>
      <c r="CB205" s="268"/>
      <c r="CC205" s="720"/>
      <c r="CD205" s="311"/>
      <c r="CE205" s="59"/>
      <c r="CF205" s="64"/>
      <c r="CG205" s="21"/>
      <c r="CH205" s="271"/>
      <c r="CI205" s="917"/>
      <c r="CJ205" s="59"/>
      <c r="CK205" s="59"/>
      <c r="CL205" s="64"/>
      <c r="CM205" s="21"/>
      <c r="CN205" s="271"/>
      <c r="CO205" s="760"/>
      <c r="CP205" s="45"/>
      <c r="CQ205" s="59"/>
      <c r="CR205" s="64"/>
      <c r="CS205" s="21"/>
      <c r="CT205" s="271"/>
      <c r="CU205" s="877"/>
      <c r="CV205" s="738"/>
      <c r="CW205" s="199"/>
      <c r="CX205" s="200"/>
      <c r="CY205" s="567"/>
      <c r="CZ205" s="1052"/>
      <c r="DA205" s="21"/>
      <c r="DB205" s="709"/>
      <c r="DC205" s="779"/>
      <c r="DD205" s="45"/>
      <c r="DE205" s="59"/>
      <c r="DF205" s="59"/>
      <c r="DG205" s="64"/>
      <c r="DH205" s="20"/>
      <c r="DI205" s="271"/>
      <c r="DJ205" s="760"/>
      <c r="DK205" s="45"/>
      <c r="DL205" s="59"/>
      <c r="DM205" s="64"/>
      <c r="DN205" s="20"/>
      <c r="DO205" s="268"/>
      <c r="DP205" s="760"/>
      <c r="DQ205" s="45"/>
      <c r="DR205" s="59"/>
      <c r="DS205" s="64"/>
      <c r="DT205" s="20"/>
      <c r="DU205" s="709"/>
      <c r="DV205" s="619" t="s">
        <v>411</v>
      </c>
      <c r="DW205" s="45"/>
      <c r="DX205" s="1097"/>
      <c r="DY205" s="1099" t="s">
        <v>415</v>
      </c>
      <c r="DZ205" s="1098"/>
      <c r="EA205" s="20"/>
      <c r="EB205" s="274"/>
      <c r="EC205" s="760"/>
      <c r="ED205" s="45"/>
      <c r="EE205" s="59"/>
      <c r="EF205" s="64"/>
      <c r="EG205" s="20"/>
      <c r="EH205" s="271"/>
      <c r="EI205" s="760"/>
      <c r="EJ205" s="45"/>
      <c r="EK205" s="59"/>
      <c r="EL205" s="64"/>
      <c r="EM205" s="20"/>
      <c r="EN205" s="709"/>
    </row>
    <row r="206" spans="1:145" ht="37.5" customHeight="1" thickTop="1" thickBot="1" x14ac:dyDescent="0.25">
      <c r="B206" s="959">
        <f>B201+1</f>
        <v>22</v>
      </c>
      <c r="C206" s="222">
        <f>C201+7</f>
        <v>46167</v>
      </c>
      <c r="D206" s="4"/>
      <c r="E206" s="24"/>
      <c r="F206" s="525"/>
      <c r="G206" s="963"/>
      <c r="H206" s="4"/>
      <c r="I206" s="527"/>
      <c r="J206" s="226"/>
      <c r="K206" s="439"/>
      <c r="L206" s="234"/>
      <c r="M206" s="278"/>
      <c r="N206" s="228"/>
      <c r="O206" s="24"/>
      <c r="P206" s="624"/>
      <c r="Q206" s="226"/>
      <c r="R206" s="278"/>
      <c r="S206" s="226"/>
      <c r="T206" s="278"/>
      <c r="U206" s="439"/>
      <c r="V206" s="234"/>
      <c r="W206" s="24"/>
      <c r="X206" s="270"/>
      <c r="Y206" s="760"/>
      <c r="Z206" s="246"/>
      <c r="AA206" s="440"/>
      <c r="AB206" s="225"/>
      <c r="AC206" s="224"/>
      <c r="AD206" s="21"/>
      <c r="AE206" s="270"/>
      <c r="AF206" s="760"/>
      <c r="AG206" s="760"/>
      <c r="AH206" s="760"/>
      <c r="AI206" s="760"/>
      <c r="AJ206" s="246"/>
      <c r="AK206" s="440"/>
      <c r="AL206" s="225"/>
      <c r="AM206" s="224"/>
      <c r="AN206" s="21"/>
      <c r="AO206" s="273"/>
      <c r="AP206" s="477"/>
      <c r="AQ206" s="443"/>
      <c r="AR206" s="230"/>
      <c r="AS206" s="232"/>
      <c r="AT206" s="228"/>
      <c r="AU206" s="21"/>
      <c r="AV206" s="273"/>
      <c r="AW206" s="226"/>
      <c r="AX206" s="443"/>
      <c r="AY206" s="230"/>
      <c r="AZ206" s="278"/>
      <c r="BA206" s="228"/>
      <c r="BB206" s="21"/>
      <c r="BC206" s="462"/>
      <c r="BD206" s="379"/>
      <c r="BE206" s="278"/>
      <c r="BF206" s="235"/>
      <c r="BG206" s="21"/>
      <c r="BH206" s="268"/>
      <c r="BI206" s="462"/>
      <c r="BJ206" s="379"/>
      <c r="BK206" s="278"/>
      <c r="BL206" s="235"/>
      <c r="BM206" s="21"/>
      <c r="BN206" s="707" t="s">
        <v>92</v>
      </c>
      <c r="BO206" s="485"/>
      <c r="BP206" s="278"/>
      <c r="BQ206" s="1129"/>
      <c r="BR206" s="360"/>
      <c r="BS206" s="230"/>
      <c r="BT206" s="235"/>
      <c r="BU206" s="21"/>
      <c r="BV206" s="268"/>
      <c r="BW206" s="760"/>
      <c r="BX206" s="376"/>
      <c r="BY206" s="377"/>
      <c r="BZ206" s="378"/>
      <c r="CA206" s="21"/>
      <c r="CB206" s="268"/>
      <c r="CC206" s="720"/>
      <c r="CD206" s="253"/>
      <c r="CE206" s="254"/>
      <c r="CF206" s="255"/>
      <c r="CG206" s="21"/>
      <c r="CH206" s="707" t="s">
        <v>81</v>
      </c>
      <c r="CI206" s="917"/>
      <c r="CJ206" s="295"/>
      <c r="CK206" s="295"/>
      <c r="CL206" s="374"/>
      <c r="CM206" s="21"/>
      <c r="CN206" s="271"/>
      <c r="CO206" s="760"/>
      <c r="CP206" s="253"/>
      <c r="CQ206" s="254"/>
      <c r="CR206" s="255"/>
      <c r="CS206" s="21"/>
      <c r="CT206" s="271"/>
      <c r="CU206" s="497"/>
      <c r="CV206" s="382"/>
      <c r="CW206" s="383"/>
      <c r="CX206" s="384"/>
      <c r="CY206" s="567"/>
      <c r="CZ206" s="942" t="s">
        <v>26</v>
      </c>
      <c r="DA206" s="21"/>
      <c r="DB206" s="707" t="s">
        <v>330</v>
      </c>
      <c r="DC206" s="506"/>
      <c r="DD206" s="349"/>
      <c r="DE206" s="230"/>
      <c r="DF206" s="295"/>
      <c r="DG206" s="374"/>
      <c r="DH206" s="20"/>
      <c r="DI206" s="271"/>
      <c r="DJ206" s="760"/>
      <c r="DK206" s="253"/>
      <c r="DL206" s="254"/>
      <c r="DM206" s="255"/>
      <c r="DN206" s="20"/>
      <c r="DO206" s="268"/>
      <c r="DP206" s="760"/>
      <c r="DQ206" s="253"/>
      <c r="DR206" s="254"/>
      <c r="DS206" s="255"/>
      <c r="DT206" s="20"/>
      <c r="DU206" s="707" t="s">
        <v>69</v>
      </c>
      <c r="DV206" s="759" t="s">
        <v>26</v>
      </c>
      <c r="DW206" s="253"/>
      <c r="DX206" s="254"/>
      <c r="DY206" s="254"/>
      <c r="DZ206" s="255"/>
      <c r="EA206" s="20"/>
      <c r="EB206" s="274"/>
      <c r="EC206" s="760"/>
      <c r="ED206" s="253"/>
      <c r="EE206" s="254"/>
      <c r="EF206" s="255"/>
      <c r="EG206" s="20"/>
      <c r="EH206" s="271"/>
      <c r="EI206" s="760"/>
      <c r="EJ206" s="253"/>
      <c r="EK206" s="254"/>
      <c r="EL206" s="255"/>
      <c r="EM206" s="20"/>
      <c r="EN206" s="707" t="s">
        <v>169</v>
      </c>
    </row>
    <row r="207" spans="1:145" ht="19.899999999999999" customHeight="1" thickTop="1" x14ac:dyDescent="0.2">
      <c r="B207" s="960"/>
      <c r="C207" s="33">
        <f>C206+1</f>
        <v>46168</v>
      </c>
      <c r="D207" s="1"/>
      <c r="E207" s="23"/>
      <c r="F207" s="526"/>
      <c r="G207" s="963"/>
      <c r="H207" s="1"/>
      <c r="I207" s="527"/>
      <c r="J207" s="833" t="s">
        <v>292</v>
      </c>
      <c r="K207" s="886" t="s">
        <v>399</v>
      </c>
      <c r="L207" s="704" t="s">
        <v>203</v>
      </c>
      <c r="M207" s="277"/>
      <c r="N207" s="227"/>
      <c r="O207" s="23"/>
      <c r="P207" s="624"/>
      <c r="Q207" s="833" t="s">
        <v>255</v>
      </c>
      <c r="R207" s="277"/>
      <c r="S207" s="833" t="s">
        <v>292</v>
      </c>
      <c r="T207" s="277"/>
      <c r="U207" s="886" t="s">
        <v>399</v>
      </c>
      <c r="V207" s="704" t="s">
        <v>203</v>
      </c>
      <c r="W207" s="23"/>
      <c r="X207" s="270"/>
      <c r="Y207" s="760"/>
      <c r="Z207" s="73"/>
      <c r="AA207" s="53"/>
      <c r="AB207" s="42"/>
      <c r="AC207" s="43"/>
      <c r="AD207" s="21"/>
      <c r="AE207" s="270"/>
      <c r="AF207" s="760"/>
      <c r="AG207" s="760"/>
      <c r="AH207" s="760"/>
      <c r="AI207" s="760"/>
      <c r="AJ207" s="73"/>
      <c r="AK207" s="53"/>
      <c r="AL207" s="42"/>
      <c r="AM207" s="43"/>
      <c r="AN207" s="21"/>
      <c r="AO207" s="274"/>
      <c r="AP207" s="672" t="s">
        <v>205</v>
      </c>
      <c r="AQ207" s="438"/>
      <c r="AR207" s="702" t="s">
        <v>209</v>
      </c>
      <c r="AS207" s="83"/>
      <c r="AT207" s="227"/>
      <c r="AU207" s="21"/>
      <c r="AV207" s="274"/>
      <c r="AW207" s="734" t="s">
        <v>260</v>
      </c>
      <c r="AX207" s="438"/>
      <c r="AY207" s="702" t="s">
        <v>214</v>
      </c>
      <c r="AZ207" s="277"/>
      <c r="BA207" s="227"/>
      <c r="BB207" s="21"/>
      <c r="BC207" s="638" t="s">
        <v>438</v>
      </c>
      <c r="BD207" s="641" t="s">
        <v>210</v>
      </c>
      <c r="BE207" s="463"/>
      <c r="BF207" s="453"/>
      <c r="BG207" s="21"/>
      <c r="BH207" s="268"/>
      <c r="BI207" s="638" t="s">
        <v>438</v>
      </c>
      <c r="BJ207" s="641" t="s">
        <v>210</v>
      </c>
      <c r="BK207" s="277"/>
      <c r="BL207" s="453"/>
      <c r="BM207" s="21"/>
      <c r="BN207" s="708"/>
      <c r="BO207" s="1050" t="s">
        <v>370</v>
      </c>
      <c r="BP207" s="83"/>
      <c r="BQ207" s="1130" t="s">
        <v>376</v>
      </c>
      <c r="BR207" s="81"/>
      <c r="BS207" s="702" t="s">
        <v>210</v>
      </c>
      <c r="BT207" s="307"/>
      <c r="BU207" s="21"/>
      <c r="BV207" s="268"/>
      <c r="BW207" s="760"/>
      <c r="BX207" s="63"/>
      <c r="BY207" s="42"/>
      <c r="BZ207" s="43"/>
      <c r="CA207" s="21"/>
      <c r="CB207" s="268"/>
      <c r="CC207" s="720"/>
      <c r="CD207" s="309"/>
      <c r="CE207" s="44"/>
      <c r="CF207" s="36"/>
      <c r="CG207" s="21"/>
      <c r="CH207" s="708"/>
      <c r="CI207" s="917"/>
      <c r="CJ207" s="83"/>
      <c r="CK207" s="83"/>
      <c r="CL207" s="84"/>
      <c r="CM207" s="21"/>
      <c r="CN207" s="271"/>
      <c r="CO207" s="760"/>
      <c r="CP207" s="40"/>
      <c r="CQ207" s="44"/>
      <c r="CR207" s="36"/>
      <c r="CS207" s="21"/>
      <c r="CT207" s="271"/>
      <c r="CU207" s="912" t="s">
        <v>172</v>
      </c>
      <c r="CV207" s="280"/>
      <c r="CW207" s="277"/>
      <c r="CX207" s="227"/>
      <c r="CY207" s="567"/>
      <c r="CZ207" s="942"/>
      <c r="DA207" s="21"/>
      <c r="DB207" s="708"/>
      <c r="DC207" s="777" t="s">
        <v>202</v>
      </c>
      <c r="DD207" s="81"/>
      <c r="DE207" s="702" t="s">
        <v>186</v>
      </c>
      <c r="DF207" s="83"/>
      <c r="DG207" s="84"/>
      <c r="DH207" s="20"/>
      <c r="DI207" s="271"/>
      <c r="DJ207" s="760"/>
      <c r="DK207" s="40"/>
      <c r="DL207" s="44"/>
      <c r="DM207" s="36"/>
      <c r="DN207" s="20"/>
      <c r="DO207" s="268"/>
      <c r="DP207" s="760"/>
      <c r="DQ207" s="40"/>
      <c r="DR207" s="44"/>
      <c r="DS207" s="36"/>
      <c r="DT207" s="20"/>
      <c r="DU207" s="708"/>
      <c r="DV207" s="760"/>
      <c r="DW207" s="40"/>
      <c r="DX207" s="44"/>
      <c r="DY207" s="44"/>
      <c r="DZ207" s="36"/>
      <c r="EA207" s="20"/>
      <c r="EB207" s="271"/>
      <c r="EC207" s="760"/>
      <c r="ED207" s="40"/>
      <c r="EE207" s="44"/>
      <c r="EF207" s="36"/>
      <c r="EG207" s="20"/>
      <c r="EH207" s="271"/>
      <c r="EI207" s="760"/>
      <c r="EJ207" s="40"/>
      <c r="EK207" s="44"/>
      <c r="EL207" s="36"/>
      <c r="EM207" s="20"/>
      <c r="EN207" s="708"/>
    </row>
    <row r="208" spans="1:145" ht="19.899999999999999" customHeight="1" thickBot="1" x14ac:dyDescent="0.25">
      <c r="B208" s="960"/>
      <c r="C208" s="33">
        <f>C207+1</f>
        <v>46169</v>
      </c>
      <c r="D208" s="1"/>
      <c r="E208" s="23"/>
      <c r="F208" s="526"/>
      <c r="G208" s="963"/>
      <c r="H208" s="1"/>
      <c r="I208" s="527"/>
      <c r="J208" s="672"/>
      <c r="K208" s="887"/>
      <c r="L208" s="704"/>
      <c r="M208" s="50"/>
      <c r="N208" s="60"/>
      <c r="O208" s="24"/>
      <c r="P208" s="624"/>
      <c r="Q208" s="672"/>
      <c r="R208" s="50"/>
      <c r="S208" s="672"/>
      <c r="T208" s="50"/>
      <c r="U208" s="887"/>
      <c r="V208" s="704"/>
      <c r="W208" s="24"/>
      <c r="X208" s="270"/>
      <c r="Y208" s="760"/>
      <c r="Z208" s="63"/>
      <c r="AA208" s="53"/>
      <c r="AB208" s="50"/>
      <c r="AC208" s="60"/>
      <c r="AD208" s="21"/>
      <c r="AE208" s="270"/>
      <c r="AF208" s="760"/>
      <c r="AG208" s="760"/>
      <c r="AH208" s="760"/>
      <c r="AI208" s="760"/>
      <c r="AJ208" s="63"/>
      <c r="AK208" s="53"/>
      <c r="AL208" s="50"/>
      <c r="AM208" s="60"/>
      <c r="AN208" s="21"/>
      <c r="AO208" s="274"/>
      <c r="AP208" s="672"/>
      <c r="AQ208" s="218"/>
      <c r="AR208" s="702"/>
      <c r="AS208" s="42"/>
      <c r="AT208" s="60"/>
      <c r="AU208" s="21"/>
      <c r="AV208" s="274"/>
      <c r="AW208" s="672"/>
      <c r="AX208" s="218"/>
      <c r="AY208" s="702"/>
      <c r="AZ208" s="50"/>
      <c r="BA208" s="60"/>
      <c r="BB208" s="21"/>
      <c r="BC208" s="639"/>
      <c r="BD208" s="641"/>
      <c r="BE208" s="464"/>
      <c r="BF208" s="307"/>
      <c r="BG208" s="21"/>
      <c r="BH208" s="268"/>
      <c r="BI208" s="639"/>
      <c r="BJ208" s="641"/>
      <c r="BK208" s="50"/>
      <c r="BL208" s="307"/>
      <c r="BM208" s="21"/>
      <c r="BN208" s="708"/>
      <c r="BO208" s="940"/>
      <c r="BP208" s="310"/>
      <c r="BQ208" s="1131"/>
      <c r="BR208" s="1139" t="s">
        <v>48</v>
      </c>
      <c r="BS208" s="702"/>
      <c r="BT208" s="307"/>
      <c r="BU208" s="21"/>
      <c r="BV208" s="268"/>
      <c r="BW208" s="760"/>
      <c r="BX208" s="63"/>
      <c r="BY208" s="50"/>
      <c r="BZ208" s="60"/>
      <c r="CA208" s="21"/>
      <c r="CB208" s="268"/>
      <c r="CC208" s="720"/>
      <c r="CD208" s="309"/>
      <c r="CE208" s="44"/>
      <c r="CF208" s="36"/>
      <c r="CG208" s="21"/>
      <c r="CH208" s="708"/>
      <c r="CI208" s="917"/>
      <c r="CJ208" s="195"/>
      <c r="CK208" s="195"/>
      <c r="CL208" s="164"/>
      <c r="CM208" s="21"/>
      <c r="CN208" s="271"/>
      <c r="CO208" s="760"/>
      <c r="CP208" s="40"/>
      <c r="CQ208" s="44"/>
      <c r="CR208" s="36"/>
      <c r="CS208" s="21"/>
      <c r="CT208" s="271"/>
      <c r="CU208" s="876"/>
      <c r="CV208" s="73"/>
      <c r="CW208" s="42"/>
      <c r="CX208" s="43"/>
      <c r="CY208" s="567"/>
      <c r="CZ208" s="942"/>
      <c r="DA208" s="21"/>
      <c r="DB208" s="708"/>
      <c r="DC208" s="777"/>
      <c r="DD208" s="309"/>
      <c r="DE208" s="702"/>
      <c r="DF208" s="612" t="s">
        <v>61</v>
      </c>
      <c r="DG208" s="287"/>
      <c r="DH208" s="20"/>
      <c r="DI208" s="271"/>
      <c r="DJ208" s="760"/>
      <c r="DK208" s="40"/>
      <c r="DL208" s="44"/>
      <c r="DM208" s="36"/>
      <c r="DN208" s="20"/>
      <c r="DO208" s="268"/>
      <c r="DP208" s="760"/>
      <c r="DQ208" s="40"/>
      <c r="DR208" s="44"/>
      <c r="DS208" s="36"/>
      <c r="DT208" s="20"/>
      <c r="DU208" s="708"/>
      <c r="DV208" s="760"/>
      <c r="DW208" s="40"/>
      <c r="DX208" s="44"/>
      <c r="DY208" s="44"/>
      <c r="DZ208" s="36"/>
      <c r="EA208" s="20"/>
      <c r="EB208" s="271"/>
      <c r="EC208" s="760"/>
      <c r="ED208" s="40"/>
      <c r="EE208" s="44"/>
      <c r="EF208" s="36"/>
      <c r="EG208" s="20"/>
      <c r="EH208" s="271"/>
      <c r="EI208" s="760"/>
      <c r="EJ208" s="40"/>
      <c r="EK208" s="44"/>
      <c r="EL208" s="36"/>
      <c r="EM208" s="20"/>
      <c r="EN208" s="708"/>
    </row>
    <row r="209" spans="1:145" ht="48" customHeight="1" thickTop="1" x14ac:dyDescent="0.2">
      <c r="A209" s="6" t="s">
        <v>71</v>
      </c>
      <c r="B209" s="960"/>
      <c r="C209" s="302">
        <f>C208+1</f>
        <v>46170</v>
      </c>
      <c r="D209" s="1"/>
      <c r="F209" s="526"/>
      <c r="G209" s="963"/>
      <c r="H209" s="1"/>
      <c r="I209" s="527"/>
      <c r="J209" s="672"/>
      <c r="K209" s="887"/>
      <c r="L209" s="704"/>
      <c r="M209" s="66" t="s">
        <v>80</v>
      </c>
      <c r="N209" s="307"/>
      <c r="O209" s="23"/>
      <c r="P209" s="624"/>
      <c r="Q209" s="672"/>
      <c r="R209" s="66" t="s">
        <v>80</v>
      </c>
      <c r="S209" s="672"/>
      <c r="T209" s="50"/>
      <c r="U209" s="887"/>
      <c r="V209" s="704"/>
      <c r="W209" s="23"/>
      <c r="X209" s="270"/>
      <c r="Y209" s="760"/>
      <c r="Z209" s="309"/>
      <c r="AA209" s="418"/>
      <c r="AB209" s="310"/>
      <c r="AC209" s="307"/>
      <c r="AD209" s="21"/>
      <c r="AE209" s="270"/>
      <c r="AF209" s="760"/>
      <c r="AG209" s="760"/>
      <c r="AH209" s="760"/>
      <c r="AI209" s="760"/>
      <c r="AJ209" s="309"/>
      <c r="AK209" s="418"/>
      <c r="AL209" s="310"/>
      <c r="AM209" s="307"/>
      <c r="AN209" s="21"/>
      <c r="AO209" s="274"/>
      <c r="AP209" s="1033"/>
      <c r="AQ209" s="147"/>
      <c r="AR209" s="702"/>
      <c r="AS209" s="612" t="s">
        <v>61</v>
      </c>
      <c r="AT209" s="307"/>
      <c r="AU209" s="21"/>
      <c r="AV209" s="274"/>
      <c r="AW209" s="672"/>
      <c r="AX209" s="147"/>
      <c r="AY209" s="702"/>
      <c r="AZ209" s="370"/>
      <c r="BA209" s="307"/>
      <c r="BB209" s="21"/>
      <c r="BC209" s="639"/>
      <c r="BD209" s="641"/>
      <c r="BE209" s="465"/>
      <c r="BF209" s="307"/>
      <c r="BG209" s="21"/>
      <c r="BH209" s="268"/>
      <c r="BI209" s="639"/>
      <c r="BJ209" s="641"/>
      <c r="BK209" s="370"/>
      <c r="BL209" s="307"/>
      <c r="BM209" s="21"/>
      <c r="BN209" s="708"/>
      <c r="BO209" s="940"/>
      <c r="BP209" s="310"/>
      <c r="BQ209" s="1125" t="s">
        <v>377</v>
      </c>
      <c r="BR209" s="1134" t="s">
        <v>61</v>
      </c>
      <c r="BS209" s="702"/>
      <c r="BT209" s="307"/>
      <c r="BU209" s="21"/>
      <c r="BV209" s="268"/>
      <c r="BW209" s="760"/>
      <c r="BX209" s="309"/>
      <c r="BY209" s="310"/>
      <c r="BZ209" s="307"/>
      <c r="CA209" s="21"/>
      <c r="CB209" s="268"/>
      <c r="CC209" s="720"/>
      <c r="CD209" s="309"/>
      <c r="CE209" s="310"/>
      <c r="CF209" s="307"/>
      <c r="CG209" s="21"/>
      <c r="CH209" s="708"/>
      <c r="CI209" s="917"/>
      <c r="CJ209" s="83"/>
      <c r="CK209" s="83"/>
      <c r="CL209" s="84"/>
      <c r="CM209" s="21"/>
      <c r="CN209" s="271"/>
      <c r="CO209" s="760"/>
      <c r="CP209" s="309"/>
      <c r="CQ209" s="310"/>
      <c r="CR209" s="307"/>
      <c r="CS209" s="21"/>
      <c r="CT209" s="271"/>
      <c r="CU209" s="876"/>
      <c r="CV209" s="73"/>
      <c r="CW209" s="42"/>
      <c r="CX209" s="43"/>
      <c r="CY209" s="567"/>
      <c r="CZ209" s="942"/>
      <c r="DA209" s="21"/>
      <c r="DB209" s="708"/>
      <c r="DC209" s="777"/>
      <c r="DD209" s="505"/>
      <c r="DE209" s="702"/>
      <c r="DF209" s="83"/>
      <c r="DG209" s="84"/>
      <c r="DH209" s="20"/>
      <c r="DI209" s="271"/>
      <c r="DJ209" s="760"/>
      <c r="DK209" s="309"/>
      <c r="DL209" s="310"/>
      <c r="DM209" s="307"/>
      <c r="DN209" s="20"/>
      <c r="DO209" s="268"/>
      <c r="DP209" s="760"/>
      <c r="DQ209" s="309"/>
      <c r="DR209" s="310"/>
      <c r="DS209" s="307"/>
      <c r="DT209" s="20"/>
      <c r="DU209" s="708"/>
      <c r="DV209" s="760"/>
      <c r="DW209" s="309"/>
      <c r="DX209" s="310"/>
      <c r="DY209" s="310"/>
      <c r="DZ209" s="307"/>
      <c r="EA209" s="20"/>
      <c r="EB209" s="271"/>
      <c r="EC209" s="760"/>
      <c r="ED209" s="309"/>
      <c r="EE209" s="310"/>
      <c r="EF209" s="307"/>
      <c r="EG209" s="20"/>
      <c r="EH209" s="271"/>
      <c r="EI209" s="760"/>
      <c r="EJ209" s="309"/>
      <c r="EK209" s="310"/>
      <c r="EL209" s="307"/>
      <c r="EM209" s="20"/>
      <c r="EN209" s="708"/>
    </row>
    <row r="210" spans="1:145" ht="19.899999999999999" customHeight="1" thickBot="1" x14ac:dyDescent="0.25">
      <c r="A210" s="6" t="s">
        <v>70</v>
      </c>
      <c r="B210" s="961"/>
      <c r="C210" s="330">
        <f>C209+1</f>
        <v>46171</v>
      </c>
      <c r="D210" s="1"/>
      <c r="E210" s="23"/>
      <c r="F210" s="526"/>
      <c r="G210" s="963"/>
      <c r="H210" s="1"/>
      <c r="I210" s="527"/>
      <c r="J210" s="672"/>
      <c r="K210" s="888"/>
      <c r="L210" s="705"/>
      <c r="M210" s="367"/>
      <c r="N210" s="368"/>
      <c r="O210" s="23"/>
      <c r="P210" s="624"/>
      <c r="Q210" s="672"/>
      <c r="R210" s="367"/>
      <c r="S210" s="672"/>
      <c r="T210" s="367"/>
      <c r="U210" s="888"/>
      <c r="V210" s="705"/>
      <c r="W210" s="23"/>
      <c r="X210" s="270"/>
      <c r="Y210" s="760"/>
      <c r="Z210" s="366"/>
      <c r="AA210" s="436"/>
      <c r="AB210" s="367"/>
      <c r="AC210" s="368"/>
      <c r="AD210" s="21"/>
      <c r="AE210" s="270"/>
      <c r="AF210" s="760"/>
      <c r="AG210" s="760"/>
      <c r="AH210" s="760"/>
      <c r="AI210" s="760"/>
      <c r="AJ210" s="366"/>
      <c r="AK210" s="436"/>
      <c r="AL210" s="367"/>
      <c r="AM210" s="368"/>
      <c r="AN210" s="21"/>
      <c r="AO210" s="275"/>
      <c r="AP210" s="212" t="s">
        <v>187</v>
      </c>
      <c r="AQ210" s="442"/>
      <c r="AR210" s="703"/>
      <c r="AS210" s="367"/>
      <c r="AT210" s="368"/>
      <c r="AU210" s="21"/>
      <c r="AV210" s="275"/>
      <c r="AW210" s="672"/>
      <c r="AX210" s="442"/>
      <c r="AY210" s="703"/>
      <c r="AZ210" s="367"/>
      <c r="BA210" s="368"/>
      <c r="BB210" s="21"/>
      <c r="BC210" s="639"/>
      <c r="BD210" s="642"/>
      <c r="BE210" s="466"/>
      <c r="BF210" s="48"/>
      <c r="BG210" s="21"/>
      <c r="BH210" s="268"/>
      <c r="BI210" s="639"/>
      <c r="BJ210" s="642"/>
      <c r="BK210" s="367"/>
      <c r="BL210" s="48"/>
      <c r="BM210" s="21"/>
      <c r="BN210" s="709"/>
      <c r="BO210" s="940"/>
      <c r="BP210" s="466"/>
      <c r="BQ210" s="1125"/>
      <c r="BR210" s="1148"/>
      <c r="BS210" s="790"/>
      <c r="BT210" s="315"/>
      <c r="BU210" s="21"/>
      <c r="BV210" s="268"/>
      <c r="BW210" s="760"/>
      <c r="BX210" s="366"/>
      <c r="BY210" s="367"/>
      <c r="BZ210" s="368"/>
      <c r="CA210" s="21"/>
      <c r="CB210" s="268"/>
      <c r="CC210" s="720"/>
      <c r="CD210" s="311"/>
      <c r="CE210" s="313"/>
      <c r="CF210" s="315"/>
      <c r="CG210" s="21"/>
      <c r="CH210" s="709"/>
      <c r="CI210" s="918"/>
      <c r="CJ210" s="313"/>
      <c r="CK210" s="313"/>
      <c r="CL210" s="315"/>
      <c r="CM210" s="21"/>
      <c r="CN210" s="271"/>
      <c r="CO210" s="761"/>
      <c r="CP210" s="311"/>
      <c r="CQ210" s="313"/>
      <c r="CR210" s="315"/>
      <c r="CS210" s="21"/>
      <c r="CT210" s="271"/>
      <c r="CU210" s="876"/>
      <c r="CV210" s="198"/>
      <c r="CW210" s="199"/>
      <c r="CX210" s="203"/>
      <c r="CY210" s="567"/>
      <c r="CZ210" s="942"/>
      <c r="DA210" s="21"/>
      <c r="DB210" s="709"/>
      <c r="DC210" s="840"/>
      <c r="DD210" s="163"/>
      <c r="DE210" s="703"/>
      <c r="DF210" s="313"/>
      <c r="DG210" s="315"/>
      <c r="DH210" s="20"/>
      <c r="DI210" s="271"/>
      <c r="DJ210" s="761"/>
      <c r="DK210" s="311"/>
      <c r="DL210" s="313"/>
      <c r="DM210" s="315"/>
      <c r="DN210" s="20"/>
      <c r="DO210" s="268"/>
      <c r="DP210" s="760"/>
      <c r="DQ210" s="311"/>
      <c r="DR210" s="313"/>
      <c r="DS210" s="315"/>
      <c r="DT210" s="20"/>
      <c r="DU210" s="709"/>
      <c r="DV210" s="760"/>
      <c r="DW210" s="311"/>
      <c r="DX210" s="313"/>
      <c r="DY210" s="313"/>
      <c r="DZ210" s="315"/>
      <c r="EA210" s="20"/>
      <c r="EB210" s="271"/>
      <c r="EC210" s="761"/>
      <c r="ED210" s="311"/>
      <c r="EE210" s="313"/>
      <c r="EF210" s="315"/>
      <c r="EG210" s="20"/>
      <c r="EH210" s="271"/>
      <c r="EI210" s="761"/>
      <c r="EJ210" s="311"/>
      <c r="EK210" s="313"/>
      <c r="EL210" s="315"/>
      <c r="EM210" s="20"/>
      <c r="EN210" s="709"/>
    </row>
    <row r="211" spans="1:145" ht="35.25" customHeight="1" thickBot="1" x14ac:dyDescent="0.25">
      <c r="B211" s="959">
        <f>B206+1</f>
        <v>23</v>
      </c>
      <c r="C211" s="332">
        <f>C206+7</f>
        <v>46174</v>
      </c>
      <c r="D211" s="4"/>
      <c r="E211" s="24"/>
      <c r="F211" s="525"/>
      <c r="G211" s="963"/>
      <c r="H211" s="4"/>
      <c r="I211" s="527"/>
      <c r="J211" s="672"/>
      <c r="K211" s="161"/>
      <c r="L211" s="819" t="s">
        <v>208</v>
      </c>
      <c r="M211" s="616" t="s">
        <v>61</v>
      </c>
      <c r="N211" s="62"/>
      <c r="O211" s="24"/>
      <c r="P211" s="624"/>
      <c r="Q211" s="672"/>
      <c r="R211" s="616" t="s">
        <v>61</v>
      </c>
      <c r="S211" s="672"/>
      <c r="T211" s="616" t="s">
        <v>61</v>
      </c>
      <c r="U211" s="161"/>
      <c r="V211" s="819" t="s">
        <v>208</v>
      </c>
      <c r="W211" s="24"/>
      <c r="X211" s="713" t="s">
        <v>136</v>
      </c>
      <c r="Y211" s="760"/>
      <c r="Z211" s="314"/>
      <c r="AA211" s="78"/>
      <c r="AB211" s="308"/>
      <c r="AC211" s="306"/>
      <c r="AD211" s="21"/>
      <c r="AE211" s="713" t="s">
        <v>136</v>
      </c>
      <c r="AF211" s="760"/>
      <c r="AG211" s="760"/>
      <c r="AH211" s="760"/>
      <c r="AI211" s="760"/>
      <c r="AJ211" s="314"/>
      <c r="AK211" s="78"/>
      <c r="AL211" s="308"/>
      <c r="AM211" s="306"/>
      <c r="AN211" s="21"/>
      <c r="AO211" s="707" t="s">
        <v>116</v>
      </c>
      <c r="AP211" s="838" t="s">
        <v>205</v>
      </c>
      <c r="AQ211" s="467"/>
      <c r="AR211" s="690" t="s">
        <v>212</v>
      </c>
      <c r="AS211" s="308"/>
      <c r="AT211" s="306"/>
      <c r="AU211" s="21"/>
      <c r="AV211" s="707" t="s">
        <v>432</v>
      </c>
      <c r="AW211" s="672"/>
      <c r="AX211" s="77"/>
      <c r="AY211" s="701" t="s">
        <v>212</v>
      </c>
      <c r="AZ211" s="180" t="s">
        <v>48</v>
      </c>
      <c r="BA211" s="35"/>
      <c r="BB211" s="21"/>
      <c r="BC211" s="639"/>
      <c r="BD211" s="643" t="s">
        <v>325</v>
      </c>
      <c r="BE211" s="308"/>
      <c r="BF211" s="306"/>
      <c r="BG211" s="21"/>
      <c r="BH211" s="268"/>
      <c r="BI211" s="639"/>
      <c r="BJ211" s="643" t="s">
        <v>325</v>
      </c>
      <c r="BK211" s="39"/>
      <c r="BL211" s="35"/>
      <c r="BM211" s="21"/>
      <c r="BN211" s="274"/>
      <c r="BO211" s="940"/>
      <c r="BP211" s="308"/>
      <c r="BQ211" s="1125"/>
      <c r="BR211" s="314"/>
      <c r="BS211" s="694" t="s">
        <v>213</v>
      </c>
      <c r="BT211" s="306"/>
      <c r="BU211" s="21"/>
      <c r="BV211" s="268"/>
      <c r="BW211" s="760"/>
      <c r="BX211" s="132"/>
      <c r="BY211" s="56"/>
      <c r="BZ211" s="57"/>
      <c r="CA211" s="21"/>
      <c r="CB211" s="268"/>
      <c r="CC211" s="720"/>
      <c r="CD211" s="314"/>
      <c r="CE211" s="39"/>
      <c r="CF211" s="35"/>
      <c r="CG211" s="21"/>
      <c r="CH211" s="707" t="s">
        <v>330</v>
      </c>
      <c r="CI211" s="672" t="s">
        <v>285</v>
      </c>
      <c r="CJ211" s="701" t="s">
        <v>204</v>
      </c>
      <c r="CK211" s="39"/>
      <c r="CL211" s="35"/>
      <c r="CM211" s="21"/>
      <c r="CN211" s="271"/>
      <c r="CO211" s="915" t="s">
        <v>180</v>
      </c>
      <c r="CP211" s="314"/>
      <c r="CQ211" s="308"/>
      <c r="CR211" s="919" t="s">
        <v>48</v>
      </c>
      <c r="CS211" s="21"/>
      <c r="CT211" s="713" t="s">
        <v>206</v>
      </c>
      <c r="CU211" s="876"/>
      <c r="CV211" s="736" t="s">
        <v>272</v>
      </c>
      <c r="CW211" s="58"/>
      <c r="CX211" s="770" t="s">
        <v>125</v>
      </c>
      <c r="CY211" s="571"/>
      <c r="CZ211" s="942"/>
      <c r="DA211" s="21"/>
      <c r="DB211" s="274"/>
      <c r="DC211" s="576" t="s">
        <v>189</v>
      </c>
      <c r="DD211" s="314"/>
      <c r="DE211" s="694" t="s">
        <v>197</v>
      </c>
      <c r="DF211" s="39"/>
      <c r="DG211" s="35"/>
      <c r="DH211" s="20"/>
      <c r="DI211" s="271"/>
      <c r="DJ211" s="844" t="s">
        <v>196</v>
      </c>
      <c r="DK211" s="61"/>
      <c r="DL211" s="39"/>
      <c r="DM211" s="855" t="s">
        <v>48</v>
      </c>
      <c r="DN211" s="20"/>
      <c r="DO211" s="268"/>
      <c r="DP211" s="760"/>
      <c r="DQ211" s="61"/>
      <c r="DR211" s="39"/>
      <c r="DS211" s="35"/>
      <c r="DT211" s="20"/>
      <c r="DU211" s="707" t="s">
        <v>81</v>
      </c>
      <c r="DV211" s="760"/>
      <c r="DW211" s="61"/>
      <c r="DX211" s="39"/>
      <c r="DY211" s="39"/>
      <c r="DZ211" s="35"/>
      <c r="EA211" s="20"/>
      <c r="EB211" s="271"/>
      <c r="EC211" s="759" t="s">
        <v>191</v>
      </c>
      <c r="ED211" s="314"/>
      <c r="EE211" s="308"/>
      <c r="EF211" s="855" t="s">
        <v>48</v>
      </c>
      <c r="EG211" s="20"/>
      <c r="EH211" s="713" t="s">
        <v>206</v>
      </c>
      <c r="EI211" s="788" t="s">
        <v>448</v>
      </c>
      <c r="EJ211" s="736" t="s">
        <v>388</v>
      </c>
      <c r="EK211" s="39"/>
      <c r="EL211" s="306"/>
      <c r="EM211" s="20"/>
      <c r="EN211" s="557"/>
      <c r="EO211" s="759" t="s">
        <v>421</v>
      </c>
    </row>
    <row r="212" spans="1:145" ht="19.899999999999999" customHeight="1" thickBot="1" x14ac:dyDescent="0.25">
      <c r="B212" s="960"/>
      <c r="C212" s="302">
        <f>C211+1</f>
        <v>46175</v>
      </c>
      <c r="D212" s="1"/>
      <c r="E212" s="23"/>
      <c r="F212" s="526"/>
      <c r="G212" s="963"/>
      <c r="H212" s="1"/>
      <c r="I212" s="264"/>
      <c r="J212" s="672"/>
      <c r="K212" s="147"/>
      <c r="L212" s="704"/>
      <c r="M212" s="42"/>
      <c r="N212" s="43"/>
      <c r="O212" s="23"/>
      <c r="P212" s="623"/>
      <c r="Q212" s="672"/>
      <c r="R212" s="42"/>
      <c r="S212" s="672"/>
      <c r="T212" s="602"/>
      <c r="U212" s="147"/>
      <c r="V212" s="704"/>
      <c r="W212" s="23"/>
      <c r="X212" s="714"/>
      <c r="Y212" s="760"/>
      <c r="Z212" s="73"/>
      <c r="AA212" s="75"/>
      <c r="AB212" s="42"/>
      <c r="AC212" s="43"/>
      <c r="AD212" s="21"/>
      <c r="AE212" s="714"/>
      <c r="AF212" s="760"/>
      <c r="AG212" s="760"/>
      <c r="AH212" s="760"/>
      <c r="AI212" s="760"/>
      <c r="AJ212" s="73"/>
      <c r="AK212" s="75"/>
      <c r="AL212" s="42"/>
      <c r="AM212" s="43"/>
      <c r="AN212" s="21"/>
      <c r="AO212" s="708"/>
      <c r="AP212" s="813"/>
      <c r="AQ212" s="280"/>
      <c r="AR212" s="691"/>
      <c r="AS212" s="310"/>
      <c r="AT212" s="307"/>
      <c r="AU212" s="21"/>
      <c r="AV212" s="708"/>
      <c r="AW212" s="672"/>
      <c r="AX212" s="73"/>
      <c r="AY212" s="702"/>
      <c r="AZ212" s="42"/>
      <c r="BA212" s="43"/>
      <c r="BB212" s="21"/>
      <c r="BC212" s="639"/>
      <c r="BD212" s="644"/>
      <c r="BE212" s="42"/>
      <c r="BF212" s="43"/>
      <c r="BG212" s="21"/>
      <c r="BH212" s="268"/>
      <c r="BI212" s="639"/>
      <c r="BJ212" s="644"/>
      <c r="BK212" s="42"/>
      <c r="BL212" s="43"/>
      <c r="BM212" s="21"/>
      <c r="BN212" s="274"/>
      <c r="BO212" s="940"/>
      <c r="BP212" s="310"/>
      <c r="BQ212" s="1125"/>
      <c r="BR212" s="309"/>
      <c r="BS212" s="695"/>
      <c r="BT212" s="307"/>
      <c r="BU212" s="21"/>
      <c r="BV212" s="268"/>
      <c r="BW212" s="760"/>
      <c r="BX212" s="63"/>
      <c r="BY212" s="42"/>
      <c r="BZ212" s="43"/>
      <c r="CA212" s="21"/>
      <c r="CB212" s="268"/>
      <c r="CC212" s="720"/>
      <c r="CD212" s="309"/>
      <c r="CE212" s="44"/>
      <c r="CF212" s="36"/>
      <c r="CG212" s="21"/>
      <c r="CH212" s="708"/>
      <c r="CI212" s="672"/>
      <c r="CJ212" s="702"/>
      <c r="CK212" s="44"/>
      <c r="CL212" s="36"/>
      <c r="CM212" s="21"/>
      <c r="CN212" s="271"/>
      <c r="CO212" s="872"/>
      <c r="CP212" s="309"/>
      <c r="CQ212" s="310"/>
      <c r="CR212" s="920"/>
      <c r="CS212" s="21"/>
      <c r="CT212" s="714"/>
      <c r="CU212" s="876"/>
      <c r="CV212" s="737"/>
      <c r="CW212" s="42"/>
      <c r="CX212" s="771"/>
      <c r="CY212" s="572"/>
      <c r="CZ212" s="942"/>
      <c r="DA212" s="21"/>
      <c r="DB212" s="274"/>
      <c r="DC212" s="789" t="s">
        <v>202</v>
      </c>
      <c r="DD212" s="309"/>
      <c r="DE212" s="695"/>
      <c r="DF212" s="44"/>
      <c r="DG212" s="36"/>
      <c r="DH212" s="20"/>
      <c r="DI212" s="271"/>
      <c r="DJ212" s="845"/>
      <c r="DK212" s="40"/>
      <c r="DL212" s="44"/>
      <c r="DM212" s="856"/>
      <c r="DN212" s="20"/>
      <c r="DO212" s="268"/>
      <c r="DP212" s="760"/>
      <c r="DQ212" s="40"/>
      <c r="DR212" s="44"/>
      <c r="DS212" s="36"/>
      <c r="DT212" s="20"/>
      <c r="DU212" s="708"/>
      <c r="DV212" s="760"/>
      <c r="DW212" s="40"/>
      <c r="DX212" s="44"/>
      <c r="DY212" s="44"/>
      <c r="DZ212" s="36"/>
      <c r="EA212" s="20"/>
      <c r="EB212" s="271"/>
      <c r="EC212" s="760"/>
      <c r="ED212" s="309"/>
      <c r="EE212" s="310"/>
      <c r="EF212" s="856"/>
      <c r="EG212" s="20"/>
      <c r="EH212" s="714"/>
      <c r="EI212" s="789"/>
      <c r="EJ212" s="737"/>
      <c r="EK212" s="44"/>
      <c r="EL212" s="307"/>
      <c r="EM212" s="20"/>
      <c r="EN212" s="268"/>
      <c r="EO212" s="760"/>
    </row>
    <row r="213" spans="1:145" ht="19.899999999999999" customHeight="1" thickBot="1" x14ac:dyDescent="0.25">
      <c r="B213" s="960"/>
      <c r="C213" s="302">
        <f>C212+1</f>
        <v>46176</v>
      </c>
      <c r="D213" s="1"/>
      <c r="E213" s="23"/>
      <c r="F213" s="526"/>
      <c r="G213" s="963"/>
      <c r="H213" s="1"/>
      <c r="I213" s="264"/>
      <c r="J213" s="672"/>
      <c r="K213" s="147"/>
      <c r="L213" s="704"/>
      <c r="M213" s="310"/>
      <c r="N213" s="307"/>
      <c r="O213" s="23"/>
      <c r="P213" s="623"/>
      <c r="Q213" s="672"/>
      <c r="R213" s="310"/>
      <c r="S213" s="672"/>
      <c r="T213" s="603"/>
      <c r="U213" s="147"/>
      <c r="V213" s="704"/>
      <c r="W213" s="23"/>
      <c r="X213" s="714"/>
      <c r="Y213" s="760"/>
      <c r="Z213" s="309"/>
      <c r="AA213" s="75"/>
      <c r="AB213" s="310"/>
      <c r="AC213" s="307"/>
      <c r="AD213" s="21"/>
      <c r="AE213" s="714"/>
      <c r="AF213" s="760"/>
      <c r="AG213" s="760"/>
      <c r="AH213" s="760"/>
      <c r="AI213" s="760"/>
      <c r="AJ213" s="309"/>
      <c r="AK213" s="75"/>
      <c r="AL213" s="310"/>
      <c r="AM213" s="307"/>
      <c r="AN213" s="21"/>
      <c r="AO213" s="708"/>
      <c r="AP213" s="813"/>
      <c r="AQ213" s="309"/>
      <c r="AR213" s="691"/>
      <c r="AS213" s="404"/>
      <c r="AT213" s="307"/>
      <c r="AU213" s="21"/>
      <c r="AV213" s="708"/>
      <c r="AW213" s="672"/>
      <c r="AX213" s="40"/>
      <c r="AY213" s="702"/>
      <c r="AZ213" s="44"/>
      <c r="BA213" s="36"/>
      <c r="BB213" s="21"/>
      <c r="BC213" s="639"/>
      <c r="BD213" s="644"/>
      <c r="BE213" s="310"/>
      <c r="BF213" s="307"/>
      <c r="BG213" s="21"/>
      <c r="BH213" s="268"/>
      <c r="BI213" s="639"/>
      <c r="BJ213" s="644"/>
      <c r="BK213" s="44"/>
      <c r="BL213" s="36"/>
      <c r="BM213" s="21"/>
      <c r="BN213" s="274"/>
      <c r="BO213" s="940"/>
      <c r="BP213" s="310"/>
      <c r="BQ213" s="1125"/>
      <c r="BR213" s="309"/>
      <c r="BS213" s="695"/>
      <c r="BT213" s="307"/>
      <c r="BU213" s="21"/>
      <c r="BV213" s="268"/>
      <c r="BW213" s="760"/>
      <c r="BX213" s="63"/>
      <c r="BY213" s="44"/>
      <c r="BZ213" s="36"/>
      <c r="CA213" s="21"/>
      <c r="CB213" s="268"/>
      <c r="CC213" s="720"/>
      <c r="CD213" s="309"/>
      <c r="CE213" s="44"/>
      <c r="CF213" s="36"/>
      <c r="CG213" s="21"/>
      <c r="CH213" s="708"/>
      <c r="CI213" s="672"/>
      <c r="CJ213" s="702"/>
      <c r="CK213" s="44"/>
      <c r="CL213" s="36"/>
      <c r="CM213" s="21"/>
      <c r="CN213" s="271"/>
      <c r="CO213" s="872"/>
      <c r="CP213" s="309"/>
      <c r="CQ213" s="310"/>
      <c r="CR213" s="920"/>
      <c r="CS213" s="21"/>
      <c r="CT213" s="714"/>
      <c r="CU213" s="876"/>
      <c r="CV213" s="737"/>
      <c r="CW213" s="42"/>
      <c r="CX213" s="771"/>
      <c r="CY213" s="572"/>
      <c r="CZ213" s="942"/>
      <c r="DA213" s="21"/>
      <c r="DB213" s="274"/>
      <c r="DC213" s="789"/>
      <c r="DD213" s="309"/>
      <c r="DE213" s="695"/>
      <c r="DF213" s="44"/>
      <c r="DG213" s="36"/>
      <c r="DH213" s="20"/>
      <c r="DI213" s="271"/>
      <c r="DJ213" s="845"/>
      <c r="DK213" s="40"/>
      <c r="DL213" s="44"/>
      <c r="DM213" s="856"/>
      <c r="DN213" s="20"/>
      <c r="DO213" s="268"/>
      <c r="DP213" s="760"/>
      <c r="DQ213" s="40"/>
      <c r="DR213" s="44"/>
      <c r="DS213" s="36"/>
      <c r="DT213" s="20"/>
      <c r="DU213" s="708"/>
      <c r="DV213" s="760"/>
      <c r="DW213" s="40"/>
      <c r="DX213" s="44"/>
      <c r="DY213" s="44"/>
      <c r="DZ213" s="36"/>
      <c r="EA213" s="20"/>
      <c r="EB213" s="271"/>
      <c r="EC213" s="760"/>
      <c r="ED213" s="309"/>
      <c r="EE213" s="310"/>
      <c r="EF213" s="856"/>
      <c r="EG213" s="20"/>
      <c r="EH213" s="714"/>
      <c r="EI213" s="789"/>
      <c r="EJ213" s="737"/>
      <c r="EK213" s="44"/>
      <c r="EL213" s="307"/>
      <c r="EM213" s="20"/>
      <c r="EN213" s="268"/>
      <c r="EO213" s="760"/>
    </row>
    <row r="214" spans="1:145" ht="19.899999999999999" customHeight="1" thickBot="1" x14ac:dyDescent="0.25">
      <c r="B214" s="960"/>
      <c r="C214" s="302">
        <f>C213+1</f>
        <v>46177</v>
      </c>
      <c r="D214" s="1"/>
      <c r="E214" s="210" t="s">
        <v>91</v>
      </c>
      <c r="G214" s="963"/>
      <c r="H214" s="1"/>
      <c r="I214" s="264"/>
      <c r="J214" s="672"/>
      <c r="K214" s="147"/>
      <c r="L214" s="704"/>
      <c r="M214" s="116" t="s">
        <v>61</v>
      </c>
      <c r="N214" s="307"/>
      <c r="O214" s="23"/>
      <c r="P214" s="623"/>
      <c r="Q214" s="672"/>
      <c r="R214" s="310"/>
      <c r="S214" s="672"/>
      <c r="T214" s="604" t="s">
        <v>61</v>
      </c>
      <c r="U214" s="147"/>
      <c r="V214" s="704"/>
      <c r="W214" s="23"/>
      <c r="X214" s="714"/>
      <c r="Y214" s="760"/>
      <c r="Z214" s="369"/>
      <c r="AA214" s="75"/>
      <c r="AB214" s="310"/>
      <c r="AC214" s="371"/>
      <c r="AD214" s="21"/>
      <c r="AE214" s="714"/>
      <c r="AF214" s="760"/>
      <c r="AG214" s="760"/>
      <c r="AH214" s="760"/>
      <c r="AI214" s="760"/>
      <c r="AJ214" s="369"/>
      <c r="AK214" s="75"/>
      <c r="AL214" s="310"/>
      <c r="AM214" s="371"/>
      <c r="AN214" s="21"/>
      <c r="AO214" s="708"/>
      <c r="AP214" s="839"/>
      <c r="AQ214" s="309"/>
      <c r="AR214" s="691"/>
      <c r="AS214" s="116" t="s">
        <v>61</v>
      </c>
      <c r="AT214" s="307"/>
      <c r="AU214" s="21"/>
      <c r="AV214" s="708"/>
      <c r="AW214" s="672"/>
      <c r="AX214" s="63"/>
      <c r="AY214" s="702"/>
      <c r="AZ214" s="86" t="s">
        <v>61</v>
      </c>
      <c r="BA214" s="60"/>
      <c r="BB214" s="21"/>
      <c r="BC214" s="639"/>
      <c r="BD214" s="644"/>
      <c r="BE214" s="86" t="s">
        <v>61</v>
      </c>
      <c r="BF214" s="60"/>
      <c r="BG214" s="21"/>
      <c r="BH214" s="268"/>
      <c r="BI214" s="639"/>
      <c r="BJ214" s="644"/>
      <c r="BK214" s="86" t="s">
        <v>61</v>
      </c>
      <c r="BL214" s="60"/>
      <c r="BM214" s="21"/>
      <c r="BN214" s="274"/>
      <c r="BO214" s="940"/>
      <c r="BP214" s="116" t="s">
        <v>61</v>
      </c>
      <c r="BQ214" s="1125"/>
      <c r="BR214" s="1141" t="s">
        <v>80</v>
      </c>
      <c r="BS214" s="695"/>
      <c r="BT214" s="307"/>
      <c r="BU214" s="21"/>
      <c r="BV214" s="268"/>
      <c r="BW214" s="760"/>
      <c r="BX214" s="40"/>
      <c r="BY214" s="50"/>
      <c r="BZ214" s="60"/>
      <c r="CA214" s="21"/>
      <c r="CB214" s="268"/>
      <c r="CC214" s="720"/>
      <c r="CD214" s="309"/>
      <c r="CE214" s="44"/>
      <c r="CF214" s="36"/>
      <c r="CG214" s="21"/>
      <c r="CH214" s="708"/>
      <c r="CI214" s="672"/>
      <c r="CJ214" s="702"/>
      <c r="CK214" s="310"/>
      <c r="CL214" s="36"/>
      <c r="CM214" s="21"/>
      <c r="CN214" s="271"/>
      <c r="CO214" s="872"/>
      <c r="CP214" s="309"/>
      <c r="CQ214" s="310"/>
      <c r="CR214" s="920"/>
      <c r="CS214" s="21"/>
      <c r="CT214" s="714"/>
      <c r="CU214" s="876"/>
      <c r="CV214" s="737"/>
      <c r="CW214" s="42"/>
      <c r="CX214" s="771"/>
      <c r="CY214" s="572"/>
      <c r="CZ214" s="942"/>
      <c r="DA214" s="21"/>
      <c r="DB214" s="274"/>
      <c r="DC214" s="789"/>
      <c r="DD214" s="309"/>
      <c r="DE214" s="695"/>
      <c r="DF214" s="66" t="s">
        <v>80</v>
      </c>
      <c r="DG214" s="36"/>
      <c r="DH214" s="20"/>
      <c r="DI214" s="271"/>
      <c r="DJ214" s="845"/>
      <c r="DK214" s="40"/>
      <c r="DL214" s="44"/>
      <c r="DM214" s="856"/>
      <c r="DN214" s="20"/>
      <c r="DO214" s="268"/>
      <c r="DP214" s="760"/>
      <c r="DQ214" s="40"/>
      <c r="DR214" s="44"/>
      <c r="DS214" s="36"/>
      <c r="DT214" s="20"/>
      <c r="DU214" s="708"/>
      <c r="DV214" s="760"/>
      <c r="DW214" s="40"/>
      <c r="DX214" s="44"/>
      <c r="DY214" s="44"/>
      <c r="DZ214" s="36"/>
      <c r="EA214" s="20"/>
      <c r="EB214" s="271"/>
      <c r="EC214" s="760"/>
      <c r="ED214" s="309"/>
      <c r="EE214" s="310"/>
      <c r="EF214" s="856"/>
      <c r="EG214" s="20"/>
      <c r="EH214" s="714"/>
      <c r="EI214" s="789"/>
      <c r="EJ214" s="737"/>
      <c r="EK214" s="44"/>
      <c r="EL214" s="307"/>
      <c r="EM214" s="20"/>
      <c r="EN214" s="268"/>
      <c r="EO214" s="760"/>
    </row>
    <row r="215" spans="1:145" ht="19.899999999999999" customHeight="1" thickBot="1" x14ac:dyDescent="0.25">
      <c r="B215" s="961"/>
      <c r="C215" s="330">
        <f>C214+1</f>
        <v>46178</v>
      </c>
      <c r="D215" s="1"/>
      <c r="E215" s="23"/>
      <c r="F215" s="526"/>
      <c r="G215" s="963"/>
      <c r="H215" s="1"/>
      <c r="I215" s="264"/>
      <c r="J215" s="672"/>
      <c r="K215" s="147"/>
      <c r="L215" s="705"/>
      <c r="M215" s="47"/>
      <c r="N215" s="48"/>
      <c r="O215" s="23"/>
      <c r="P215" s="623"/>
      <c r="Q215" s="672"/>
      <c r="R215" s="312"/>
      <c r="S215" s="672"/>
      <c r="T215" s="605"/>
      <c r="U215" s="147"/>
      <c r="V215" s="705"/>
      <c r="W215" s="23"/>
      <c r="X215" s="715"/>
      <c r="Y215" s="760"/>
      <c r="Z215" s="366"/>
      <c r="AA215" s="76"/>
      <c r="AB215" s="312"/>
      <c r="AC215" s="368"/>
      <c r="AD215" s="21"/>
      <c r="AE215" s="715"/>
      <c r="AF215" s="760"/>
      <c r="AG215" s="760"/>
      <c r="AH215" s="760"/>
      <c r="AI215" s="760"/>
      <c r="AJ215" s="366"/>
      <c r="AK215" s="76"/>
      <c r="AL215" s="312"/>
      <c r="AM215" s="368"/>
      <c r="AN215" s="21"/>
      <c r="AO215" s="709"/>
      <c r="AP215" s="212" t="s">
        <v>187</v>
      </c>
      <c r="AQ215" s="67"/>
      <c r="AR215" s="692"/>
      <c r="AS215" s="313"/>
      <c r="AT215" s="315"/>
      <c r="AU215" s="21"/>
      <c r="AV215" s="709"/>
      <c r="AW215" s="672"/>
      <c r="AX215" s="67"/>
      <c r="AY215" s="703"/>
      <c r="AZ215" s="47"/>
      <c r="BA215" s="48"/>
      <c r="BB215" s="21"/>
      <c r="BC215" s="639"/>
      <c r="BD215" s="645"/>
      <c r="BE215" s="312"/>
      <c r="BF215" s="48"/>
      <c r="BG215" s="21"/>
      <c r="BH215" s="268"/>
      <c r="BI215" s="639"/>
      <c r="BJ215" s="645"/>
      <c r="BK215" s="47"/>
      <c r="BL215" s="48"/>
      <c r="BM215" s="21"/>
      <c r="BN215" s="274"/>
      <c r="BO215" s="940"/>
      <c r="BP215" s="313"/>
      <c r="BQ215" s="1125"/>
      <c r="BR215" s="311"/>
      <c r="BS215" s="696"/>
      <c r="BT215" s="315"/>
      <c r="BU215" s="21"/>
      <c r="BV215" s="268"/>
      <c r="BW215" s="760"/>
      <c r="BX215" s="67"/>
      <c r="BY215" s="47"/>
      <c r="BZ215" s="48"/>
      <c r="CA215" s="21"/>
      <c r="CB215" s="268"/>
      <c r="CC215" s="720"/>
      <c r="CD215" s="311"/>
      <c r="CE215" s="59"/>
      <c r="CF215" s="64"/>
      <c r="CG215" s="21"/>
      <c r="CH215" s="709"/>
      <c r="CI215" s="672"/>
      <c r="CJ215" s="703"/>
      <c r="CK215" s="59"/>
      <c r="CL215" s="64"/>
      <c r="CM215" s="21"/>
      <c r="CN215" s="271"/>
      <c r="CO215" s="872"/>
      <c r="CP215" s="311"/>
      <c r="CQ215" s="313"/>
      <c r="CR215" s="921"/>
      <c r="CS215" s="21"/>
      <c r="CT215" s="715"/>
      <c r="CU215" s="876"/>
      <c r="CV215" s="738"/>
      <c r="CW215" s="199"/>
      <c r="CX215" s="772"/>
      <c r="CY215" s="572"/>
      <c r="CZ215" s="942"/>
      <c r="DA215" s="21"/>
      <c r="DB215" s="274"/>
      <c r="DC215" s="854"/>
      <c r="DD215" s="311"/>
      <c r="DE215" s="696"/>
      <c r="DF215" s="59"/>
      <c r="DG215" s="64"/>
      <c r="DH215" s="20"/>
      <c r="DI215" s="271"/>
      <c r="DJ215" s="846"/>
      <c r="DK215" s="45"/>
      <c r="DL215" s="59"/>
      <c r="DM215" s="857"/>
      <c r="DN215" s="20"/>
      <c r="DO215" s="268"/>
      <c r="DP215" s="761"/>
      <c r="DQ215" s="45"/>
      <c r="DR215" s="59"/>
      <c r="DS215" s="64"/>
      <c r="DT215" s="20"/>
      <c r="DU215" s="709"/>
      <c r="DV215" s="760"/>
      <c r="DW215" s="45"/>
      <c r="DX215" s="59"/>
      <c r="DY215" s="59"/>
      <c r="DZ215" s="64"/>
      <c r="EA215" s="20"/>
      <c r="EB215" s="271"/>
      <c r="EC215" s="860"/>
      <c r="ED215" s="311"/>
      <c r="EE215" s="313"/>
      <c r="EF215" s="857"/>
      <c r="EG215" s="20"/>
      <c r="EH215" s="715"/>
      <c r="EI215" s="789"/>
      <c r="EJ215" s="738"/>
      <c r="EK215" s="59"/>
      <c r="EL215" s="315"/>
      <c r="EM215" s="20"/>
      <c r="EN215" s="268"/>
      <c r="EO215" s="761"/>
    </row>
    <row r="216" spans="1:145" ht="39.75" customHeight="1" x14ac:dyDescent="0.2">
      <c r="A216" s="6" t="s">
        <v>71</v>
      </c>
      <c r="B216" s="959">
        <f>B211+1</f>
        <v>24</v>
      </c>
      <c r="C216" s="332">
        <f>C211+7</f>
        <v>46181</v>
      </c>
      <c r="D216" s="4"/>
      <c r="E216" s="24"/>
      <c r="F216" s="525"/>
      <c r="G216" s="963"/>
      <c r="H216" s="4"/>
      <c r="I216" s="707" t="s">
        <v>99</v>
      </c>
      <c r="J216" s="672"/>
      <c r="K216" s="161"/>
      <c r="L216" s="969" t="s">
        <v>211</v>
      </c>
      <c r="M216" s="72"/>
      <c r="N216" s="306"/>
      <c r="O216" s="24"/>
      <c r="P216" s="707" t="s">
        <v>99</v>
      </c>
      <c r="Q216" s="672"/>
      <c r="R216" s="72"/>
      <c r="S216" s="672"/>
      <c r="T216" s="607"/>
      <c r="U216" s="629"/>
      <c r="V216" s="969" t="s">
        <v>211</v>
      </c>
      <c r="W216" s="24"/>
      <c r="X216" s="270"/>
      <c r="Y216" s="760"/>
      <c r="Z216" s="314"/>
      <c r="AA216" s="78"/>
      <c r="AB216" s="308"/>
      <c r="AC216" s="306"/>
      <c r="AD216" s="21"/>
      <c r="AE216" s="270"/>
      <c r="AF216" s="760"/>
      <c r="AG216" s="760"/>
      <c r="AH216" s="760"/>
      <c r="AI216" s="760"/>
      <c r="AJ216" s="314"/>
      <c r="AK216" s="78"/>
      <c r="AL216" s="308"/>
      <c r="AM216" s="306"/>
      <c r="AN216" s="21"/>
      <c r="AO216" s="707" t="s">
        <v>99</v>
      </c>
      <c r="AP216" s="838" t="s">
        <v>205</v>
      </c>
      <c r="AQ216" s="467"/>
      <c r="AR216" s="308"/>
      <c r="AS216" s="323"/>
      <c r="AT216" s="649" t="s">
        <v>393</v>
      </c>
      <c r="AU216" s="21"/>
      <c r="AV216" s="707" t="s">
        <v>99</v>
      </c>
      <c r="AW216" s="672"/>
      <c r="AX216" s="314"/>
      <c r="AY216" s="78"/>
      <c r="AZ216" s="308"/>
      <c r="BA216" s="649" t="s">
        <v>393</v>
      </c>
      <c r="BB216" s="21"/>
      <c r="BC216" s="639"/>
      <c r="BD216" s="314"/>
      <c r="BE216" s="323"/>
      <c r="BF216" s="324"/>
      <c r="BG216" s="21"/>
      <c r="BH216" s="707" t="s">
        <v>434</v>
      </c>
      <c r="BI216" s="639"/>
      <c r="BJ216" s="314"/>
      <c r="BK216" s="308"/>
      <c r="BL216" s="306"/>
      <c r="BM216" s="21"/>
      <c r="BN216" s="707" t="s">
        <v>434</v>
      </c>
      <c r="BO216" s="940"/>
      <c r="BP216" s="323"/>
      <c r="BQ216" s="1125"/>
      <c r="BR216" s="314"/>
      <c r="BS216" s="308"/>
      <c r="BT216" s="324"/>
      <c r="BU216" s="21"/>
      <c r="BV216" s="713" t="s">
        <v>136</v>
      </c>
      <c r="BW216" s="760"/>
      <c r="BX216" s="393"/>
      <c r="BY216" s="394"/>
      <c r="BZ216" s="395"/>
      <c r="CA216" s="21"/>
      <c r="CB216" s="268"/>
      <c r="CC216" s="720"/>
      <c r="CD216" s="314"/>
      <c r="CE216" s="308"/>
      <c r="CF216" s="306"/>
      <c r="CG216" s="21"/>
      <c r="CH216" s="557"/>
      <c r="CI216" s="672"/>
      <c r="CJ216" s="701" t="s">
        <v>214</v>
      </c>
      <c r="CK216" s="323"/>
      <c r="CL216" s="785" t="s">
        <v>393</v>
      </c>
      <c r="CM216" s="21"/>
      <c r="CN216" s="271"/>
      <c r="CO216" s="916" t="s">
        <v>184</v>
      </c>
      <c r="CP216" s="314"/>
      <c r="CQ216" s="308"/>
      <c r="CR216" s="306"/>
      <c r="CS216" s="21"/>
      <c r="CT216" s="707" t="s">
        <v>174</v>
      </c>
      <c r="CU216" s="876"/>
      <c r="CV216" s="397"/>
      <c r="CW216" s="398"/>
      <c r="CX216" s="399"/>
      <c r="CY216" s="567"/>
      <c r="CZ216" s="942"/>
      <c r="DA216" s="21"/>
      <c r="DB216" s="707" t="s">
        <v>81</v>
      </c>
      <c r="DC216" s="576" t="s">
        <v>189</v>
      </c>
      <c r="DD216" s="489"/>
      <c r="DE216" s="701" t="s">
        <v>204</v>
      </c>
      <c r="DF216" s="396"/>
      <c r="DG216" s="401"/>
      <c r="DH216" s="20"/>
      <c r="DI216" s="271"/>
      <c r="DJ216" s="759" t="s">
        <v>199</v>
      </c>
      <c r="DK216" s="314"/>
      <c r="DL216" s="308"/>
      <c r="DM216" s="306"/>
      <c r="DN216" s="20"/>
      <c r="DO216" s="713" t="s">
        <v>206</v>
      </c>
      <c r="DP216" s="788" t="s">
        <v>452</v>
      </c>
      <c r="DQ216" s="736" t="s">
        <v>385</v>
      </c>
      <c r="DR216" s="39"/>
      <c r="DS216" s="35"/>
      <c r="DT216" s="20"/>
      <c r="DU216" s="274"/>
      <c r="DV216" s="760"/>
      <c r="DW216" s="314"/>
      <c r="DX216" s="308"/>
      <c r="DY216" s="308"/>
      <c r="DZ216" s="306"/>
      <c r="EA216" s="20"/>
      <c r="EB216" s="271"/>
      <c r="EC216" s="864" t="s">
        <v>294</v>
      </c>
      <c r="ED216" s="314"/>
      <c r="EE216" s="308"/>
      <c r="EF216" s="306"/>
      <c r="EG216" s="20"/>
      <c r="EH216" s="707" t="s">
        <v>216</v>
      </c>
      <c r="EI216" s="789"/>
      <c r="EJ216" s="736" t="s">
        <v>272</v>
      </c>
      <c r="EK216" s="308"/>
      <c r="EL216" s="770" t="s">
        <v>90</v>
      </c>
      <c r="EM216" s="20"/>
      <c r="EN216" s="707" t="s">
        <v>174</v>
      </c>
    </row>
    <row r="217" spans="1:145" ht="19.899999999999999" customHeight="1" x14ac:dyDescent="0.2">
      <c r="B217" s="960"/>
      <c r="C217" s="33">
        <f>C216+1</f>
        <v>46182</v>
      </c>
      <c r="D217" s="1"/>
      <c r="E217" s="23"/>
      <c r="F217" s="526"/>
      <c r="G217" s="963"/>
      <c r="H217" s="1"/>
      <c r="I217" s="708"/>
      <c r="J217" s="672"/>
      <c r="K217" s="147"/>
      <c r="L217" s="970"/>
      <c r="M217" s="42"/>
      <c r="N217" s="43"/>
      <c r="O217" s="23"/>
      <c r="P217" s="708"/>
      <c r="Q217" s="672"/>
      <c r="R217" s="42"/>
      <c r="S217" s="672"/>
      <c r="T217" s="602"/>
      <c r="U217" s="147"/>
      <c r="V217" s="970"/>
      <c r="W217" s="23"/>
      <c r="X217" s="270"/>
      <c r="Y217" s="760"/>
      <c r="Z217" s="73"/>
      <c r="AA217" s="75"/>
      <c r="AB217" s="42"/>
      <c r="AC217" s="43"/>
      <c r="AD217" s="21"/>
      <c r="AE217" s="270"/>
      <c r="AF217" s="760"/>
      <c r="AG217" s="760"/>
      <c r="AH217" s="760"/>
      <c r="AI217" s="760"/>
      <c r="AJ217" s="73"/>
      <c r="AK217" s="75"/>
      <c r="AL217" s="42"/>
      <c r="AM217" s="43"/>
      <c r="AN217" s="21"/>
      <c r="AO217" s="708"/>
      <c r="AP217" s="813"/>
      <c r="AQ217" s="280"/>
      <c r="AR217" s="310"/>
      <c r="AS217" s="277"/>
      <c r="AT217" s="650"/>
      <c r="AU217" s="21"/>
      <c r="AV217" s="708"/>
      <c r="AW217" s="672"/>
      <c r="AX217" s="73"/>
      <c r="AY217" s="75"/>
      <c r="AZ217" s="42"/>
      <c r="BA217" s="650"/>
      <c r="BB217" s="21"/>
      <c r="BC217" s="639"/>
      <c r="BD217" s="63"/>
      <c r="BE217" s="277"/>
      <c r="BF217" s="227"/>
      <c r="BG217" s="21"/>
      <c r="BH217" s="708"/>
      <c r="BI217" s="639"/>
      <c r="BJ217" s="63"/>
      <c r="BK217" s="42"/>
      <c r="BL217" s="43"/>
      <c r="BM217" s="21"/>
      <c r="BN217" s="708"/>
      <c r="BO217" s="940"/>
      <c r="BP217" s="277"/>
      <c r="BQ217" s="1125"/>
      <c r="BR217" s="309"/>
      <c r="BS217" s="42"/>
      <c r="BT217" s="227"/>
      <c r="BU217" s="21"/>
      <c r="BV217" s="714"/>
      <c r="BW217" s="760"/>
      <c r="BX217" s="63"/>
      <c r="BY217" s="42"/>
      <c r="BZ217" s="43"/>
      <c r="CA217" s="21"/>
      <c r="CB217" s="268"/>
      <c r="CC217" s="720"/>
      <c r="CD217" s="309"/>
      <c r="CE217" s="44"/>
      <c r="CF217" s="36"/>
      <c r="CG217" s="21"/>
      <c r="CH217" s="268"/>
      <c r="CI217" s="672"/>
      <c r="CJ217" s="702"/>
      <c r="CK217" s="83"/>
      <c r="CL217" s="786"/>
      <c r="CM217" s="21"/>
      <c r="CN217" s="271"/>
      <c r="CO217" s="917"/>
      <c r="CP217" s="40"/>
      <c r="CQ217" s="44"/>
      <c r="CR217" s="36"/>
      <c r="CS217" s="21"/>
      <c r="CT217" s="708"/>
      <c r="CU217" s="876"/>
      <c r="CV217" s="280"/>
      <c r="CW217" s="277"/>
      <c r="CX217" s="227"/>
      <c r="CY217" s="567"/>
      <c r="CZ217" s="942"/>
      <c r="DA217" s="21"/>
      <c r="DB217" s="708"/>
      <c r="DC217" s="928" t="s">
        <v>202</v>
      </c>
      <c r="DD217" s="309"/>
      <c r="DE217" s="702"/>
      <c r="DF217" s="83"/>
      <c r="DG217" s="84"/>
      <c r="DH217" s="20"/>
      <c r="DI217" s="271"/>
      <c r="DJ217" s="760"/>
      <c r="DK217" s="40"/>
      <c r="DL217" s="44"/>
      <c r="DM217" s="36"/>
      <c r="DN217" s="20"/>
      <c r="DO217" s="714"/>
      <c r="DP217" s="789"/>
      <c r="DQ217" s="737"/>
      <c r="DR217" s="44"/>
      <c r="DS217" s="36"/>
      <c r="DT217" s="20"/>
      <c r="DU217" s="274"/>
      <c r="DV217" s="760"/>
      <c r="DW217" s="40"/>
      <c r="DX217" s="44"/>
      <c r="DY217" s="44"/>
      <c r="DZ217" s="36"/>
      <c r="EA217" s="20"/>
      <c r="EB217" s="271"/>
      <c r="EC217" s="760"/>
      <c r="ED217" s="40"/>
      <c r="EE217" s="44"/>
      <c r="EF217" s="36"/>
      <c r="EG217" s="20"/>
      <c r="EH217" s="708"/>
      <c r="EI217" s="789"/>
      <c r="EJ217" s="737"/>
      <c r="EK217" s="44"/>
      <c r="EL217" s="771"/>
      <c r="EM217" s="20"/>
      <c r="EN217" s="708"/>
    </row>
    <row r="218" spans="1:145" ht="19.899999999999999" customHeight="1" x14ac:dyDescent="0.2">
      <c r="B218" s="960"/>
      <c r="C218" s="33">
        <f>C217+1</f>
        <v>46183</v>
      </c>
      <c r="D218" s="1"/>
      <c r="E218" s="23"/>
      <c r="F218" s="526"/>
      <c r="G218" s="963"/>
      <c r="H218" s="1"/>
      <c r="I218" s="708"/>
      <c r="J218" s="672"/>
      <c r="K218" s="147"/>
      <c r="L218" s="970"/>
      <c r="M218" s="44"/>
      <c r="N218" s="36"/>
      <c r="O218" s="23"/>
      <c r="P218" s="708"/>
      <c r="Q218" s="672"/>
      <c r="R218" s="310"/>
      <c r="S218" s="672"/>
      <c r="T218" s="603"/>
      <c r="U218" s="147"/>
      <c r="V218" s="970"/>
      <c r="W218" s="23"/>
      <c r="X218" s="270"/>
      <c r="Y218" s="760"/>
      <c r="Z218" s="309"/>
      <c r="AA218" s="75"/>
      <c r="AB218" s="310"/>
      <c r="AC218" s="307"/>
      <c r="AD218" s="21"/>
      <c r="AE218" s="270"/>
      <c r="AF218" s="760"/>
      <c r="AG218" s="760"/>
      <c r="AH218" s="760"/>
      <c r="AI218" s="760"/>
      <c r="AJ218" s="40"/>
      <c r="AK218" s="75"/>
      <c r="AL218" s="44"/>
      <c r="AM218" s="36"/>
      <c r="AN218" s="21"/>
      <c r="AO218" s="708"/>
      <c r="AP218" s="813"/>
      <c r="AQ218" s="309"/>
      <c r="AR218" s="310"/>
      <c r="AS218" s="292" t="s">
        <v>48</v>
      </c>
      <c r="AT218" s="650"/>
      <c r="AU218" s="21"/>
      <c r="AV218" s="708"/>
      <c r="AW218" s="672"/>
      <c r="AX218" s="40"/>
      <c r="AY218" s="41"/>
      <c r="AZ218" s="44"/>
      <c r="BA218" s="650"/>
      <c r="BB218" s="21"/>
      <c r="BC218" s="639"/>
      <c r="BD218" s="309"/>
      <c r="BE218" s="310"/>
      <c r="BF218" s="307"/>
      <c r="BG218" s="21"/>
      <c r="BH218" s="708"/>
      <c r="BI218" s="639"/>
      <c r="BJ218" s="309"/>
      <c r="BK218" s="44"/>
      <c r="BL218" s="36"/>
      <c r="BM218" s="21"/>
      <c r="BN218" s="708"/>
      <c r="BO218" s="940"/>
      <c r="BP218" s="310"/>
      <c r="BQ218" s="1125"/>
      <c r="BR218" s="309"/>
      <c r="BS218" s="310"/>
      <c r="BT218" s="307"/>
      <c r="BU218" s="21"/>
      <c r="BV218" s="714"/>
      <c r="BW218" s="760"/>
      <c r="BX218" s="63"/>
      <c r="BY218" s="44"/>
      <c r="BZ218" s="36"/>
      <c r="CA218" s="21"/>
      <c r="CB218" s="268"/>
      <c r="CC218" s="720"/>
      <c r="CD218" s="309"/>
      <c r="CE218" s="44"/>
      <c r="CF218" s="36"/>
      <c r="CG218" s="21"/>
      <c r="CH218" s="268"/>
      <c r="CI218" s="672"/>
      <c r="CJ218" s="702"/>
      <c r="CK218" s="44"/>
      <c r="CL218" s="786"/>
      <c r="CM218" s="21"/>
      <c r="CN218" s="271"/>
      <c r="CO218" s="917"/>
      <c r="CP218" s="40"/>
      <c r="CQ218" s="44"/>
      <c r="CR218" s="36"/>
      <c r="CS218" s="21"/>
      <c r="CT218" s="708"/>
      <c r="CU218" s="876"/>
      <c r="CV218" s="73"/>
      <c r="CW218" s="42"/>
      <c r="CX218" s="43"/>
      <c r="CY218" s="567"/>
      <c r="CZ218" s="942"/>
      <c r="DA218" s="21"/>
      <c r="DB218" s="708"/>
      <c r="DC218" s="789"/>
      <c r="DD218" s="309"/>
      <c r="DE218" s="702"/>
      <c r="DF218" s="116" t="s">
        <v>61</v>
      </c>
      <c r="DG218" s="36"/>
      <c r="DH218" s="20"/>
      <c r="DI218" s="271"/>
      <c r="DJ218" s="760"/>
      <c r="DK218" s="40"/>
      <c r="DL218" s="44"/>
      <c r="DM218" s="36"/>
      <c r="DN218" s="20"/>
      <c r="DO218" s="714"/>
      <c r="DP218" s="789"/>
      <c r="DQ218" s="737"/>
      <c r="DR218" s="44"/>
      <c r="DS218" s="36"/>
      <c r="DT218" s="20"/>
      <c r="DU218" s="274"/>
      <c r="DV218" s="760"/>
      <c r="DW218" s="40"/>
      <c r="DX218" s="44"/>
      <c r="DY218" s="44"/>
      <c r="DZ218" s="36"/>
      <c r="EA218" s="20"/>
      <c r="EB218" s="271"/>
      <c r="EC218" s="760"/>
      <c r="ED218" s="40"/>
      <c r="EE218" s="44"/>
      <c r="EF218" s="36"/>
      <c r="EG218" s="20"/>
      <c r="EH218" s="708"/>
      <c r="EI218" s="789"/>
      <c r="EJ218" s="737"/>
      <c r="EK218" s="44"/>
      <c r="EL218" s="771"/>
      <c r="EM218" s="20"/>
      <c r="EN218" s="708"/>
    </row>
    <row r="219" spans="1:145" ht="19.899999999999999" customHeight="1" thickBot="1" x14ac:dyDescent="0.25">
      <c r="B219" s="960"/>
      <c r="C219" s="33">
        <f>C218+1</f>
        <v>46184</v>
      </c>
      <c r="D219" s="1"/>
      <c r="G219" s="963"/>
      <c r="H219" s="1"/>
      <c r="I219" s="708"/>
      <c r="J219" s="672"/>
      <c r="K219" s="147"/>
      <c r="L219" s="970"/>
      <c r="M219" s="310"/>
      <c r="N219" s="36"/>
      <c r="O219" s="23"/>
      <c r="P219" s="708"/>
      <c r="Q219" s="672"/>
      <c r="R219" s="310"/>
      <c r="S219" s="672"/>
      <c r="T219" s="603"/>
      <c r="U219" s="147"/>
      <c r="V219" s="970"/>
      <c r="W219" s="23"/>
      <c r="X219" s="270"/>
      <c r="Y219" s="760"/>
      <c r="Z219" s="309"/>
      <c r="AA219" s="75"/>
      <c r="AB219" s="310"/>
      <c r="AC219" s="307"/>
      <c r="AD219" s="21"/>
      <c r="AE219" s="270"/>
      <c r="AF219" s="760"/>
      <c r="AG219" s="760"/>
      <c r="AH219" s="760"/>
      <c r="AI219" s="760"/>
      <c r="AJ219" s="40"/>
      <c r="AK219" s="75"/>
      <c r="AL219" s="44"/>
      <c r="AM219" s="36"/>
      <c r="AN219" s="21"/>
      <c r="AO219" s="708"/>
      <c r="AP219" s="839"/>
      <c r="AQ219" s="309"/>
      <c r="AR219" s="310"/>
      <c r="AS219" s="277"/>
      <c r="AT219" s="650"/>
      <c r="AU219" s="21"/>
      <c r="AV219" s="708"/>
      <c r="AW219" s="1033"/>
      <c r="AX219" s="40"/>
      <c r="AY219" s="41"/>
      <c r="AZ219" s="66" t="s">
        <v>80</v>
      </c>
      <c r="BA219" s="650"/>
      <c r="BB219" s="21"/>
      <c r="BC219" s="639"/>
      <c r="BD219" s="309"/>
      <c r="BE219" s="277"/>
      <c r="BF219" s="307"/>
      <c r="BG219" s="21"/>
      <c r="BH219" s="708"/>
      <c r="BI219" s="639"/>
      <c r="BJ219" s="309"/>
      <c r="BK219" s="277"/>
      <c r="BL219" s="36"/>
      <c r="BM219" s="21"/>
      <c r="BN219" s="708"/>
      <c r="BO219" s="940"/>
      <c r="BP219" s="277"/>
      <c r="BQ219" s="1125"/>
      <c r="BR219" s="309"/>
      <c r="BS219" s="310"/>
      <c r="BT219" s="307"/>
      <c r="BU219" s="21"/>
      <c r="BV219" s="714"/>
      <c r="BW219" s="760"/>
      <c r="BX219" s="40"/>
      <c r="BY219" s="44"/>
      <c r="BZ219" s="36"/>
      <c r="CA219" s="21"/>
      <c r="CB219" s="268"/>
      <c r="CC219" s="720"/>
      <c r="CD219" s="309"/>
      <c r="CE219" s="44"/>
      <c r="CF219" s="36"/>
      <c r="CG219" s="21"/>
      <c r="CH219" s="268"/>
      <c r="CI219" s="672"/>
      <c r="CJ219" s="702"/>
      <c r="CK219" s="66" t="s">
        <v>80</v>
      </c>
      <c r="CL219" s="786"/>
      <c r="CM219" s="21"/>
      <c r="CN219" s="271"/>
      <c r="CO219" s="917"/>
      <c r="CP219" s="40"/>
      <c r="CQ219" s="44"/>
      <c r="CR219" s="36"/>
      <c r="CS219" s="21"/>
      <c r="CT219" s="708"/>
      <c r="CU219" s="876"/>
      <c r="CV219" s="73"/>
      <c r="CW219" s="42"/>
      <c r="CX219" s="43"/>
      <c r="CY219" s="567"/>
      <c r="CZ219" s="942"/>
      <c r="DA219" s="21"/>
      <c r="DB219" s="708"/>
      <c r="DC219" s="789"/>
      <c r="DD219" s="309"/>
      <c r="DE219" s="702"/>
      <c r="DF219" s="44"/>
      <c r="DG219" s="36"/>
      <c r="DH219" s="20"/>
      <c r="DI219" s="271"/>
      <c r="DJ219" s="760"/>
      <c r="DK219" s="40"/>
      <c r="DL219" s="44"/>
      <c r="DM219" s="36"/>
      <c r="DN219" s="20"/>
      <c r="DO219" s="714"/>
      <c r="DP219" s="789"/>
      <c r="DQ219" s="737"/>
      <c r="DR219" s="44"/>
      <c r="DS219" s="36"/>
      <c r="DT219" s="20"/>
      <c r="DU219" s="274"/>
      <c r="DV219" s="760"/>
      <c r="DW219" s="40"/>
      <c r="DX219" s="44"/>
      <c r="DY219" s="44"/>
      <c r="DZ219" s="36"/>
      <c r="EA219" s="20"/>
      <c r="EB219" s="271"/>
      <c r="EC219" s="760"/>
      <c r="ED219" s="40"/>
      <c r="EE219" s="44"/>
      <c r="EF219" s="36"/>
      <c r="EG219" s="20"/>
      <c r="EH219" s="708"/>
      <c r="EI219" s="789"/>
      <c r="EJ219" s="737"/>
      <c r="EK219" s="44"/>
      <c r="EL219" s="771"/>
      <c r="EM219" s="20"/>
      <c r="EN219" s="708"/>
    </row>
    <row r="220" spans="1:145" ht="19.899999999999999" customHeight="1" thickTop="1" thickBot="1" x14ac:dyDescent="0.25">
      <c r="B220" s="961"/>
      <c r="C220" s="34">
        <f>C219+1</f>
        <v>46185</v>
      </c>
      <c r="D220" s="1"/>
      <c r="E220" s="23"/>
      <c r="F220" s="526"/>
      <c r="G220" s="963"/>
      <c r="H220" s="1"/>
      <c r="I220" s="709"/>
      <c r="J220" s="672"/>
      <c r="K220" s="147"/>
      <c r="L220" s="971"/>
      <c r="M220" s="88" t="s">
        <v>48</v>
      </c>
      <c r="N220" s="48"/>
      <c r="O220" s="23"/>
      <c r="P220" s="709"/>
      <c r="Q220" s="672"/>
      <c r="R220" s="312"/>
      <c r="S220" s="672"/>
      <c r="T220" s="606" t="s">
        <v>48</v>
      </c>
      <c r="U220" s="147"/>
      <c r="V220" s="971"/>
      <c r="W220" s="23"/>
      <c r="X220" s="270"/>
      <c r="Y220" s="760"/>
      <c r="Z220" s="67"/>
      <c r="AA220" s="76"/>
      <c r="AB220" s="312"/>
      <c r="AC220" s="48"/>
      <c r="AD220" s="21"/>
      <c r="AE220" s="270"/>
      <c r="AF220" s="760"/>
      <c r="AG220" s="760"/>
      <c r="AH220" s="760"/>
      <c r="AI220" s="760"/>
      <c r="AJ220" s="67"/>
      <c r="AK220" s="76"/>
      <c r="AL220" s="47"/>
      <c r="AM220" s="48"/>
      <c r="AN220" s="21"/>
      <c r="AO220" s="709"/>
      <c r="AP220" s="212" t="s">
        <v>218</v>
      </c>
      <c r="AQ220" s="67"/>
      <c r="AR220" s="313"/>
      <c r="AS220" s="293" t="s">
        <v>48</v>
      </c>
      <c r="AT220" s="651"/>
      <c r="AU220" s="21"/>
      <c r="AV220" s="709"/>
      <c r="AW220" s="212" t="s">
        <v>267</v>
      </c>
      <c r="AX220" s="67"/>
      <c r="AY220" s="55"/>
      <c r="AZ220" s="555" t="s">
        <v>48</v>
      </c>
      <c r="BA220" s="651"/>
      <c r="BB220" s="21"/>
      <c r="BC220" s="640"/>
      <c r="BD220" s="67"/>
      <c r="BE220" s="631" t="s">
        <v>48</v>
      </c>
      <c r="BF220" s="48"/>
      <c r="BG220" s="21"/>
      <c r="BH220" s="709"/>
      <c r="BI220" s="640"/>
      <c r="BJ220" s="67"/>
      <c r="BK220" s="556" t="s">
        <v>48</v>
      </c>
      <c r="BL220" s="48"/>
      <c r="BM220" s="21"/>
      <c r="BN220" s="709"/>
      <c r="BO220" s="1051"/>
      <c r="BP220" s="88" t="s">
        <v>48</v>
      </c>
      <c r="BQ220" s="1131"/>
      <c r="BR220" s="1149" t="s">
        <v>48</v>
      </c>
      <c r="BS220" s="312"/>
      <c r="BT220" s="48"/>
      <c r="BU220" s="21"/>
      <c r="BV220" s="715"/>
      <c r="BW220" s="760"/>
      <c r="BX220" s="67"/>
      <c r="BY220" s="47"/>
      <c r="BZ220" s="48"/>
      <c r="CA220" s="21"/>
      <c r="CB220" s="268"/>
      <c r="CC220" s="720"/>
      <c r="CD220" s="311"/>
      <c r="CE220" s="59"/>
      <c r="CF220" s="64"/>
      <c r="CG220" s="21"/>
      <c r="CH220" s="268"/>
      <c r="CI220" s="672"/>
      <c r="CJ220" s="703"/>
      <c r="CK220" s="59"/>
      <c r="CL220" s="787"/>
      <c r="CM220" s="21"/>
      <c r="CN220" s="271"/>
      <c r="CO220" s="917"/>
      <c r="CP220" s="45"/>
      <c r="CQ220" s="59"/>
      <c r="CR220" s="64"/>
      <c r="CS220" s="21"/>
      <c r="CT220" s="709"/>
      <c r="CU220" s="1052"/>
      <c r="CV220" s="198"/>
      <c r="CW220" s="328" t="s">
        <v>48</v>
      </c>
      <c r="CX220" s="200"/>
      <c r="CY220" s="567"/>
      <c r="CZ220" s="942"/>
      <c r="DA220" s="21"/>
      <c r="DB220" s="709"/>
      <c r="DC220" s="796"/>
      <c r="DD220" s="311"/>
      <c r="DE220" s="703"/>
      <c r="DF220" s="183" t="s">
        <v>48</v>
      </c>
      <c r="DG220" s="64"/>
      <c r="DH220" s="20"/>
      <c r="DI220" s="271"/>
      <c r="DJ220" s="760"/>
      <c r="DK220" s="45"/>
      <c r="DL220" s="59"/>
      <c r="DM220" s="64"/>
      <c r="DN220" s="20"/>
      <c r="DO220" s="715"/>
      <c r="DP220" s="789"/>
      <c r="DQ220" s="738"/>
      <c r="DR220" s="59"/>
      <c r="DS220" s="64"/>
      <c r="DT220" s="20"/>
      <c r="DU220" s="274"/>
      <c r="DV220" s="761"/>
      <c r="DW220" s="45"/>
      <c r="DX220" s="59"/>
      <c r="DY220" s="59"/>
      <c r="DZ220" s="64"/>
      <c r="EA220" s="20"/>
      <c r="EB220" s="271"/>
      <c r="EC220" s="760"/>
      <c r="ED220" s="45"/>
      <c r="EE220" s="59"/>
      <c r="EF220" s="64"/>
      <c r="EG220" s="20"/>
      <c r="EH220" s="709"/>
      <c r="EI220" s="796"/>
      <c r="EJ220" s="738"/>
      <c r="EK220" s="328" t="s">
        <v>48</v>
      </c>
      <c r="EL220" s="772"/>
      <c r="EM220" s="20"/>
      <c r="EN220" s="709"/>
    </row>
    <row r="221" spans="1:145" ht="19.899999999999999" customHeight="1" thickTop="1" thickBot="1" x14ac:dyDescent="0.25">
      <c r="B221" s="959">
        <f>B216+1</f>
        <v>25</v>
      </c>
      <c r="C221" s="89">
        <f>C216+7</f>
        <v>46188</v>
      </c>
      <c r="D221" s="4"/>
      <c r="E221" s="24"/>
      <c r="F221" s="525"/>
      <c r="G221" s="963"/>
      <c r="H221" s="4"/>
      <c r="I221" s="707" t="s">
        <v>216</v>
      </c>
      <c r="J221" s="209" t="s">
        <v>223</v>
      </c>
      <c r="K221" s="314"/>
      <c r="L221" s="51"/>
      <c r="M221" s="308"/>
      <c r="N221" s="306"/>
      <c r="O221" s="24"/>
      <c r="P221" s="707" t="s">
        <v>216</v>
      </c>
      <c r="Q221" s="209" t="s">
        <v>223</v>
      </c>
      <c r="R221" s="308"/>
      <c r="S221" s="209" t="s">
        <v>223</v>
      </c>
      <c r="T221" s="308"/>
      <c r="U221" s="314"/>
      <c r="V221" s="51"/>
      <c r="W221" s="24"/>
      <c r="X221" s="713" t="s">
        <v>149</v>
      </c>
      <c r="Y221" s="834" t="s">
        <v>217</v>
      </c>
      <c r="Z221" s="71"/>
      <c r="AA221" s="173"/>
      <c r="AB221" s="72"/>
      <c r="AC221" s="728" t="s">
        <v>48</v>
      </c>
      <c r="AD221" s="21"/>
      <c r="AE221" s="713" t="s">
        <v>149</v>
      </c>
      <c r="AF221" s="834" t="s">
        <v>217</v>
      </c>
      <c r="AG221" s="834" t="s">
        <v>217</v>
      </c>
      <c r="AH221" s="834" t="s">
        <v>217</v>
      </c>
      <c r="AI221" s="834" t="s">
        <v>217</v>
      </c>
      <c r="AJ221" s="71"/>
      <c r="AK221" s="173"/>
      <c r="AL221" s="72"/>
      <c r="AM221" s="728" t="s">
        <v>48</v>
      </c>
      <c r="AN221" s="21"/>
      <c r="AO221" s="707" t="s">
        <v>439</v>
      </c>
      <c r="AP221" s="209" t="s">
        <v>223</v>
      </c>
      <c r="AQ221" s="314"/>
      <c r="AR221" s="308"/>
      <c r="AS221" s="308"/>
      <c r="AT221" s="306"/>
      <c r="AU221" s="21"/>
      <c r="AV221" s="707" t="s">
        <v>439</v>
      </c>
      <c r="AW221" s="209" t="s">
        <v>223</v>
      </c>
      <c r="AX221" s="314"/>
      <c r="AY221" s="51"/>
      <c r="AZ221" s="308"/>
      <c r="BA221" s="306"/>
      <c r="BB221" s="21"/>
      <c r="BC221" s="646" t="s">
        <v>68</v>
      </c>
      <c r="BD221" s="133"/>
      <c r="BE221" s="103"/>
      <c r="BF221" s="104"/>
      <c r="BG221" s="21"/>
      <c r="BH221" s="707" t="s">
        <v>69</v>
      </c>
      <c r="BI221" s="646" t="s">
        <v>68</v>
      </c>
      <c r="BJ221" s="133"/>
      <c r="BK221" s="103"/>
      <c r="BL221" s="104"/>
      <c r="BM221" s="21"/>
      <c r="BN221" s="707" t="s">
        <v>69</v>
      </c>
      <c r="BO221" s="646" t="s">
        <v>68</v>
      </c>
      <c r="BP221" s="1162"/>
      <c r="BQ221" s="1055" t="s">
        <v>68</v>
      </c>
      <c r="BR221" s="133"/>
      <c r="BS221" s="103"/>
      <c r="BT221" s="104"/>
      <c r="BU221" s="21"/>
      <c r="BV221" s="268"/>
      <c r="BW221" s="760"/>
      <c r="BX221" s="132"/>
      <c r="BY221" s="56"/>
      <c r="BZ221" s="57"/>
      <c r="CA221" s="21"/>
      <c r="CB221" s="268"/>
      <c r="CC221" s="720"/>
      <c r="CD221" s="314"/>
      <c r="CE221" s="39"/>
      <c r="CF221" s="35"/>
      <c r="CG221" s="21"/>
      <c r="CH221" s="268"/>
      <c r="CI221" s="672"/>
      <c r="CJ221" s="694" t="s">
        <v>212</v>
      </c>
      <c r="CK221" s="39"/>
      <c r="CL221" s="35"/>
      <c r="CM221" s="21"/>
      <c r="CN221" s="271"/>
      <c r="CO221" s="917"/>
      <c r="CP221" s="61"/>
      <c r="CQ221" s="39"/>
      <c r="CR221" s="35"/>
      <c r="CS221" s="21"/>
      <c r="CT221" s="707" t="s">
        <v>69</v>
      </c>
      <c r="CU221" s="942" t="s">
        <v>26</v>
      </c>
      <c r="CV221" s="37"/>
      <c r="CW221" s="58"/>
      <c r="CX221" s="201"/>
      <c r="CY221" s="567"/>
      <c r="CZ221" s="942"/>
      <c r="DA221" s="21"/>
      <c r="DB221" s="274"/>
      <c r="DC221" s="777" t="s">
        <v>333</v>
      </c>
      <c r="DD221" s="61"/>
      <c r="DE221" s="694" t="s">
        <v>214</v>
      </c>
      <c r="DF221" s="39"/>
      <c r="DG221" s="936" t="s">
        <v>393</v>
      </c>
      <c r="DH221" s="20"/>
      <c r="DI221" s="271"/>
      <c r="DJ221" s="760"/>
      <c r="DK221" s="61"/>
      <c r="DL221" s="39"/>
      <c r="DM221" s="35"/>
      <c r="DN221" s="20"/>
      <c r="DO221" s="268"/>
      <c r="DP221" s="789"/>
      <c r="DQ221" s="61"/>
      <c r="DR221" s="39"/>
      <c r="DS221" s="306"/>
      <c r="DT221" s="20"/>
      <c r="DU221" s="274"/>
      <c r="DV221" s="789" t="s">
        <v>341</v>
      </c>
      <c r="DW221" s="61"/>
      <c r="DX221" s="694" t="s">
        <v>204</v>
      </c>
      <c r="DY221" s="39"/>
      <c r="DZ221" s="35"/>
      <c r="EA221" s="20"/>
      <c r="EB221" s="271"/>
      <c r="EC221" s="760"/>
      <c r="ED221" s="61"/>
      <c r="EE221" s="39"/>
      <c r="EF221" s="35"/>
      <c r="EG221" s="20"/>
      <c r="EH221" s="268"/>
      <c r="EI221" s="760" t="s">
        <v>26</v>
      </c>
      <c r="EJ221" s="61"/>
      <c r="EK221" s="39"/>
      <c r="EL221" s="35"/>
      <c r="EM221" s="20"/>
      <c r="EN221" s="707" t="s">
        <v>283</v>
      </c>
    </row>
    <row r="222" spans="1:145" ht="19.899999999999999" customHeight="1" thickTop="1" x14ac:dyDescent="0.2">
      <c r="B222" s="960"/>
      <c r="C222" s="33">
        <f>C221+1</f>
        <v>46189</v>
      </c>
      <c r="D222" s="1"/>
      <c r="E222" s="23"/>
      <c r="F222" s="526"/>
      <c r="G222" s="963"/>
      <c r="H222" s="1"/>
      <c r="I222" s="708"/>
      <c r="J222" s="646" t="s">
        <v>68</v>
      </c>
      <c r="K222" s="154"/>
      <c r="L222" s="106"/>
      <c r="M222" s="106"/>
      <c r="N222" s="155"/>
      <c r="O222" s="23"/>
      <c r="P222" s="708"/>
      <c r="Q222" s="646" t="s">
        <v>68</v>
      </c>
      <c r="R222" s="106"/>
      <c r="S222" s="646" t="s">
        <v>68</v>
      </c>
      <c r="T222" s="106"/>
      <c r="U222" s="154"/>
      <c r="V222" s="106"/>
      <c r="W222" s="23"/>
      <c r="X222" s="714"/>
      <c r="Y222" s="666"/>
      <c r="Z222" s="73"/>
      <c r="AA222" s="53"/>
      <c r="AB222" s="42"/>
      <c r="AC222" s="729"/>
      <c r="AD222" s="21"/>
      <c r="AE222" s="714"/>
      <c r="AF222" s="666"/>
      <c r="AG222" s="666"/>
      <c r="AH222" s="666"/>
      <c r="AI222" s="666"/>
      <c r="AJ222" s="73"/>
      <c r="AK222" s="53"/>
      <c r="AL222" s="42"/>
      <c r="AM222" s="729"/>
      <c r="AN222" s="21"/>
      <c r="AO222" s="711"/>
      <c r="AP222" s="646" t="s">
        <v>68</v>
      </c>
      <c r="AQ222" s="138"/>
      <c r="AR222" s="126"/>
      <c r="AS222" s="97"/>
      <c r="AT222" s="127"/>
      <c r="AU222" s="21"/>
      <c r="AV222" s="711"/>
      <c r="AW222" s="646" t="s">
        <v>68</v>
      </c>
      <c r="AX222" s="124"/>
      <c r="AY222" s="125"/>
      <c r="AZ222" s="126"/>
      <c r="BA222" s="127"/>
      <c r="BB222" s="21"/>
      <c r="BC222" s="647"/>
      <c r="BD222" s="154"/>
      <c r="BE222" s="106"/>
      <c r="BF222" s="155"/>
      <c r="BG222" s="21"/>
      <c r="BH222" s="711"/>
      <c r="BI222" s="647"/>
      <c r="BJ222" s="154"/>
      <c r="BK222" s="106"/>
      <c r="BL222" s="155"/>
      <c r="BM222" s="21"/>
      <c r="BN222" s="711"/>
      <c r="BO222" s="647"/>
      <c r="BP222" s="138"/>
      <c r="BQ222" s="1056"/>
      <c r="BR222" s="124"/>
      <c r="BS222" s="126"/>
      <c r="BT222" s="127"/>
      <c r="BU222" s="21"/>
      <c r="BV222" s="268"/>
      <c r="BW222" s="760"/>
      <c r="BX222" s="63"/>
      <c r="BY222" s="42"/>
      <c r="BZ222" s="43"/>
      <c r="CA222" s="21"/>
      <c r="CB222" s="268"/>
      <c r="CC222" s="720"/>
      <c r="CD222" s="309"/>
      <c r="CE222" s="44"/>
      <c r="CF222" s="36"/>
      <c r="CG222" s="21"/>
      <c r="CH222" s="268"/>
      <c r="CI222" s="672"/>
      <c r="CJ222" s="695"/>
      <c r="CK222" s="195"/>
      <c r="CL222" s="36"/>
      <c r="CM222" s="21"/>
      <c r="CN222" s="268"/>
      <c r="CO222" s="917"/>
      <c r="CP222" s="40"/>
      <c r="CQ222" s="44"/>
      <c r="CR222" s="36"/>
      <c r="CS222" s="21"/>
      <c r="CT222" s="708"/>
      <c r="CU222" s="942"/>
      <c r="CV222" s="73"/>
      <c r="CW222" s="42"/>
      <c r="CX222" s="43"/>
      <c r="CY222" s="567"/>
      <c r="CZ222" s="942"/>
      <c r="DA222" s="21"/>
      <c r="DB222" s="274"/>
      <c r="DC222" s="777"/>
      <c r="DD222" s="40"/>
      <c r="DE222" s="695"/>
      <c r="DF222" s="44"/>
      <c r="DG222" s="937"/>
      <c r="DH222" s="20"/>
      <c r="DI222" s="268"/>
      <c r="DJ222" s="760"/>
      <c r="DK222" s="40"/>
      <c r="DL222" s="44"/>
      <c r="DM222" s="36"/>
      <c r="DN222" s="20"/>
      <c r="DO222" s="268"/>
      <c r="DP222" s="789"/>
      <c r="DQ222" s="40"/>
      <c r="DR222" s="44"/>
      <c r="DS222" s="307"/>
      <c r="DT222" s="20"/>
      <c r="DU222" s="274"/>
      <c r="DV222" s="789"/>
      <c r="DW222" s="40"/>
      <c r="DX222" s="695"/>
      <c r="DY222" s="44"/>
      <c r="DZ222" s="36"/>
      <c r="EA222" s="20"/>
      <c r="EB222" s="268"/>
      <c r="EC222" s="760"/>
      <c r="ED222" s="40"/>
      <c r="EE222" s="44"/>
      <c r="EF222" s="36"/>
      <c r="EG222" s="20"/>
      <c r="EH222" s="268"/>
      <c r="EI222" s="760"/>
      <c r="EJ222" s="40"/>
      <c r="EK222" s="44"/>
      <c r="EL222" s="36"/>
      <c r="EM222" s="20"/>
      <c r="EN222" s="711"/>
    </row>
    <row r="223" spans="1:145" ht="19.899999999999999" customHeight="1" x14ac:dyDescent="0.2">
      <c r="B223" s="960"/>
      <c r="C223" s="33">
        <f>C222+1</f>
        <v>46190</v>
      </c>
      <c r="D223" s="1"/>
      <c r="E223" s="23"/>
      <c r="F223" s="526"/>
      <c r="G223" s="963"/>
      <c r="H223" s="1"/>
      <c r="I223" s="708"/>
      <c r="J223" s="647"/>
      <c r="K223" s="121"/>
      <c r="L223" s="107"/>
      <c r="M223" s="106"/>
      <c r="N223" s="123"/>
      <c r="O223" s="23"/>
      <c r="P223" s="708"/>
      <c r="Q223" s="647"/>
      <c r="R223" s="106"/>
      <c r="S223" s="647"/>
      <c r="T223" s="106"/>
      <c r="U223" s="121"/>
      <c r="V223" s="107"/>
      <c r="W223" s="23"/>
      <c r="X223" s="714"/>
      <c r="Y223" s="666"/>
      <c r="Z223" s="309"/>
      <c r="AA223" s="53"/>
      <c r="AB223" s="310"/>
      <c r="AC223" s="729"/>
      <c r="AD223" s="21"/>
      <c r="AE223" s="714"/>
      <c r="AF223" s="666"/>
      <c r="AG223" s="666"/>
      <c r="AH223" s="666"/>
      <c r="AI223" s="666"/>
      <c r="AJ223" s="40"/>
      <c r="AK223" s="53"/>
      <c r="AL223" s="44"/>
      <c r="AM223" s="729"/>
      <c r="AN223" s="21"/>
      <c r="AO223" s="711"/>
      <c r="AP223" s="647"/>
      <c r="AQ223" s="138"/>
      <c r="AR223" s="126"/>
      <c r="AS223" s="97"/>
      <c r="AT223" s="127"/>
      <c r="AU223" s="21"/>
      <c r="AV223" s="711"/>
      <c r="AW223" s="647"/>
      <c r="AX223" s="121"/>
      <c r="AY223" s="122"/>
      <c r="AZ223" s="107"/>
      <c r="BA223" s="123"/>
      <c r="BB223" s="21"/>
      <c r="BC223" s="647"/>
      <c r="BD223" s="121"/>
      <c r="BE223" s="107"/>
      <c r="BF223" s="123"/>
      <c r="BG223" s="21"/>
      <c r="BH223" s="711"/>
      <c r="BI223" s="647"/>
      <c r="BJ223" s="121"/>
      <c r="BK223" s="107"/>
      <c r="BL223" s="123"/>
      <c r="BM223" s="21"/>
      <c r="BN223" s="711"/>
      <c r="BO223" s="647"/>
      <c r="BP223" s="138"/>
      <c r="BQ223" s="1056"/>
      <c r="BR223" s="124"/>
      <c r="BS223" s="126"/>
      <c r="BT223" s="127"/>
      <c r="BU223" s="21"/>
      <c r="BV223" s="268"/>
      <c r="BW223" s="760"/>
      <c r="BX223" s="63"/>
      <c r="BY223" s="44"/>
      <c r="BZ223" s="36"/>
      <c r="CA223" s="21"/>
      <c r="CB223" s="268"/>
      <c r="CC223" s="720"/>
      <c r="CD223" s="309"/>
      <c r="CE223" s="44"/>
      <c r="CF223" s="36"/>
      <c r="CG223" s="21"/>
      <c r="CH223" s="268"/>
      <c r="CI223" s="672"/>
      <c r="CJ223" s="695"/>
      <c r="CK223" s="195"/>
      <c r="CL223" s="36"/>
      <c r="CM223" s="21"/>
      <c r="CN223" s="268"/>
      <c r="CO223" s="917"/>
      <c r="CP223" s="40"/>
      <c r="CQ223" s="44"/>
      <c r="CR223" s="36"/>
      <c r="CS223" s="21"/>
      <c r="CT223" s="708"/>
      <c r="CU223" s="942"/>
      <c r="CV223" s="73"/>
      <c r="CW223" s="42"/>
      <c r="CX223" s="43"/>
      <c r="CY223" s="567"/>
      <c r="CZ223" s="942"/>
      <c r="DA223" s="21"/>
      <c r="DB223" s="274"/>
      <c r="DC223" s="777"/>
      <c r="DD223" s="40"/>
      <c r="DE223" s="695"/>
      <c r="DF223" s="310"/>
      <c r="DG223" s="937"/>
      <c r="DH223" s="20"/>
      <c r="DI223" s="268"/>
      <c r="DJ223" s="760"/>
      <c r="DK223" s="40"/>
      <c r="DL223" s="44"/>
      <c r="DM223" s="36"/>
      <c r="DN223" s="20"/>
      <c r="DO223" s="268"/>
      <c r="DP223" s="789"/>
      <c r="DQ223" s="40"/>
      <c r="DR223" s="310"/>
      <c r="DS223" s="307"/>
      <c r="DT223" s="20"/>
      <c r="DU223" s="274"/>
      <c r="DV223" s="789"/>
      <c r="DW223" s="40"/>
      <c r="DX223" s="695"/>
      <c r="DY223" s="310"/>
      <c r="DZ223" s="36"/>
      <c r="EA223" s="20"/>
      <c r="EB223" s="268"/>
      <c r="EC223" s="760"/>
      <c r="ED223" s="40"/>
      <c r="EE223" s="44"/>
      <c r="EF223" s="36"/>
      <c r="EG223" s="20"/>
      <c r="EH223" s="268"/>
      <c r="EI223" s="760"/>
      <c r="EJ223" s="40"/>
      <c r="EK223" s="44"/>
      <c r="EL223" s="36"/>
      <c r="EM223" s="20"/>
      <c r="EN223" s="711"/>
    </row>
    <row r="224" spans="1:145" ht="19.899999999999999" customHeight="1" x14ac:dyDescent="0.2">
      <c r="B224" s="960"/>
      <c r="C224" s="33">
        <f>C223+1</f>
        <v>46191</v>
      </c>
      <c r="D224" s="1"/>
      <c r="E224" s="22" t="s">
        <v>403</v>
      </c>
      <c r="F224" s="585"/>
      <c r="G224" s="963"/>
      <c r="H224" s="1"/>
      <c r="I224" s="708"/>
      <c r="J224" s="647"/>
      <c r="K224" s="121"/>
      <c r="L224" s="107"/>
      <c r="M224" s="66" t="s">
        <v>80</v>
      </c>
      <c r="N224" s="123"/>
      <c r="O224" s="23"/>
      <c r="P224" s="708"/>
      <c r="Q224" s="647"/>
      <c r="R224" s="622" t="s">
        <v>80</v>
      </c>
      <c r="S224" s="647"/>
      <c r="T224" s="66" t="s">
        <v>80</v>
      </c>
      <c r="U224" s="121"/>
      <c r="V224" s="107"/>
      <c r="W224" s="23"/>
      <c r="X224" s="714"/>
      <c r="Y224" s="666"/>
      <c r="Z224" s="309"/>
      <c r="AA224" s="53"/>
      <c r="AB224" s="310"/>
      <c r="AC224" s="729"/>
      <c r="AD224" s="21"/>
      <c r="AE224" s="714"/>
      <c r="AF224" s="666"/>
      <c r="AG224" s="666"/>
      <c r="AH224" s="666"/>
      <c r="AI224" s="666"/>
      <c r="AJ224" s="40"/>
      <c r="AK224" s="53"/>
      <c r="AL224" s="44"/>
      <c r="AM224" s="729"/>
      <c r="AN224" s="21"/>
      <c r="AO224" s="711"/>
      <c r="AP224" s="647"/>
      <c r="AQ224" s="138"/>
      <c r="AR224" s="126"/>
      <c r="AS224" s="66" t="s">
        <v>80</v>
      </c>
      <c r="AT224" s="127"/>
      <c r="AU224" s="21"/>
      <c r="AV224" s="711"/>
      <c r="AW224" s="647"/>
      <c r="AX224" s="124"/>
      <c r="AY224" s="125"/>
      <c r="AZ224" s="66" t="s">
        <v>80</v>
      </c>
      <c r="BA224" s="127"/>
      <c r="BB224" s="21"/>
      <c r="BC224" s="647"/>
      <c r="BD224" s="121"/>
      <c r="BE224" s="66" t="s">
        <v>80</v>
      </c>
      <c r="BF224" s="123"/>
      <c r="BG224" s="21"/>
      <c r="BH224" s="711"/>
      <c r="BI224" s="647"/>
      <c r="BJ224" s="121"/>
      <c r="BK224" s="66" t="s">
        <v>80</v>
      </c>
      <c r="BL224" s="123"/>
      <c r="BM224" s="21"/>
      <c r="BN224" s="711"/>
      <c r="BO224" s="647"/>
      <c r="BP224" s="1163" t="s">
        <v>80</v>
      </c>
      <c r="BQ224" s="1056"/>
      <c r="BR224" s="1141" t="s">
        <v>80</v>
      </c>
      <c r="BS224" s="126"/>
      <c r="BT224" s="127"/>
      <c r="BU224" s="21"/>
      <c r="BV224" s="268"/>
      <c r="BW224" s="760"/>
      <c r="BX224" s="40"/>
      <c r="BY224" s="44"/>
      <c r="BZ224" s="36"/>
      <c r="CA224" s="21"/>
      <c r="CB224" s="268"/>
      <c r="CC224" s="720"/>
      <c r="CD224" s="309"/>
      <c r="CE224" s="44"/>
      <c r="CF224" s="36"/>
      <c r="CG224" s="21"/>
      <c r="CH224" s="268"/>
      <c r="CI224" s="672"/>
      <c r="CJ224" s="695"/>
      <c r="CK224" s="195"/>
      <c r="CL224" s="36"/>
      <c r="CM224" s="21"/>
      <c r="CN224" s="268"/>
      <c r="CO224" s="917"/>
      <c r="CP224" s="40"/>
      <c r="CQ224" s="44"/>
      <c r="CR224" s="36"/>
      <c r="CS224" s="21"/>
      <c r="CT224" s="708"/>
      <c r="CU224" s="942"/>
      <c r="CV224" s="73"/>
      <c r="CW224" s="42"/>
      <c r="CX224" s="43"/>
      <c r="CY224" s="567"/>
      <c r="CZ224" s="942"/>
      <c r="DA224" s="21"/>
      <c r="DB224" s="274"/>
      <c r="DC224" s="777"/>
      <c r="DD224" s="40"/>
      <c r="DE224" s="695"/>
      <c r="DF224" s="44"/>
      <c r="DG224" s="937"/>
      <c r="DH224" s="20"/>
      <c r="DI224" s="268"/>
      <c r="DJ224" s="760"/>
      <c r="DK224" s="40"/>
      <c r="DL224" s="44"/>
      <c r="DM224" s="36"/>
      <c r="DN224" s="20"/>
      <c r="DO224" s="268"/>
      <c r="DP224" s="789"/>
      <c r="DQ224" s="40"/>
      <c r="DR224" s="310"/>
      <c r="DS224" s="307"/>
      <c r="DT224" s="20"/>
      <c r="DU224" s="274"/>
      <c r="DV224" s="789"/>
      <c r="DW224" s="40"/>
      <c r="DX224" s="695"/>
      <c r="DY224" s="66" t="s">
        <v>80</v>
      </c>
      <c r="DZ224" s="36"/>
      <c r="EA224" s="20"/>
      <c r="EB224" s="268"/>
      <c r="EC224" s="760"/>
      <c r="ED224" s="40"/>
      <c r="EE224" s="44"/>
      <c r="EF224" s="36"/>
      <c r="EG224" s="20"/>
      <c r="EH224" s="268"/>
      <c r="EI224" s="760"/>
      <c r="EJ224" s="40"/>
      <c r="EK224" s="44"/>
      <c r="EL224" s="36"/>
      <c r="EM224" s="20"/>
      <c r="EN224" s="711"/>
    </row>
    <row r="225" spans="1:144" ht="19.899999999999999" customHeight="1" thickBot="1" x14ac:dyDescent="0.25">
      <c r="B225" s="961"/>
      <c r="C225" s="34">
        <f>C224+1</f>
        <v>46192</v>
      </c>
      <c r="D225" s="1"/>
      <c r="E225" s="23"/>
      <c r="F225" s="526"/>
      <c r="G225" s="963"/>
      <c r="H225" s="1"/>
      <c r="I225" s="709"/>
      <c r="J225" s="647"/>
      <c r="K225" s="156"/>
      <c r="L225" s="115"/>
      <c r="M225" s="115"/>
      <c r="N225" s="157"/>
      <c r="O225" s="23"/>
      <c r="P225" s="709"/>
      <c r="Q225" s="647"/>
      <c r="R225" s="115"/>
      <c r="S225" s="647"/>
      <c r="T225" s="115"/>
      <c r="U225" s="156"/>
      <c r="V225" s="115"/>
      <c r="W225" s="23"/>
      <c r="X225" s="715"/>
      <c r="Y225" s="666"/>
      <c r="Z225" s="311"/>
      <c r="AA225" s="70"/>
      <c r="AB225" s="313"/>
      <c r="AC225" s="730"/>
      <c r="AD225" s="21"/>
      <c r="AE225" s="715"/>
      <c r="AF225" s="666"/>
      <c r="AG225" s="666"/>
      <c r="AH225" s="666"/>
      <c r="AI225" s="666"/>
      <c r="AJ225" s="45"/>
      <c r="AK225" s="70"/>
      <c r="AL225" s="59"/>
      <c r="AM225" s="730"/>
      <c r="AN225" s="21"/>
      <c r="AO225" s="712"/>
      <c r="AP225" s="647"/>
      <c r="AQ225" s="111"/>
      <c r="AR225" s="109"/>
      <c r="AS225" s="109"/>
      <c r="AT225" s="110"/>
      <c r="AU225" s="21"/>
      <c r="AV225" s="712"/>
      <c r="AW225" s="647"/>
      <c r="AX225" s="111"/>
      <c r="AY225" s="144"/>
      <c r="AZ225" s="109"/>
      <c r="BA225" s="110"/>
      <c r="BB225" s="21"/>
      <c r="BC225" s="647"/>
      <c r="BD225" s="156"/>
      <c r="BE225" s="115"/>
      <c r="BF225" s="157"/>
      <c r="BG225" s="21"/>
      <c r="BH225" s="712"/>
      <c r="BI225" s="647"/>
      <c r="BJ225" s="156"/>
      <c r="BK225" s="115"/>
      <c r="BL225" s="157"/>
      <c r="BM225" s="21"/>
      <c r="BN225" s="712"/>
      <c r="BO225" s="647"/>
      <c r="BP225" s="139"/>
      <c r="BQ225" s="1056"/>
      <c r="BR225" s="111"/>
      <c r="BS225" s="109"/>
      <c r="BT225" s="110"/>
      <c r="BU225" s="21"/>
      <c r="BV225" s="268"/>
      <c r="BW225" s="760"/>
      <c r="BX225" s="67"/>
      <c r="BY225" s="47"/>
      <c r="BZ225" s="48"/>
      <c r="CA225" s="21"/>
      <c r="CB225" s="268"/>
      <c r="CC225" s="720"/>
      <c r="CD225" s="311"/>
      <c r="CE225" s="59"/>
      <c r="CF225" s="64"/>
      <c r="CG225" s="21"/>
      <c r="CH225" s="268"/>
      <c r="CI225" s="672"/>
      <c r="CJ225" s="696"/>
      <c r="CK225" s="59"/>
      <c r="CL225" s="64"/>
      <c r="CM225" s="21"/>
      <c r="CN225" s="268"/>
      <c r="CO225" s="917"/>
      <c r="CP225" s="45"/>
      <c r="CQ225" s="59"/>
      <c r="CR225" s="64"/>
      <c r="CS225" s="21"/>
      <c r="CT225" s="709"/>
      <c r="CU225" s="942"/>
      <c r="CV225" s="198"/>
      <c r="CW225" s="199"/>
      <c r="CX225" s="200"/>
      <c r="CY225" s="567"/>
      <c r="CZ225" s="942"/>
      <c r="DA225" s="21"/>
      <c r="DB225" s="274"/>
      <c r="DC225" s="777"/>
      <c r="DD225" s="45"/>
      <c r="DE225" s="696"/>
      <c r="DF225" s="59"/>
      <c r="DG225" s="938"/>
      <c r="DH225" s="20"/>
      <c r="DI225" s="268"/>
      <c r="DJ225" s="760"/>
      <c r="DK225" s="45"/>
      <c r="DL225" s="59"/>
      <c r="DM225" s="64"/>
      <c r="DN225" s="20"/>
      <c r="DO225" s="268"/>
      <c r="DP225" s="796"/>
      <c r="DQ225" s="45"/>
      <c r="DR225" s="183" t="s">
        <v>48</v>
      </c>
      <c r="DS225" s="315"/>
      <c r="DT225" s="20"/>
      <c r="DU225" s="274"/>
      <c r="DV225" s="789"/>
      <c r="DW225" s="45"/>
      <c r="DX225" s="696"/>
      <c r="DY225" s="59"/>
      <c r="DZ225" s="64"/>
      <c r="EA225" s="20"/>
      <c r="EB225" s="268"/>
      <c r="EC225" s="760"/>
      <c r="ED225" s="45"/>
      <c r="EE225" s="59"/>
      <c r="EF225" s="64"/>
      <c r="EG225" s="20"/>
      <c r="EH225" s="268"/>
      <c r="EI225" s="760"/>
      <c r="EJ225" s="45"/>
      <c r="EK225" s="313"/>
      <c r="EL225" s="64"/>
      <c r="EM225" s="20"/>
      <c r="EN225" s="712"/>
    </row>
    <row r="226" spans="1:144" ht="33" customHeight="1" thickTop="1" x14ac:dyDescent="0.2">
      <c r="B226" s="959">
        <f>B221+1</f>
        <v>26</v>
      </c>
      <c r="C226" s="89">
        <f>C221+7</f>
        <v>46195</v>
      </c>
      <c r="D226" s="4"/>
      <c r="E226" s="24"/>
      <c r="F226" s="525"/>
      <c r="G226" s="963"/>
      <c r="H226" s="4"/>
      <c r="I226" s="707" t="s">
        <v>430</v>
      </c>
      <c r="J226" s="647"/>
      <c r="K226" s="133"/>
      <c r="L226" s="103"/>
      <c r="M226" s="103"/>
      <c r="N226" s="104"/>
      <c r="O226" s="24"/>
      <c r="P226" s="707" t="s">
        <v>430</v>
      </c>
      <c r="Q226" s="647"/>
      <c r="R226" s="103"/>
      <c r="S226" s="647"/>
      <c r="T226" s="103"/>
      <c r="U226" s="133"/>
      <c r="V226" s="103"/>
      <c r="W226" s="24"/>
      <c r="X226" s="270"/>
      <c r="Y226" s="490"/>
      <c r="Z226" s="314"/>
      <c r="AA226" s="51"/>
      <c r="AB226" s="308"/>
      <c r="AC226" s="306"/>
      <c r="AD226" s="21"/>
      <c r="AE226" s="270"/>
      <c r="AF226" s="490"/>
      <c r="AG226" s="490"/>
      <c r="AH226" s="490"/>
      <c r="AI226" s="490"/>
      <c r="AJ226" s="61"/>
      <c r="AK226" s="51"/>
      <c r="AL226" s="39"/>
      <c r="AM226" s="35"/>
      <c r="AN226" s="21"/>
      <c r="AO226" s="707" t="s">
        <v>183</v>
      </c>
      <c r="AP226" s="647"/>
      <c r="AQ226" s="133"/>
      <c r="AR226" s="103"/>
      <c r="AS226" s="103"/>
      <c r="AT226" s="104"/>
      <c r="AU226" s="21"/>
      <c r="AV226" s="707" t="s">
        <v>183</v>
      </c>
      <c r="AW226" s="647"/>
      <c r="AX226" s="133"/>
      <c r="AY226" s="145"/>
      <c r="AZ226" s="103"/>
      <c r="BA226" s="104"/>
      <c r="BB226" s="21"/>
      <c r="BC226" s="647"/>
      <c r="BD226" s="133"/>
      <c r="BE226" s="103"/>
      <c r="BF226" s="104"/>
      <c r="BG226" s="21"/>
      <c r="BH226" s="707" t="s">
        <v>183</v>
      </c>
      <c r="BI226" s="647"/>
      <c r="BJ226" s="133"/>
      <c r="BK226" s="103"/>
      <c r="BL226" s="104"/>
      <c r="BM226" s="21"/>
      <c r="BN226" s="707" t="s">
        <v>183</v>
      </c>
      <c r="BO226" s="647"/>
      <c r="BP226" s="1162"/>
      <c r="BQ226" s="1056"/>
      <c r="BR226" s="133"/>
      <c r="BS226" s="103"/>
      <c r="BT226" s="104"/>
      <c r="BU226" s="21"/>
      <c r="BV226" s="268"/>
      <c r="BW226" s="760"/>
      <c r="BX226" s="132"/>
      <c r="BY226" s="56"/>
      <c r="BZ226" s="57"/>
      <c r="CA226" s="21"/>
      <c r="CB226" s="268"/>
      <c r="CC226" s="720"/>
      <c r="CD226" s="314"/>
      <c r="CE226" s="39"/>
      <c r="CF226" s="35"/>
      <c r="CG226" s="21"/>
      <c r="CH226" s="707" t="s">
        <v>449</v>
      </c>
      <c r="CI226" s="672"/>
      <c r="CJ226" s="308"/>
      <c r="CK226" s="308"/>
      <c r="CL226" s="306"/>
      <c r="CM226" s="21"/>
      <c r="CN226" s="268"/>
      <c r="CO226" s="917"/>
      <c r="CP226" s="61"/>
      <c r="CQ226" s="39"/>
      <c r="CR226" s="35"/>
      <c r="CS226" s="21"/>
      <c r="CT226" s="268"/>
      <c r="CU226" s="942"/>
      <c r="CV226" s="37"/>
      <c r="CW226" s="58"/>
      <c r="CX226" s="201"/>
      <c r="CY226" s="567"/>
      <c r="CZ226" s="942"/>
      <c r="DA226" s="21"/>
      <c r="DB226" s="274"/>
      <c r="DC226" s="777"/>
      <c r="DD226" s="61"/>
      <c r="DE226" s="694" t="s">
        <v>212</v>
      </c>
      <c r="DF226" s="39"/>
      <c r="DG226" s="306"/>
      <c r="DH226" s="20"/>
      <c r="DI226" s="268"/>
      <c r="DJ226" s="760"/>
      <c r="DK226" s="61"/>
      <c r="DL226" s="39"/>
      <c r="DM226" s="35"/>
      <c r="DN226" s="20"/>
      <c r="DO226" s="707" t="s">
        <v>335</v>
      </c>
      <c r="DP226" s="795" t="s">
        <v>215</v>
      </c>
      <c r="DQ226" s="736" t="s">
        <v>272</v>
      </c>
      <c r="DR226" s="39"/>
      <c r="DS226" s="841" t="s">
        <v>125</v>
      </c>
      <c r="DT226" s="20"/>
      <c r="DU226" s="274"/>
      <c r="DV226" s="789"/>
      <c r="DW226" s="61"/>
      <c r="DX226" s="694" t="s">
        <v>214</v>
      </c>
      <c r="DY226" s="39"/>
      <c r="DZ226" s="35"/>
      <c r="EA226" s="20"/>
      <c r="EB226" s="268"/>
      <c r="EC226" s="760"/>
      <c r="ED226" s="61"/>
      <c r="EE226" s="39"/>
      <c r="EF226" s="35"/>
      <c r="EG226" s="20"/>
      <c r="EH226" s="268"/>
      <c r="EI226" s="760"/>
      <c r="EJ226" s="61"/>
      <c r="EK226" s="39"/>
      <c r="EL226" s="35"/>
      <c r="EM226" s="20"/>
      <c r="EN226" s="274"/>
    </row>
    <row r="227" spans="1:144" x14ac:dyDescent="0.2">
      <c r="B227" s="960"/>
      <c r="C227" s="33">
        <f>C226+1</f>
        <v>46196</v>
      </c>
      <c r="D227" s="1"/>
      <c r="E227" s="23"/>
      <c r="F227" s="526"/>
      <c r="G227" s="963"/>
      <c r="H227" s="1"/>
      <c r="I227" s="711"/>
      <c r="J227" s="647"/>
      <c r="K227" s="121"/>
      <c r="L227" s="107"/>
      <c r="M227" s="107"/>
      <c r="N227" s="123"/>
      <c r="O227" s="23"/>
      <c r="P227" s="711"/>
      <c r="Q227" s="647"/>
      <c r="R227" s="107"/>
      <c r="S227" s="647"/>
      <c r="T227" s="107"/>
      <c r="U227" s="121"/>
      <c r="V227" s="107"/>
      <c r="W227" s="23"/>
      <c r="X227" s="270"/>
      <c r="Y227" s="490"/>
      <c r="Z227" s="63"/>
      <c r="AA227" s="54"/>
      <c r="AB227" s="50"/>
      <c r="AC227" s="60"/>
      <c r="AD227" s="21"/>
      <c r="AE227" s="270"/>
      <c r="AF227" s="490"/>
      <c r="AG227" s="490"/>
      <c r="AH227" s="490"/>
      <c r="AI227" s="490"/>
      <c r="AJ227" s="63"/>
      <c r="AK227" s="54"/>
      <c r="AL227" s="50"/>
      <c r="AM227" s="60"/>
      <c r="AN227" s="21"/>
      <c r="AO227" s="711"/>
      <c r="AP227" s="647"/>
      <c r="AQ227" s="138"/>
      <c r="AR227" s="126"/>
      <c r="AS227" s="126"/>
      <c r="AT227" s="127"/>
      <c r="AU227" s="21"/>
      <c r="AV227" s="711"/>
      <c r="AW227" s="647"/>
      <c r="AX227" s="124"/>
      <c r="AY227" s="125"/>
      <c r="AZ227" s="126"/>
      <c r="BA227" s="127"/>
      <c r="BB227" s="21"/>
      <c r="BC227" s="647"/>
      <c r="BD227" s="154"/>
      <c r="BE227" s="106"/>
      <c r="BF227" s="155"/>
      <c r="BG227" s="21"/>
      <c r="BH227" s="711"/>
      <c r="BI227" s="647"/>
      <c r="BJ227" s="154"/>
      <c r="BK227" s="106"/>
      <c r="BL227" s="155"/>
      <c r="BM227" s="21"/>
      <c r="BN227" s="711"/>
      <c r="BO227" s="647"/>
      <c r="BP227" s="138"/>
      <c r="BQ227" s="1056"/>
      <c r="BR227" s="124"/>
      <c r="BS227" s="126"/>
      <c r="BT227" s="127"/>
      <c r="BU227" s="21"/>
      <c r="BV227" s="268"/>
      <c r="BW227" s="760"/>
      <c r="BX227" s="63"/>
      <c r="BY227" s="50"/>
      <c r="BZ227" s="60"/>
      <c r="CA227" s="21"/>
      <c r="CB227" s="268"/>
      <c r="CC227" s="720"/>
      <c r="CD227" s="309"/>
      <c r="CE227" s="44"/>
      <c r="CF227" s="36"/>
      <c r="CG227" s="21"/>
      <c r="CH227" s="708"/>
      <c r="CI227" s="672"/>
      <c r="CJ227" s="310"/>
      <c r="CK227" s="44"/>
      <c r="CL227" s="307"/>
      <c r="CM227" s="21"/>
      <c r="CN227" s="268"/>
      <c r="CO227" s="917"/>
      <c r="CP227" s="40"/>
      <c r="CQ227" s="44"/>
      <c r="CR227" s="36"/>
      <c r="CS227" s="21"/>
      <c r="CT227" s="268"/>
      <c r="CU227" s="942"/>
      <c r="CV227" s="73"/>
      <c r="CW227" s="42"/>
      <c r="CX227" s="43"/>
      <c r="CY227" s="567"/>
      <c r="CZ227" s="942"/>
      <c r="DA227" s="21"/>
      <c r="DB227" s="274"/>
      <c r="DC227" s="777"/>
      <c r="DD227" s="40"/>
      <c r="DE227" s="695"/>
      <c r="DF227" s="44"/>
      <c r="DG227" s="307"/>
      <c r="DH227" s="20"/>
      <c r="DI227" s="268"/>
      <c r="DJ227" s="760"/>
      <c r="DK227" s="40"/>
      <c r="DL227" s="44"/>
      <c r="DM227" s="36"/>
      <c r="DN227" s="20"/>
      <c r="DO227" s="708"/>
      <c r="DP227" s="789"/>
      <c r="DQ227" s="737"/>
      <c r="DR227" s="44"/>
      <c r="DS227" s="842"/>
      <c r="DT227" s="20"/>
      <c r="DU227" s="274"/>
      <c r="DV227" s="789"/>
      <c r="DW227" s="40"/>
      <c r="DX227" s="695"/>
      <c r="DY227" s="44"/>
      <c r="DZ227" s="36"/>
      <c r="EA227" s="20"/>
      <c r="EB227" s="268"/>
      <c r="EC227" s="760"/>
      <c r="ED227" s="40"/>
      <c r="EE227" s="44"/>
      <c r="EF227" s="36"/>
      <c r="EG227" s="20"/>
      <c r="EH227" s="268"/>
      <c r="EI227" s="760"/>
      <c r="EJ227" s="40"/>
      <c r="EK227" s="44"/>
      <c r="EL227" s="36"/>
      <c r="EM227" s="20"/>
      <c r="EN227" s="274"/>
    </row>
    <row r="228" spans="1:144" x14ac:dyDescent="0.2">
      <c r="B228" s="960"/>
      <c r="C228" s="33">
        <f>C227+1</f>
        <v>46197</v>
      </c>
      <c r="D228" s="1"/>
      <c r="E228" s="23"/>
      <c r="F228" s="526"/>
      <c r="G228" s="963"/>
      <c r="H228" s="1"/>
      <c r="I228" s="711"/>
      <c r="J228" s="647"/>
      <c r="K228" s="124"/>
      <c r="L228" s="126"/>
      <c r="M228" s="107"/>
      <c r="N228" s="127"/>
      <c r="O228" s="23"/>
      <c r="P228" s="711"/>
      <c r="Q228" s="647"/>
      <c r="R228" s="107"/>
      <c r="S228" s="647"/>
      <c r="T228" s="107"/>
      <c r="U228" s="124"/>
      <c r="V228" s="126"/>
      <c r="W228" s="23"/>
      <c r="X228" s="270"/>
      <c r="Y228" s="490"/>
      <c r="Z228" s="309"/>
      <c r="AA228" s="41"/>
      <c r="AB228" s="310"/>
      <c r="AC228" s="307"/>
      <c r="AD228" s="21"/>
      <c r="AE228" s="270"/>
      <c r="AF228" s="490"/>
      <c r="AG228" s="490"/>
      <c r="AH228" s="490"/>
      <c r="AI228" s="490"/>
      <c r="AJ228" s="40"/>
      <c r="AK228" s="41"/>
      <c r="AL228" s="44"/>
      <c r="AM228" s="36"/>
      <c r="AN228" s="21"/>
      <c r="AO228" s="711"/>
      <c r="AP228" s="647"/>
      <c r="AQ228" s="138"/>
      <c r="AR228" s="126"/>
      <c r="AS228" s="126"/>
      <c r="AT228" s="127"/>
      <c r="AU228" s="21"/>
      <c r="AV228" s="711"/>
      <c r="AW228" s="647"/>
      <c r="AX228" s="121"/>
      <c r="AY228" s="122"/>
      <c r="AZ228" s="107"/>
      <c r="BA228" s="123"/>
      <c r="BB228" s="21"/>
      <c r="BC228" s="647"/>
      <c r="BD228" s="121"/>
      <c r="BE228" s="107"/>
      <c r="BF228" s="123"/>
      <c r="BG228" s="21"/>
      <c r="BH228" s="711"/>
      <c r="BI228" s="647"/>
      <c r="BJ228" s="121"/>
      <c r="BK228" s="107"/>
      <c r="BL228" s="123"/>
      <c r="BM228" s="21"/>
      <c r="BN228" s="711"/>
      <c r="BO228" s="647"/>
      <c r="BP228" s="138"/>
      <c r="BQ228" s="1056"/>
      <c r="BR228" s="124"/>
      <c r="BS228" s="126"/>
      <c r="BT228" s="127"/>
      <c r="BU228" s="21"/>
      <c r="BV228" s="268"/>
      <c r="BW228" s="760"/>
      <c r="BX228" s="40"/>
      <c r="BY228" s="44"/>
      <c r="BZ228" s="36"/>
      <c r="CA228" s="21"/>
      <c r="CB228" s="268"/>
      <c r="CC228" s="720"/>
      <c r="CD228" s="309"/>
      <c r="CE228" s="44"/>
      <c r="CF228" s="36"/>
      <c r="CG228" s="21"/>
      <c r="CH228" s="708"/>
      <c r="CI228" s="672"/>
      <c r="CJ228" s="310"/>
      <c r="CK228" s="44"/>
      <c r="CL228" s="307"/>
      <c r="CM228" s="21"/>
      <c r="CN228" s="268"/>
      <c r="CO228" s="917"/>
      <c r="CP228" s="40"/>
      <c r="CQ228" s="44"/>
      <c r="CR228" s="36"/>
      <c r="CS228" s="21"/>
      <c r="CT228" s="268"/>
      <c r="CU228" s="942"/>
      <c r="CV228" s="73"/>
      <c r="CW228" s="42"/>
      <c r="CX228" s="43"/>
      <c r="CY228" s="567"/>
      <c r="CZ228" s="942"/>
      <c r="DA228" s="21"/>
      <c r="DB228" s="274"/>
      <c r="DC228" s="777"/>
      <c r="DD228" s="40"/>
      <c r="DE228" s="695"/>
      <c r="DF228" s="310"/>
      <c r="DG228" s="307"/>
      <c r="DH228" s="20"/>
      <c r="DI228" s="268"/>
      <c r="DJ228" s="760"/>
      <c r="DK228" s="40"/>
      <c r="DL228" s="44"/>
      <c r="DM228" s="36"/>
      <c r="DN228" s="20"/>
      <c r="DO228" s="708"/>
      <c r="DP228" s="789"/>
      <c r="DQ228" s="737"/>
      <c r="DR228" s="44"/>
      <c r="DS228" s="842"/>
      <c r="DT228" s="20"/>
      <c r="DU228" s="274"/>
      <c r="DV228" s="789"/>
      <c r="DW228" s="40"/>
      <c r="DX228" s="695"/>
      <c r="DY228" s="116" t="s">
        <v>61</v>
      </c>
      <c r="DZ228" s="36"/>
      <c r="EA228" s="20"/>
      <c r="EB228" s="268"/>
      <c r="EC228" s="760"/>
      <c r="ED228" s="40"/>
      <c r="EE228" s="44"/>
      <c r="EF228" s="36"/>
      <c r="EG228" s="20"/>
      <c r="EH228" s="268"/>
      <c r="EI228" s="760"/>
      <c r="EJ228" s="40"/>
      <c r="EK228" s="44"/>
      <c r="EL228" s="36"/>
      <c r="EM228" s="20"/>
      <c r="EN228" s="274"/>
    </row>
    <row r="229" spans="1:144" ht="16.5" thickBot="1" x14ac:dyDescent="0.25">
      <c r="B229" s="960"/>
      <c r="C229" s="33">
        <f>C228+1</f>
        <v>46198</v>
      </c>
      <c r="D229" s="1"/>
      <c r="E229" s="23"/>
      <c r="F229" s="526"/>
      <c r="G229" s="963"/>
      <c r="H229" s="1"/>
      <c r="I229" s="711"/>
      <c r="J229" s="647"/>
      <c r="K229" s="124"/>
      <c r="L229" s="126"/>
      <c r="M229" s="107"/>
      <c r="N229" s="127"/>
      <c r="O229" s="23"/>
      <c r="P229" s="711"/>
      <c r="Q229" s="647"/>
      <c r="R229" s="107"/>
      <c r="S229" s="647"/>
      <c r="T229" s="107"/>
      <c r="U229" s="124"/>
      <c r="V229" s="126"/>
      <c r="W229" s="23"/>
      <c r="X229" s="270"/>
      <c r="Y229" s="490"/>
      <c r="Z229" s="309"/>
      <c r="AA229" s="41"/>
      <c r="AB229" s="310"/>
      <c r="AC229" s="307"/>
      <c r="AD229" s="21"/>
      <c r="AE229" s="270"/>
      <c r="AF229" s="490"/>
      <c r="AG229" s="490"/>
      <c r="AH229" s="490"/>
      <c r="AI229" s="490"/>
      <c r="AJ229" s="40"/>
      <c r="AK229" s="41"/>
      <c r="AL229" s="44"/>
      <c r="AM229" s="36"/>
      <c r="AN229" s="21"/>
      <c r="AO229" s="711"/>
      <c r="AP229" s="647"/>
      <c r="AQ229" s="138"/>
      <c r="AR229" s="126"/>
      <c r="AS229" s="126"/>
      <c r="AT229" s="127"/>
      <c r="AU229" s="21"/>
      <c r="AV229" s="711"/>
      <c r="AW229" s="647"/>
      <c r="AX229" s="124"/>
      <c r="AY229" s="125"/>
      <c r="AZ229" s="126"/>
      <c r="BA229" s="127"/>
      <c r="BB229" s="21"/>
      <c r="BC229" s="647"/>
      <c r="BD229" s="121"/>
      <c r="BE229" s="106"/>
      <c r="BF229" s="123"/>
      <c r="BG229" s="21"/>
      <c r="BH229" s="711"/>
      <c r="BI229" s="647"/>
      <c r="BJ229" s="121"/>
      <c r="BK229" s="106"/>
      <c r="BL229" s="123"/>
      <c r="BM229" s="21"/>
      <c r="BN229" s="711"/>
      <c r="BO229" s="647"/>
      <c r="BP229" s="138"/>
      <c r="BQ229" s="1056"/>
      <c r="BR229" s="124"/>
      <c r="BS229" s="126"/>
      <c r="BT229" s="127"/>
      <c r="BU229" s="21"/>
      <c r="BV229" s="268"/>
      <c r="BW229" s="760"/>
      <c r="BX229" s="40"/>
      <c r="BY229" s="44"/>
      <c r="BZ229" s="36"/>
      <c r="CA229" s="21"/>
      <c r="CB229" s="268"/>
      <c r="CC229" s="720"/>
      <c r="CD229" s="309"/>
      <c r="CE229" s="44"/>
      <c r="CF229" s="36"/>
      <c r="CG229" s="21"/>
      <c r="CH229" s="708"/>
      <c r="CI229" s="673"/>
      <c r="CJ229" s="310"/>
      <c r="CK229" s="116" t="s">
        <v>61</v>
      </c>
      <c r="CL229" s="307"/>
      <c r="CM229" s="21"/>
      <c r="CN229" s="268"/>
      <c r="CO229" s="917"/>
      <c r="CP229" s="40"/>
      <c r="CQ229" s="44"/>
      <c r="CR229" s="36"/>
      <c r="CS229" s="21"/>
      <c r="CT229" s="268"/>
      <c r="CU229" s="942"/>
      <c r="CV229" s="73"/>
      <c r="CW229" s="42"/>
      <c r="CX229" s="43"/>
      <c r="CY229" s="567"/>
      <c r="CZ229" s="942"/>
      <c r="DA229" s="21"/>
      <c r="DB229" s="274"/>
      <c r="DC229" s="777"/>
      <c r="DD229" s="40"/>
      <c r="DE229" s="695"/>
      <c r="DF229" s="612" t="s">
        <v>80</v>
      </c>
      <c r="DG229" s="307"/>
      <c r="DH229" s="20"/>
      <c r="DI229" s="268"/>
      <c r="DJ229" s="760"/>
      <c r="DK229" s="40"/>
      <c r="DL229" s="44"/>
      <c r="DM229" s="36"/>
      <c r="DN229" s="20"/>
      <c r="DO229" s="708"/>
      <c r="DP229" s="789"/>
      <c r="DQ229" s="737"/>
      <c r="DR229" s="44"/>
      <c r="DS229" s="842"/>
      <c r="DT229" s="20"/>
      <c r="DU229" s="274"/>
      <c r="DV229" s="789"/>
      <c r="DW229" s="40"/>
      <c r="DX229" s="695"/>
      <c r="DY229" s="622" t="s">
        <v>80</v>
      </c>
      <c r="DZ229" s="36"/>
      <c r="EA229" s="20"/>
      <c r="EB229" s="268"/>
      <c r="EC229" s="760"/>
      <c r="ED229" s="40"/>
      <c r="EE229" s="44"/>
      <c r="EF229" s="36"/>
      <c r="EG229" s="20"/>
      <c r="EH229" s="268"/>
      <c r="EI229" s="760"/>
      <c r="EJ229" s="40"/>
      <c r="EK229" s="44"/>
      <c r="EL229" s="36"/>
      <c r="EM229" s="20"/>
      <c r="EN229" s="274"/>
    </row>
    <row r="230" spans="1:144" ht="99.75" thickTop="1" thickBot="1" x14ac:dyDescent="0.25">
      <c r="B230" s="961"/>
      <c r="C230" s="34">
        <f>C229+1</f>
        <v>46199</v>
      </c>
      <c r="D230" s="1"/>
      <c r="E230" s="23"/>
      <c r="F230" s="526"/>
      <c r="G230" s="963"/>
      <c r="H230" s="1"/>
      <c r="I230" s="711"/>
      <c r="J230" s="647"/>
      <c r="K230" s="128"/>
      <c r="L230" s="108"/>
      <c r="M230" s="108"/>
      <c r="N230" s="130"/>
      <c r="O230" s="23"/>
      <c r="P230" s="711"/>
      <c r="Q230" s="647"/>
      <c r="R230" s="108"/>
      <c r="S230" s="647"/>
      <c r="T230" s="108"/>
      <c r="U230" s="128"/>
      <c r="V230" s="108"/>
      <c r="W230" s="23"/>
      <c r="X230" s="270"/>
      <c r="Y230" s="490"/>
      <c r="Z230" s="67"/>
      <c r="AA230" s="55"/>
      <c r="AB230" s="312"/>
      <c r="AC230" s="48"/>
      <c r="AD230" s="21"/>
      <c r="AE230" s="270"/>
      <c r="AF230" s="490"/>
      <c r="AG230" s="490"/>
      <c r="AH230" s="490"/>
      <c r="AI230" s="490"/>
      <c r="AJ230" s="67"/>
      <c r="AK230" s="55"/>
      <c r="AL230" s="47"/>
      <c r="AM230" s="48"/>
      <c r="AN230" s="21"/>
      <c r="AO230" s="711"/>
      <c r="AP230" s="647"/>
      <c r="AQ230" s="111"/>
      <c r="AR230" s="109"/>
      <c r="AS230" s="109"/>
      <c r="AT230" s="110"/>
      <c r="AU230" s="21"/>
      <c r="AV230" s="711"/>
      <c r="AW230" s="647"/>
      <c r="AX230" s="111"/>
      <c r="AY230" s="144"/>
      <c r="AZ230" s="109"/>
      <c r="BA230" s="110"/>
      <c r="BB230" s="21"/>
      <c r="BC230" s="647"/>
      <c r="BD230" s="156"/>
      <c r="BE230" s="115"/>
      <c r="BF230" s="157"/>
      <c r="BG230" s="21"/>
      <c r="BH230" s="711"/>
      <c r="BI230" s="647"/>
      <c r="BJ230" s="156"/>
      <c r="BK230" s="115"/>
      <c r="BL230" s="157"/>
      <c r="BM230" s="21"/>
      <c r="BN230" s="711"/>
      <c r="BO230" s="647"/>
      <c r="BP230" s="139"/>
      <c r="BQ230" s="1056"/>
      <c r="BR230" s="111"/>
      <c r="BS230" s="109"/>
      <c r="BT230" s="110"/>
      <c r="BU230" s="21"/>
      <c r="BV230" s="268"/>
      <c r="BW230" s="760"/>
      <c r="BX230" s="67"/>
      <c r="BY230" s="47"/>
      <c r="BZ230" s="48"/>
      <c r="CA230" s="21"/>
      <c r="CB230" s="268"/>
      <c r="CC230" s="720"/>
      <c r="CD230" s="311"/>
      <c r="CE230" s="59"/>
      <c r="CF230" s="64"/>
      <c r="CG230" s="21"/>
      <c r="CH230" s="709"/>
      <c r="CI230" s="1100" t="s">
        <v>223</v>
      </c>
      <c r="CJ230" s="313"/>
      <c r="CK230" s="183" t="s">
        <v>48</v>
      </c>
      <c r="CL230" s="315"/>
      <c r="CM230" s="21"/>
      <c r="CN230" s="268"/>
      <c r="CO230" s="917"/>
      <c r="CP230" s="45"/>
      <c r="CQ230" s="59"/>
      <c r="CR230" s="64"/>
      <c r="CS230" s="21"/>
      <c r="CT230" s="268"/>
      <c r="CU230" s="942"/>
      <c r="CV230" s="198"/>
      <c r="CW230" s="199"/>
      <c r="CX230" s="200"/>
      <c r="CY230" s="567"/>
      <c r="CZ230" s="942"/>
      <c r="DA230" s="21"/>
      <c r="DB230" s="275"/>
      <c r="DC230" s="777"/>
      <c r="DD230" s="45"/>
      <c r="DE230" s="696"/>
      <c r="DF230" s="59"/>
      <c r="DG230" s="315"/>
      <c r="DH230" s="20"/>
      <c r="DI230" s="268"/>
      <c r="DJ230" s="760"/>
      <c r="DK230" s="45"/>
      <c r="DL230" s="59"/>
      <c r="DM230" s="64"/>
      <c r="DN230" s="20"/>
      <c r="DO230" s="709"/>
      <c r="DP230" s="796"/>
      <c r="DQ230" s="738"/>
      <c r="DR230" s="59"/>
      <c r="DS230" s="843"/>
      <c r="DT230" s="20"/>
      <c r="DU230" s="274"/>
      <c r="DV230" s="789"/>
      <c r="DW230" s="45"/>
      <c r="DX230" s="696"/>
      <c r="DY230" s="59"/>
      <c r="DZ230" s="64"/>
      <c r="EA230" s="20"/>
      <c r="EB230" s="268"/>
      <c r="EC230" s="760"/>
      <c r="ED230" s="45"/>
      <c r="EE230" s="59"/>
      <c r="EF230" s="64"/>
      <c r="EG230" s="20"/>
      <c r="EH230" s="268"/>
      <c r="EI230" s="760"/>
      <c r="EJ230" s="45"/>
      <c r="EK230" s="59"/>
      <c r="EL230" s="64"/>
      <c r="EM230" s="20"/>
      <c r="EN230" s="274"/>
    </row>
    <row r="231" spans="1:144" ht="35.25" customHeight="1" x14ac:dyDescent="0.2">
      <c r="B231" s="959">
        <f>B226+1</f>
        <v>27</v>
      </c>
      <c r="C231" s="89">
        <f>C226+7</f>
        <v>46202</v>
      </c>
      <c r="D231" s="4"/>
      <c r="E231" s="24"/>
      <c r="F231" s="525"/>
      <c r="G231" s="963"/>
      <c r="H231" s="4"/>
      <c r="I231" s="711"/>
      <c r="J231" s="647"/>
      <c r="K231" s="133"/>
      <c r="L231" s="103"/>
      <c r="M231" s="103"/>
      <c r="N231" s="104"/>
      <c r="O231" s="24"/>
      <c r="P231" s="711"/>
      <c r="Q231" s="647"/>
      <c r="R231" s="103"/>
      <c r="S231" s="647"/>
      <c r="T231" s="103"/>
      <c r="U231" s="133"/>
      <c r="V231" s="103"/>
      <c r="W231" s="24"/>
      <c r="X231" s="707" t="s">
        <v>143</v>
      </c>
      <c r="Y231" s="490"/>
      <c r="Z231" s="314"/>
      <c r="AA231" s="51"/>
      <c r="AB231" s="308"/>
      <c r="AC231" s="306"/>
      <c r="AD231" s="21"/>
      <c r="AE231" s="707" t="s">
        <v>143</v>
      </c>
      <c r="AF231" s="490"/>
      <c r="AG231" s="490"/>
      <c r="AH231" s="490"/>
      <c r="AI231" s="490"/>
      <c r="AJ231" s="61"/>
      <c r="AK231" s="51"/>
      <c r="AL231" s="39"/>
      <c r="AM231" s="306"/>
      <c r="AN231" s="21"/>
      <c r="AO231" s="711"/>
      <c r="AP231" s="647"/>
      <c r="AQ231" s="133"/>
      <c r="AR231" s="103"/>
      <c r="AS231" s="145"/>
      <c r="AT231" s="104"/>
      <c r="AU231" s="21"/>
      <c r="AV231" s="711"/>
      <c r="AW231" s="647"/>
      <c r="AX231" s="133"/>
      <c r="AY231" s="145"/>
      <c r="AZ231" s="145"/>
      <c r="BA231" s="104"/>
      <c r="BB231" s="21"/>
      <c r="BC231" s="647"/>
      <c r="BD231" s="133"/>
      <c r="BE231" s="145"/>
      <c r="BF231" s="104"/>
      <c r="BG231" s="21"/>
      <c r="BH231" s="711"/>
      <c r="BI231" s="647"/>
      <c r="BJ231" s="133"/>
      <c r="BK231" s="145"/>
      <c r="BL231" s="104"/>
      <c r="BM231" s="21"/>
      <c r="BN231" s="711"/>
      <c r="BO231" s="647"/>
      <c r="BP231" s="1164"/>
      <c r="BQ231" s="1056"/>
      <c r="BR231" s="1150"/>
      <c r="BS231" s="103"/>
      <c r="BT231" s="104"/>
      <c r="BU231" s="21"/>
      <c r="BV231" s="268"/>
      <c r="BW231" s="760"/>
      <c r="BX231" s="132"/>
      <c r="BY231" s="56"/>
      <c r="BZ231" s="57"/>
      <c r="CA231" s="21"/>
      <c r="CB231" s="268"/>
      <c r="CC231" s="720"/>
      <c r="CD231" s="314"/>
      <c r="CE231" s="39"/>
      <c r="CF231" s="35"/>
      <c r="CG231" s="21"/>
      <c r="CH231" s="707" t="s">
        <v>69</v>
      </c>
      <c r="CI231" s="917" t="s">
        <v>26</v>
      </c>
      <c r="CJ231" s="39"/>
      <c r="CK231" s="39"/>
      <c r="CL231" s="35"/>
      <c r="CM231" s="21"/>
      <c r="CN231" s="268"/>
      <c r="CO231" s="917"/>
      <c r="CP231" s="61"/>
      <c r="CQ231" s="39"/>
      <c r="CR231" s="35"/>
      <c r="CS231" s="21"/>
      <c r="CT231" s="268"/>
      <c r="CU231" s="942"/>
      <c r="CV231" s="37"/>
      <c r="CW231" s="58"/>
      <c r="CX231" s="201"/>
      <c r="CY231" s="567"/>
      <c r="CZ231" s="942"/>
      <c r="DA231" s="21"/>
      <c r="DB231" s="707" t="s">
        <v>449</v>
      </c>
      <c r="DC231" s="777"/>
      <c r="DD231" s="61"/>
      <c r="DE231" s="39"/>
      <c r="DF231" s="39"/>
      <c r="DG231" s="35"/>
      <c r="DH231" s="20"/>
      <c r="DI231" s="268"/>
      <c r="DJ231" s="760"/>
      <c r="DK231" s="61"/>
      <c r="DL231" s="39"/>
      <c r="DM231" s="35"/>
      <c r="DN231" s="20"/>
      <c r="DO231" s="707" t="s">
        <v>336</v>
      </c>
      <c r="DP231" s="760" t="s">
        <v>26</v>
      </c>
      <c r="DQ231" s="61"/>
      <c r="DR231" s="39"/>
      <c r="DS231" s="35"/>
      <c r="DT231" s="20"/>
      <c r="DU231" s="707" t="s">
        <v>449</v>
      </c>
      <c r="DV231" s="789"/>
      <c r="DW231" s="61"/>
      <c r="DX231" s="694" t="s">
        <v>212</v>
      </c>
      <c r="DY231" s="39"/>
      <c r="DZ231" s="649" t="s">
        <v>393</v>
      </c>
      <c r="EA231" s="20"/>
      <c r="EB231" s="268"/>
      <c r="EC231" s="760"/>
      <c r="ED231" s="61"/>
      <c r="EE231" s="39"/>
      <c r="EF231" s="35"/>
      <c r="EG231" s="20"/>
      <c r="EH231" s="268"/>
      <c r="EI231" s="760"/>
      <c r="EJ231" s="61"/>
      <c r="EK231" s="39"/>
      <c r="EL231" s="35"/>
      <c r="EM231" s="20"/>
      <c r="EN231" s="274"/>
    </row>
    <row r="232" spans="1:144" ht="19.899999999999999" customHeight="1" x14ac:dyDescent="0.2">
      <c r="B232" s="960"/>
      <c r="C232" s="33">
        <f>C231+1</f>
        <v>46203</v>
      </c>
      <c r="D232" s="1"/>
      <c r="E232" s="24"/>
      <c r="F232" s="526"/>
      <c r="G232" s="963"/>
      <c r="H232" s="1"/>
      <c r="I232" s="711"/>
      <c r="J232" s="647"/>
      <c r="K232" s="154"/>
      <c r="L232" s="106"/>
      <c r="M232" s="106"/>
      <c r="N232" s="155"/>
      <c r="O232" s="23"/>
      <c r="P232" s="711"/>
      <c r="Q232" s="647"/>
      <c r="R232" s="106"/>
      <c r="S232" s="647"/>
      <c r="T232" s="106"/>
      <c r="U232" s="154"/>
      <c r="V232" s="106"/>
      <c r="W232" s="23"/>
      <c r="X232" s="708"/>
      <c r="Y232" s="490"/>
      <c r="Z232" s="68"/>
      <c r="AA232" s="53"/>
      <c r="AB232" s="50"/>
      <c r="AC232" s="60"/>
      <c r="AD232" s="21"/>
      <c r="AE232" s="708"/>
      <c r="AF232" s="490"/>
      <c r="AG232" s="490"/>
      <c r="AH232" s="490"/>
      <c r="AI232" s="490"/>
      <c r="AJ232" s="68"/>
      <c r="AK232" s="53"/>
      <c r="AL232" s="50"/>
      <c r="AM232" s="60"/>
      <c r="AN232" s="21"/>
      <c r="AO232" s="711"/>
      <c r="AP232" s="647"/>
      <c r="AQ232" s="138"/>
      <c r="AR232" s="126"/>
      <c r="AS232" s="181"/>
      <c r="AT232" s="127"/>
      <c r="AU232" s="21"/>
      <c r="AV232" s="711"/>
      <c r="AW232" s="647"/>
      <c r="AX232" s="154"/>
      <c r="AY232" s="181"/>
      <c r="AZ232" s="181"/>
      <c r="BA232" s="155"/>
      <c r="BB232" s="21"/>
      <c r="BC232" s="647"/>
      <c r="BD232" s="154"/>
      <c r="BE232" s="181"/>
      <c r="BF232" s="155"/>
      <c r="BG232" s="21"/>
      <c r="BH232" s="711"/>
      <c r="BI232" s="647"/>
      <c r="BJ232" s="154"/>
      <c r="BK232" s="181"/>
      <c r="BL232" s="155"/>
      <c r="BM232" s="21"/>
      <c r="BN232" s="711"/>
      <c r="BO232" s="647"/>
      <c r="BP232" s="1165"/>
      <c r="BQ232" s="1056"/>
      <c r="BR232" s="1151"/>
      <c r="BS232" s="126"/>
      <c r="BT232" s="127"/>
      <c r="BU232" s="21"/>
      <c r="BV232" s="268"/>
      <c r="BW232" s="760"/>
      <c r="BX232" s="68"/>
      <c r="BY232" s="49"/>
      <c r="BZ232" s="65"/>
      <c r="CA232" s="21"/>
      <c r="CB232" s="268"/>
      <c r="CC232" s="720"/>
      <c r="CD232" s="309"/>
      <c r="CE232" s="44"/>
      <c r="CF232" s="36"/>
      <c r="CG232" s="21"/>
      <c r="CH232" s="711"/>
      <c r="CI232" s="917"/>
      <c r="CJ232" s="44"/>
      <c r="CK232" s="44"/>
      <c r="CL232" s="36"/>
      <c r="CM232" s="21"/>
      <c r="CN232" s="268"/>
      <c r="CO232" s="917"/>
      <c r="CP232" s="40"/>
      <c r="CQ232" s="44"/>
      <c r="CR232" s="36"/>
      <c r="CS232" s="21"/>
      <c r="CT232" s="268"/>
      <c r="CU232" s="942"/>
      <c r="CV232" s="73"/>
      <c r="CW232" s="42"/>
      <c r="CX232" s="43"/>
      <c r="CY232" s="567"/>
      <c r="CZ232" s="942"/>
      <c r="DA232" s="21"/>
      <c r="DB232" s="708"/>
      <c r="DC232" s="777"/>
      <c r="DD232" s="40"/>
      <c r="DE232" s="44"/>
      <c r="DF232" s="44"/>
      <c r="DG232" s="36"/>
      <c r="DH232" s="20"/>
      <c r="DI232" s="268"/>
      <c r="DJ232" s="760"/>
      <c r="DK232" s="40"/>
      <c r="DL232" s="44"/>
      <c r="DM232" s="36"/>
      <c r="DN232" s="20"/>
      <c r="DO232" s="708"/>
      <c r="DP232" s="760"/>
      <c r="DQ232" s="40"/>
      <c r="DR232" s="44"/>
      <c r="DS232" s="36"/>
      <c r="DT232" s="20"/>
      <c r="DU232" s="708"/>
      <c r="DV232" s="789"/>
      <c r="DW232" s="40"/>
      <c r="DX232" s="695"/>
      <c r="DY232" s="310"/>
      <c r="DZ232" s="930"/>
      <c r="EA232" s="20"/>
      <c r="EB232" s="268"/>
      <c r="EC232" s="760"/>
      <c r="ED232" s="40"/>
      <c r="EE232" s="44"/>
      <c r="EF232" s="36"/>
      <c r="EG232" s="20"/>
      <c r="EH232" s="268"/>
      <c r="EI232" s="760"/>
      <c r="EJ232" s="40"/>
      <c r="EK232" s="44"/>
      <c r="EL232" s="36"/>
      <c r="EM232" s="20"/>
      <c r="EN232" s="274"/>
    </row>
    <row r="233" spans="1:144" ht="19.899999999999999" customHeight="1" thickBot="1" x14ac:dyDescent="0.25">
      <c r="B233" s="960"/>
      <c r="C233" s="33">
        <f>C232+1</f>
        <v>46204</v>
      </c>
      <c r="D233" s="1"/>
      <c r="E233" s="24"/>
      <c r="F233" s="526"/>
      <c r="G233" s="963"/>
      <c r="H233" s="1"/>
      <c r="I233" s="711"/>
      <c r="J233" s="647"/>
      <c r="K233" s="121"/>
      <c r="L233" s="107"/>
      <c r="M233" s="107"/>
      <c r="N233" s="123"/>
      <c r="O233" s="23"/>
      <c r="P233" s="711"/>
      <c r="Q233" s="647"/>
      <c r="R233" s="107"/>
      <c r="S233" s="647"/>
      <c r="T233" s="107"/>
      <c r="U233" s="121"/>
      <c r="V233" s="107"/>
      <c r="W233" s="23"/>
      <c r="X233" s="708"/>
      <c r="Y233" s="490"/>
      <c r="Z233" s="63"/>
      <c r="AA233" s="54"/>
      <c r="AB233" s="54"/>
      <c r="AC233" s="307"/>
      <c r="AD233" s="21"/>
      <c r="AE233" s="708"/>
      <c r="AF233" s="490"/>
      <c r="AG233" s="490"/>
      <c r="AH233" s="490"/>
      <c r="AI233" s="490"/>
      <c r="AJ233" s="63"/>
      <c r="AK233" s="54"/>
      <c r="AL233" s="54"/>
      <c r="AM233" s="307"/>
      <c r="AN233" s="21"/>
      <c r="AO233" s="711"/>
      <c r="AP233" s="647"/>
      <c r="AQ233" s="138"/>
      <c r="AR233" s="126"/>
      <c r="AS233" s="122"/>
      <c r="AT233" s="127"/>
      <c r="AU233" s="21"/>
      <c r="AV233" s="711"/>
      <c r="AW233" s="647"/>
      <c r="AX233" s="121"/>
      <c r="AY233" s="122"/>
      <c r="AZ233" s="122"/>
      <c r="BA233" s="123"/>
      <c r="BB233" s="21"/>
      <c r="BC233" s="647"/>
      <c r="BD233" s="121"/>
      <c r="BE233" s="122"/>
      <c r="BF233" s="123"/>
      <c r="BG233" s="21"/>
      <c r="BH233" s="711"/>
      <c r="BI233" s="647"/>
      <c r="BJ233" s="121"/>
      <c r="BK233" s="122"/>
      <c r="BL233" s="123"/>
      <c r="BM233" s="21"/>
      <c r="BN233" s="711"/>
      <c r="BO233" s="647"/>
      <c r="BP233" s="1166"/>
      <c r="BQ233" s="1056"/>
      <c r="BR233" s="1152"/>
      <c r="BS233" s="126"/>
      <c r="BT233" s="127"/>
      <c r="BU233" s="21"/>
      <c r="BV233" s="268"/>
      <c r="BW233" s="760"/>
      <c r="BX233" s="63"/>
      <c r="BY233" s="50"/>
      <c r="BZ233" s="60"/>
      <c r="CA233" s="21"/>
      <c r="CB233" s="268"/>
      <c r="CC233" s="720"/>
      <c r="CD233" s="309"/>
      <c r="CE233" s="44"/>
      <c r="CF233" s="36"/>
      <c r="CG233" s="21"/>
      <c r="CH233" s="711"/>
      <c r="CI233" s="917"/>
      <c r="CJ233" s="44"/>
      <c r="CK233" s="44"/>
      <c r="CL233" s="36"/>
      <c r="CM233" s="21"/>
      <c r="CN233" s="268"/>
      <c r="CO233" s="917"/>
      <c r="CP233" s="40"/>
      <c r="CQ233" s="44"/>
      <c r="CR233" s="36"/>
      <c r="CS233" s="21"/>
      <c r="CT233" s="268"/>
      <c r="CU233" s="942"/>
      <c r="CV233" s="73"/>
      <c r="CW233" s="42"/>
      <c r="CX233" s="43"/>
      <c r="CY233" s="567"/>
      <c r="CZ233" s="942"/>
      <c r="DA233" s="21"/>
      <c r="DB233" s="708"/>
      <c r="DC233" s="777"/>
      <c r="DD233" s="40"/>
      <c r="DE233" s="44"/>
      <c r="DF233" s="116" t="s">
        <v>61</v>
      </c>
      <c r="DG233" s="36"/>
      <c r="DH233" s="20"/>
      <c r="DI233" s="268"/>
      <c r="DJ233" s="760"/>
      <c r="DK233" s="40"/>
      <c r="DL233" s="44"/>
      <c r="DM233" s="36"/>
      <c r="DN233" s="20"/>
      <c r="DO233" s="708"/>
      <c r="DP233" s="760"/>
      <c r="DQ233" s="40"/>
      <c r="DR233" s="44"/>
      <c r="DS233" s="36"/>
      <c r="DT233" s="20"/>
      <c r="DU233" s="708"/>
      <c r="DV233" s="789"/>
      <c r="DW233" s="40"/>
      <c r="DX233" s="695"/>
      <c r="DY233" s="116" t="s">
        <v>61</v>
      </c>
      <c r="DZ233" s="930"/>
      <c r="EA233" s="20"/>
      <c r="EB233" s="268"/>
      <c r="EC233" s="760"/>
      <c r="ED233" s="40"/>
      <c r="EE233" s="44"/>
      <c r="EF233" s="36"/>
      <c r="EG233" s="20"/>
      <c r="EH233" s="268"/>
      <c r="EI233" s="760"/>
      <c r="EJ233" s="40"/>
      <c r="EK233" s="44"/>
      <c r="EL233" s="36"/>
      <c r="EM233" s="20"/>
      <c r="EN233" s="274"/>
    </row>
    <row r="234" spans="1:144" ht="19.899999999999999" customHeight="1" thickBot="1" x14ac:dyDescent="0.25">
      <c r="B234" s="960"/>
      <c r="C234" s="33">
        <f>C233+1</f>
        <v>46205</v>
      </c>
      <c r="D234" s="1"/>
      <c r="E234" s="210" t="s">
        <v>91</v>
      </c>
      <c r="G234" s="963"/>
      <c r="H234" s="1"/>
      <c r="I234" s="711"/>
      <c r="J234" s="647"/>
      <c r="K234" s="121"/>
      <c r="L234" s="107"/>
      <c r="M234" s="107"/>
      <c r="N234" s="123"/>
      <c r="O234" s="23"/>
      <c r="P234" s="711"/>
      <c r="Q234" s="647"/>
      <c r="R234" s="107"/>
      <c r="S234" s="647"/>
      <c r="T234" s="107"/>
      <c r="U234" s="121"/>
      <c r="V234" s="107"/>
      <c r="W234" s="23"/>
      <c r="X234" s="708"/>
      <c r="Y234" s="490"/>
      <c r="Z234" s="63"/>
      <c r="AA234" s="54"/>
      <c r="AB234" s="54"/>
      <c r="AC234" s="307"/>
      <c r="AD234" s="21"/>
      <c r="AE234" s="708"/>
      <c r="AF234" s="490"/>
      <c r="AG234" s="490"/>
      <c r="AH234" s="490"/>
      <c r="AI234" s="490"/>
      <c r="AJ234" s="63"/>
      <c r="AK234" s="54"/>
      <c r="AL234" s="54"/>
      <c r="AM234" s="307"/>
      <c r="AN234" s="21"/>
      <c r="AO234" s="711"/>
      <c r="AP234" s="647"/>
      <c r="AQ234" s="138"/>
      <c r="AR234" s="126"/>
      <c r="AS234" s="122"/>
      <c r="AT234" s="127"/>
      <c r="AU234" s="21"/>
      <c r="AV234" s="711"/>
      <c r="AW234" s="647"/>
      <c r="AX234" s="121"/>
      <c r="AY234" s="122"/>
      <c r="AZ234" s="122"/>
      <c r="BA234" s="123"/>
      <c r="BB234" s="21"/>
      <c r="BC234" s="647"/>
      <c r="BD234" s="121"/>
      <c r="BE234" s="122"/>
      <c r="BF234" s="123"/>
      <c r="BG234" s="21"/>
      <c r="BH234" s="711"/>
      <c r="BI234" s="647"/>
      <c r="BJ234" s="121"/>
      <c r="BK234" s="122"/>
      <c r="BL234" s="123"/>
      <c r="BM234" s="21"/>
      <c r="BN234" s="711"/>
      <c r="BO234" s="647"/>
      <c r="BP234" s="1166"/>
      <c r="BQ234" s="1056"/>
      <c r="BR234" s="1152"/>
      <c r="BS234" s="126"/>
      <c r="BT234" s="127"/>
      <c r="BU234" s="21"/>
      <c r="BV234" s="268"/>
      <c r="BW234" s="760"/>
      <c r="BX234" s="63"/>
      <c r="BY234" s="50"/>
      <c r="BZ234" s="60"/>
      <c r="CA234" s="21"/>
      <c r="CB234" s="268"/>
      <c r="CC234" s="720"/>
      <c r="CD234" s="309"/>
      <c r="CE234" s="44"/>
      <c r="CF234" s="36"/>
      <c r="CG234" s="21"/>
      <c r="CH234" s="711"/>
      <c r="CI234" s="917"/>
      <c r="CJ234" s="44"/>
      <c r="CK234" s="44"/>
      <c r="CL234" s="36"/>
      <c r="CM234" s="21"/>
      <c r="CN234" s="268"/>
      <c r="CO234" s="917"/>
      <c r="CP234" s="40"/>
      <c r="CQ234" s="44"/>
      <c r="CR234" s="36"/>
      <c r="CS234" s="21"/>
      <c r="CT234" s="268"/>
      <c r="CU234" s="942"/>
      <c r="CV234" s="73"/>
      <c r="CW234" s="42"/>
      <c r="CX234" s="43"/>
      <c r="CY234" s="567"/>
      <c r="CZ234" s="942"/>
      <c r="DA234" s="21"/>
      <c r="DB234" s="708"/>
      <c r="DC234" s="823"/>
      <c r="DD234" s="40"/>
      <c r="DE234" s="44"/>
      <c r="DF234" s="301" t="s">
        <v>48</v>
      </c>
      <c r="DG234" s="36"/>
      <c r="DH234" s="20"/>
      <c r="DI234" s="268"/>
      <c r="DJ234" s="760"/>
      <c r="DK234" s="40"/>
      <c r="DL234" s="44"/>
      <c r="DM234" s="36"/>
      <c r="DN234" s="20"/>
      <c r="DO234" s="708"/>
      <c r="DP234" s="760"/>
      <c r="DQ234" s="40"/>
      <c r="DR234" s="44"/>
      <c r="DS234" s="36"/>
      <c r="DT234" s="20"/>
      <c r="DU234" s="708"/>
      <c r="DV234" s="796"/>
      <c r="DW234" s="40"/>
      <c r="DX234" s="695"/>
      <c r="DY234" s="327" t="s">
        <v>48</v>
      </c>
      <c r="DZ234" s="36"/>
      <c r="EA234" s="20"/>
      <c r="EB234" s="268"/>
      <c r="EC234" s="760"/>
      <c r="ED234" s="40"/>
      <c r="EE234" s="44"/>
      <c r="EF234" s="36"/>
      <c r="EG234" s="20"/>
      <c r="EH234" s="268"/>
      <c r="EI234" s="760"/>
      <c r="EJ234" s="40"/>
      <c r="EK234" s="44"/>
      <c r="EL234" s="36"/>
      <c r="EM234" s="20"/>
      <c r="EN234" s="274"/>
    </row>
    <row r="235" spans="1:144" ht="46.5" customHeight="1" thickTop="1" thickBot="1" x14ac:dyDescent="0.25">
      <c r="B235" s="961"/>
      <c r="C235" s="34">
        <f>C234+1</f>
        <v>46206</v>
      </c>
      <c r="D235" s="1"/>
      <c r="E235" s="24"/>
      <c r="F235" s="526"/>
      <c r="G235" s="963"/>
      <c r="H235" s="1"/>
      <c r="I235" s="712"/>
      <c r="J235" s="647"/>
      <c r="K235" s="156"/>
      <c r="L235" s="115"/>
      <c r="M235" s="115"/>
      <c r="N235" s="157"/>
      <c r="O235" s="23"/>
      <c r="P235" s="712"/>
      <c r="Q235" s="647"/>
      <c r="R235" s="115"/>
      <c r="S235" s="647"/>
      <c r="T235" s="115"/>
      <c r="U235" s="156"/>
      <c r="V235" s="115"/>
      <c r="W235" s="23"/>
      <c r="X235" s="709"/>
      <c r="Y235" s="490"/>
      <c r="Z235" s="69"/>
      <c r="AA235" s="70"/>
      <c r="AB235" s="312"/>
      <c r="AC235" s="48"/>
      <c r="AD235" s="21"/>
      <c r="AE235" s="709"/>
      <c r="AF235" s="490"/>
      <c r="AG235" s="490"/>
      <c r="AH235" s="490"/>
      <c r="AI235" s="490"/>
      <c r="AJ235" s="69"/>
      <c r="AK235" s="70"/>
      <c r="AL235" s="47"/>
      <c r="AM235" s="48"/>
      <c r="AN235" s="21"/>
      <c r="AO235" s="712"/>
      <c r="AP235" s="647"/>
      <c r="AQ235" s="111"/>
      <c r="AR235" s="109"/>
      <c r="AS235" s="182"/>
      <c r="AT235" s="110"/>
      <c r="AU235" s="21"/>
      <c r="AV235" s="712"/>
      <c r="AW235" s="647"/>
      <c r="AX235" s="156"/>
      <c r="AY235" s="182"/>
      <c r="AZ235" s="182"/>
      <c r="BA235" s="157"/>
      <c r="BB235" s="21"/>
      <c r="BC235" s="647"/>
      <c r="BD235" s="156"/>
      <c r="BE235" s="182"/>
      <c r="BF235" s="157"/>
      <c r="BG235" s="21"/>
      <c r="BH235" s="712"/>
      <c r="BI235" s="647"/>
      <c r="BJ235" s="156"/>
      <c r="BK235" s="182"/>
      <c r="BL235" s="157"/>
      <c r="BM235" s="21"/>
      <c r="BN235" s="712"/>
      <c r="BO235" s="647"/>
      <c r="BP235" s="1167"/>
      <c r="BQ235" s="1056"/>
      <c r="BR235" s="1153"/>
      <c r="BS235" s="109"/>
      <c r="BT235" s="110"/>
      <c r="BU235" s="21"/>
      <c r="BV235" s="268"/>
      <c r="BW235" s="760"/>
      <c r="BX235" s="67"/>
      <c r="BY235" s="47"/>
      <c r="BZ235" s="48"/>
      <c r="CA235" s="21"/>
      <c r="CB235" s="268"/>
      <c r="CC235" s="721"/>
      <c r="CD235" s="311"/>
      <c r="CE235" s="59"/>
      <c r="CF235" s="64"/>
      <c r="CG235" s="21"/>
      <c r="CH235" s="712"/>
      <c r="CI235" s="917"/>
      <c r="CJ235" s="59"/>
      <c r="CK235" s="59"/>
      <c r="CL235" s="64"/>
      <c r="CM235" s="21"/>
      <c r="CN235" s="268"/>
      <c r="CO235" s="917"/>
      <c r="CP235" s="45"/>
      <c r="CQ235" s="59"/>
      <c r="CR235" s="64"/>
      <c r="CS235" s="21"/>
      <c r="CT235" s="268"/>
      <c r="CU235" s="942"/>
      <c r="CV235" s="198"/>
      <c r="CW235" s="199"/>
      <c r="CX235" s="200"/>
      <c r="CY235" s="567"/>
      <c r="CZ235" s="942"/>
      <c r="DA235" s="21"/>
      <c r="DB235" s="709"/>
      <c r="DC235" s="1100" t="s">
        <v>223</v>
      </c>
      <c r="DD235" s="45"/>
      <c r="DE235" s="59"/>
      <c r="DF235" s="59"/>
      <c r="DG235" s="64"/>
      <c r="DH235" s="20"/>
      <c r="DI235" s="268"/>
      <c r="DJ235" s="760"/>
      <c r="DK235" s="45"/>
      <c r="DL235" s="59"/>
      <c r="DM235" s="64"/>
      <c r="DN235" s="20"/>
      <c r="DO235" s="709"/>
      <c r="DP235" s="760"/>
      <c r="DQ235" s="45"/>
      <c r="DR235" s="59"/>
      <c r="DS235" s="64"/>
      <c r="DT235" s="20"/>
      <c r="DU235" s="709"/>
      <c r="DV235" s="1100" t="s">
        <v>223</v>
      </c>
      <c r="DW235" s="45"/>
      <c r="DX235" s="749"/>
      <c r="DY235" s="1101" t="s">
        <v>416</v>
      </c>
      <c r="DZ235" s="1098"/>
      <c r="EA235" s="20"/>
      <c r="EB235" s="268"/>
      <c r="EC235" s="760"/>
      <c r="ED235" s="45"/>
      <c r="EE235" s="59"/>
      <c r="EF235" s="64"/>
      <c r="EG235" s="20"/>
      <c r="EH235" s="268"/>
      <c r="EI235" s="760"/>
      <c r="EJ235" s="45"/>
      <c r="EK235" s="59"/>
      <c r="EL235" s="64"/>
      <c r="EM235" s="20"/>
      <c r="EN235" s="274"/>
    </row>
    <row r="236" spans="1:144" ht="51.75" customHeight="1" thickBot="1" x14ac:dyDescent="0.25">
      <c r="A236" s="6" t="s">
        <v>62</v>
      </c>
      <c r="B236" s="959">
        <f>B231+1</f>
        <v>28</v>
      </c>
      <c r="C236" s="89">
        <f>C231+7</f>
        <v>46209</v>
      </c>
      <c r="D236" s="4"/>
      <c r="E236" s="24"/>
      <c r="F236" s="525"/>
      <c r="G236" s="963"/>
      <c r="H236" s="4"/>
      <c r="I236" s="268"/>
      <c r="J236" s="647"/>
      <c r="K236" s="133"/>
      <c r="L236" s="103"/>
      <c r="M236" s="652" t="s">
        <v>405</v>
      </c>
      <c r="N236" s="104"/>
      <c r="O236" s="24"/>
      <c r="P236" s="268"/>
      <c r="Q236" s="647"/>
      <c r="R236" s="652" t="s">
        <v>405</v>
      </c>
      <c r="S236" s="647"/>
      <c r="T236" s="652" t="s">
        <v>405</v>
      </c>
      <c r="U236" s="133"/>
      <c r="V236" s="103"/>
      <c r="W236" s="24"/>
      <c r="X236" s="557"/>
      <c r="Y236" s="697" t="s">
        <v>68</v>
      </c>
      <c r="Z236" s="133"/>
      <c r="AA236" s="145"/>
      <c r="AB236" s="652" t="s">
        <v>405</v>
      </c>
      <c r="AC236" s="104"/>
      <c r="AD236" s="21"/>
      <c r="AE236" s="557"/>
      <c r="AF236" s="697" t="s">
        <v>68</v>
      </c>
      <c r="AG236" s="697" t="s">
        <v>68</v>
      </c>
      <c r="AH236" s="697" t="s">
        <v>68</v>
      </c>
      <c r="AI236" s="697" t="s">
        <v>68</v>
      </c>
      <c r="AJ236" s="133"/>
      <c r="AK236" s="145"/>
      <c r="AL236" s="652" t="s">
        <v>405</v>
      </c>
      <c r="AM236" s="104"/>
      <c r="AN236" s="21"/>
      <c r="AO236" s="557"/>
      <c r="AP236" s="647"/>
      <c r="AQ236" s="133"/>
      <c r="AR236" s="103"/>
      <c r="AS236" s="652" t="s">
        <v>405</v>
      </c>
      <c r="AT236" s="104"/>
      <c r="AU236" s="21"/>
      <c r="AV236" s="557"/>
      <c r="AW236" s="647"/>
      <c r="AX236" s="133"/>
      <c r="AY236" s="145"/>
      <c r="AZ236" s="652" t="s">
        <v>405</v>
      </c>
      <c r="BA236" s="104"/>
      <c r="BB236" s="21"/>
      <c r="BC236" s="647"/>
      <c r="BD236" s="133"/>
      <c r="BE236" s="652" t="s">
        <v>405</v>
      </c>
      <c r="BF236" s="104"/>
      <c r="BG236" s="21"/>
      <c r="BH236" s="557"/>
      <c r="BI236" s="647"/>
      <c r="BJ236" s="133"/>
      <c r="BK236" s="652" t="s">
        <v>405</v>
      </c>
      <c r="BL236" s="104"/>
      <c r="BM236" s="21"/>
      <c r="BN236" s="557"/>
      <c r="BO236" s="647"/>
      <c r="BP236" s="1168" t="s">
        <v>405</v>
      </c>
      <c r="BQ236" s="1056"/>
      <c r="BR236" s="1154" t="s">
        <v>405</v>
      </c>
      <c r="BS236" s="103"/>
      <c r="BT236" s="104"/>
      <c r="BU236" s="21"/>
      <c r="BV236" s="713" t="s">
        <v>149</v>
      </c>
      <c r="BW236" s="834" t="s">
        <v>221</v>
      </c>
      <c r="BX236" s="132"/>
      <c r="BY236" s="56"/>
      <c r="BZ236" s="57"/>
      <c r="CA236" s="21"/>
      <c r="CB236" s="268"/>
      <c r="CC236" s="204" t="s">
        <v>222</v>
      </c>
      <c r="CD236" s="314"/>
      <c r="CE236" s="39"/>
      <c r="CF236" s="35"/>
      <c r="CG236" s="21"/>
      <c r="CH236" s="268"/>
      <c r="CI236" s="917"/>
      <c r="CJ236" s="39"/>
      <c r="CK236" s="39"/>
      <c r="CL236" s="35"/>
      <c r="CM236" s="21"/>
      <c r="CN236" s="268"/>
      <c r="CO236" s="917"/>
      <c r="CP236" s="61"/>
      <c r="CQ236" s="39"/>
      <c r="CR236" s="35"/>
      <c r="CS236" s="21"/>
      <c r="CT236" s="268"/>
      <c r="CU236" s="942"/>
      <c r="CV236" s="37"/>
      <c r="CW236" s="58"/>
      <c r="CX236" s="201"/>
      <c r="CY236" s="567"/>
      <c r="CZ236" s="942"/>
      <c r="DA236" s="21"/>
      <c r="DB236" s="707" t="s">
        <v>69</v>
      </c>
      <c r="DC236" s="761" t="s">
        <v>26</v>
      </c>
      <c r="DD236" s="61"/>
      <c r="DE236" s="39"/>
      <c r="DF236" s="39"/>
      <c r="DG236" s="35"/>
      <c r="DH236" s="20"/>
      <c r="DI236" s="268"/>
      <c r="DJ236" s="760"/>
      <c r="DK236" s="61"/>
      <c r="DL236" s="39"/>
      <c r="DM236" s="35"/>
      <c r="DN236" s="20"/>
      <c r="DO236" s="268"/>
      <c r="DP236" s="760"/>
      <c r="DQ236" s="61"/>
      <c r="DR236" s="39"/>
      <c r="DS236" s="35"/>
      <c r="DT236" s="20"/>
      <c r="DU236" s="707" t="s">
        <v>69</v>
      </c>
      <c r="DV236" s="757" t="s">
        <v>26</v>
      </c>
      <c r="DW236" s="314"/>
      <c r="DX236" s="308"/>
      <c r="DY236" s="308"/>
      <c r="DZ236" s="306"/>
      <c r="EA236" s="20"/>
      <c r="EB236" s="268"/>
      <c r="EC236" s="760"/>
      <c r="ED236" s="61"/>
      <c r="EE236" s="39"/>
      <c r="EF236" s="35"/>
      <c r="EG236" s="20"/>
      <c r="EH236" s="268"/>
      <c r="EI236" s="760"/>
      <c r="EJ236" s="61"/>
      <c r="EK236" s="39"/>
      <c r="EL236" s="35"/>
      <c r="EM236" s="20"/>
      <c r="EN236" s="710" t="s">
        <v>282</v>
      </c>
    </row>
    <row r="237" spans="1:144" ht="19.899999999999999" customHeight="1" thickTop="1" thickBot="1" x14ac:dyDescent="0.25">
      <c r="A237" s="6" t="s">
        <v>62</v>
      </c>
      <c r="B237" s="960"/>
      <c r="C237" s="33">
        <f>C236+1</f>
        <v>46210</v>
      </c>
      <c r="D237" s="1"/>
      <c r="E237" s="23"/>
      <c r="F237" s="526"/>
      <c r="G237" s="963"/>
      <c r="H237" s="1"/>
      <c r="I237" s="268"/>
      <c r="J237" s="647"/>
      <c r="K237" s="124"/>
      <c r="L237" s="126"/>
      <c r="M237" s="653"/>
      <c r="N237" s="127"/>
      <c r="O237" s="23"/>
      <c r="P237" s="268"/>
      <c r="Q237" s="647"/>
      <c r="R237" s="653"/>
      <c r="S237" s="647"/>
      <c r="T237" s="653"/>
      <c r="U237" s="124"/>
      <c r="V237" s="126"/>
      <c r="W237" s="23"/>
      <c r="X237" s="268"/>
      <c r="Y237" s="647"/>
      <c r="Z237" s="124"/>
      <c r="AA237" s="125"/>
      <c r="AB237" s="653"/>
      <c r="AC237" s="127"/>
      <c r="AD237" s="21"/>
      <c r="AE237" s="268"/>
      <c r="AF237" s="647"/>
      <c r="AG237" s="647"/>
      <c r="AH237" s="647"/>
      <c r="AI237" s="647"/>
      <c r="AJ237" s="124"/>
      <c r="AK237" s="125"/>
      <c r="AL237" s="653"/>
      <c r="AM237" s="127"/>
      <c r="AN237" s="21"/>
      <c r="AO237" s="268"/>
      <c r="AP237" s="647"/>
      <c r="AQ237" s="138"/>
      <c r="AR237" s="126"/>
      <c r="AS237" s="653"/>
      <c r="AT237" s="127"/>
      <c r="AU237" s="21"/>
      <c r="AV237" s="268"/>
      <c r="AW237" s="647"/>
      <c r="AX237" s="124"/>
      <c r="AY237" s="125"/>
      <c r="AZ237" s="653"/>
      <c r="BA237" s="127"/>
      <c r="BB237" s="21"/>
      <c r="BC237" s="647"/>
      <c r="BD237" s="124"/>
      <c r="BE237" s="653"/>
      <c r="BF237" s="127"/>
      <c r="BG237" s="21"/>
      <c r="BH237" s="268"/>
      <c r="BI237" s="647"/>
      <c r="BJ237" s="124"/>
      <c r="BK237" s="653"/>
      <c r="BL237" s="127"/>
      <c r="BM237" s="21"/>
      <c r="BN237" s="268"/>
      <c r="BO237" s="647"/>
      <c r="BP237" s="1169"/>
      <c r="BQ237" s="1056"/>
      <c r="BR237" s="1155"/>
      <c r="BS237" s="126"/>
      <c r="BT237" s="127"/>
      <c r="BU237" s="21"/>
      <c r="BV237" s="714"/>
      <c r="BW237" s="666"/>
      <c r="BX237" s="40"/>
      <c r="BY237" s="44"/>
      <c r="BZ237" s="36"/>
      <c r="CA237" s="21"/>
      <c r="CB237" s="268"/>
      <c r="CC237" s="720" t="s">
        <v>26</v>
      </c>
      <c r="CD237" s="309"/>
      <c r="CE237" s="44"/>
      <c r="CF237" s="36"/>
      <c r="CG237" s="21"/>
      <c r="CH237" s="268"/>
      <c r="CI237" s="917"/>
      <c r="CJ237" s="44"/>
      <c r="CK237" s="44"/>
      <c r="CL237" s="36"/>
      <c r="CM237" s="21"/>
      <c r="CN237" s="268"/>
      <c r="CO237" s="917"/>
      <c r="CP237" s="40"/>
      <c r="CQ237" s="44"/>
      <c r="CR237" s="36"/>
      <c r="CS237" s="21"/>
      <c r="CT237" s="268"/>
      <c r="CU237" s="942"/>
      <c r="CV237" s="73"/>
      <c r="CW237" s="42"/>
      <c r="CX237" s="43"/>
      <c r="CY237" s="567"/>
      <c r="CZ237" s="942"/>
      <c r="DA237" s="21"/>
      <c r="DB237" s="711"/>
      <c r="DC237" s="872"/>
      <c r="DD237" s="40"/>
      <c r="DE237" s="44"/>
      <c r="DF237" s="44"/>
      <c r="DG237" s="36"/>
      <c r="DH237" s="20"/>
      <c r="DI237" s="268"/>
      <c r="DJ237" s="760"/>
      <c r="DK237" s="40"/>
      <c r="DL237" s="44"/>
      <c r="DM237" s="36"/>
      <c r="DN237" s="20"/>
      <c r="DO237" s="268"/>
      <c r="DP237" s="760"/>
      <c r="DQ237" s="40"/>
      <c r="DR237" s="44"/>
      <c r="DS237" s="36"/>
      <c r="DT237" s="20"/>
      <c r="DU237" s="708"/>
      <c r="DV237" s="757"/>
      <c r="DW237" s="309"/>
      <c r="DX237" s="310"/>
      <c r="DY237" s="310"/>
      <c r="DZ237" s="307"/>
      <c r="EA237" s="20"/>
      <c r="EB237" s="268"/>
      <c r="EC237" s="760"/>
      <c r="ED237" s="40"/>
      <c r="EE237" s="44"/>
      <c r="EF237" s="36"/>
      <c r="EG237" s="20"/>
      <c r="EH237" s="268"/>
      <c r="EI237" s="760"/>
      <c r="EJ237" s="40"/>
      <c r="EK237" s="44"/>
      <c r="EL237" s="36"/>
      <c r="EM237" s="20"/>
      <c r="EN237" s="711"/>
    </row>
    <row r="238" spans="1:144" ht="40.15" customHeight="1" thickBot="1" x14ac:dyDescent="0.25">
      <c r="A238" s="6" t="s">
        <v>62</v>
      </c>
      <c r="B238" s="960"/>
      <c r="C238" s="33">
        <f>C237+1</f>
        <v>46211</v>
      </c>
      <c r="D238" s="1"/>
      <c r="E238" s="23"/>
      <c r="F238" s="526"/>
      <c r="G238" s="963"/>
      <c r="H238" s="1"/>
      <c r="I238" s="268"/>
      <c r="J238" s="647"/>
      <c r="K238" s="121"/>
      <c r="L238" s="107"/>
      <c r="M238" s="654"/>
      <c r="N238" s="123"/>
      <c r="O238" s="23"/>
      <c r="P238" s="268"/>
      <c r="Q238" s="647"/>
      <c r="R238" s="654"/>
      <c r="S238" s="647"/>
      <c r="T238" s="654"/>
      <c r="U238" s="121"/>
      <c r="V238" s="107"/>
      <c r="W238" s="23"/>
      <c r="X238" s="268"/>
      <c r="Y238" s="647"/>
      <c r="Z238" s="124"/>
      <c r="AA238" s="125"/>
      <c r="AB238" s="654"/>
      <c r="AC238" s="127"/>
      <c r="AD238" s="21"/>
      <c r="AE238" s="268"/>
      <c r="AF238" s="647"/>
      <c r="AG238" s="647"/>
      <c r="AH238" s="647"/>
      <c r="AI238" s="647"/>
      <c r="AJ238" s="124"/>
      <c r="AK238" s="125"/>
      <c r="AL238" s="654"/>
      <c r="AM238" s="127"/>
      <c r="AN238" s="21"/>
      <c r="AO238" s="268"/>
      <c r="AP238" s="647"/>
      <c r="AQ238" s="138"/>
      <c r="AR238" s="126"/>
      <c r="AS238" s="654"/>
      <c r="AT238" s="127"/>
      <c r="AU238" s="21"/>
      <c r="AV238" s="268"/>
      <c r="AW238" s="647"/>
      <c r="AX238" s="121"/>
      <c r="AY238" s="122"/>
      <c r="AZ238" s="654"/>
      <c r="BA238" s="123"/>
      <c r="BB238" s="21"/>
      <c r="BC238" s="647"/>
      <c r="BD238" s="121"/>
      <c r="BE238" s="654"/>
      <c r="BF238" s="123"/>
      <c r="BG238" s="21"/>
      <c r="BH238" s="268"/>
      <c r="BI238" s="647"/>
      <c r="BJ238" s="121"/>
      <c r="BK238" s="654"/>
      <c r="BL238" s="123"/>
      <c r="BM238" s="21"/>
      <c r="BN238" s="268"/>
      <c r="BO238" s="647"/>
      <c r="BP238" s="1170"/>
      <c r="BQ238" s="1056"/>
      <c r="BR238" s="1156"/>
      <c r="BS238" s="126"/>
      <c r="BT238" s="127"/>
      <c r="BU238" s="21"/>
      <c r="BV238" s="714"/>
      <c r="BW238" s="666"/>
      <c r="BX238" s="63"/>
      <c r="BY238" s="50"/>
      <c r="BZ238" s="60"/>
      <c r="CA238" s="21"/>
      <c r="CB238" s="268"/>
      <c r="CC238" s="720"/>
      <c r="CD238" s="309"/>
      <c r="CE238" s="44"/>
      <c r="CF238" s="36"/>
      <c r="CG238" s="21"/>
      <c r="CH238" s="268"/>
      <c r="CI238" s="917"/>
      <c r="CJ238" s="44"/>
      <c r="CK238" s="310"/>
      <c r="CL238" s="36"/>
      <c r="CM238" s="21"/>
      <c r="CN238" s="268"/>
      <c r="CO238" s="917"/>
      <c r="CP238" s="40"/>
      <c r="CQ238" s="44"/>
      <c r="CR238" s="36"/>
      <c r="CS238" s="21"/>
      <c r="CT238" s="268"/>
      <c r="CU238" s="942"/>
      <c r="CV238" s="73"/>
      <c r="CW238" s="42"/>
      <c r="CX238" s="43"/>
      <c r="CY238" s="567"/>
      <c r="CZ238" s="942"/>
      <c r="DA238" s="21"/>
      <c r="DB238" s="711"/>
      <c r="DC238" s="872"/>
      <c r="DD238" s="40"/>
      <c r="DE238" s="44"/>
      <c r="DF238" s="310"/>
      <c r="DG238" s="36"/>
      <c r="DH238" s="20"/>
      <c r="DI238" s="268"/>
      <c r="DJ238" s="760"/>
      <c r="DK238" s="40"/>
      <c r="DL238" s="44"/>
      <c r="DM238" s="36"/>
      <c r="DN238" s="20"/>
      <c r="DO238" s="276"/>
      <c r="DP238" s="760"/>
      <c r="DQ238" s="40"/>
      <c r="DR238" s="44"/>
      <c r="DS238" s="36"/>
      <c r="DT238" s="20"/>
      <c r="DU238" s="708"/>
      <c r="DV238" s="757"/>
      <c r="DW238" s="309"/>
      <c r="DX238" s="310"/>
      <c r="DY238" s="310"/>
      <c r="DZ238" s="307"/>
      <c r="EA238" s="20"/>
      <c r="EB238" s="268"/>
      <c r="EC238" s="760"/>
      <c r="ED238" s="40"/>
      <c r="EE238" s="44"/>
      <c r="EF238" s="36"/>
      <c r="EG238" s="20"/>
      <c r="EH238" s="268"/>
      <c r="EI238" s="760"/>
      <c r="EJ238" s="40"/>
      <c r="EK238" s="44"/>
      <c r="EL238" s="36"/>
      <c r="EM238" s="20"/>
      <c r="EN238" s="711"/>
    </row>
    <row r="239" spans="1:144" ht="18" customHeight="1" thickBot="1" x14ac:dyDescent="0.25">
      <c r="A239" s="6" t="s">
        <v>62</v>
      </c>
      <c r="B239" s="960"/>
      <c r="C239" s="33">
        <f>C238+1</f>
        <v>46212</v>
      </c>
      <c r="D239" s="1"/>
      <c r="E239" s="23"/>
      <c r="F239" s="526"/>
      <c r="G239" s="963"/>
      <c r="H239" s="1"/>
      <c r="I239" s="268"/>
      <c r="J239" s="647"/>
      <c r="K239" s="121"/>
      <c r="L239" s="107"/>
      <c r="M239" s="107"/>
      <c r="N239" s="123"/>
      <c r="O239" s="23"/>
      <c r="P239" s="268"/>
      <c r="Q239" s="647"/>
      <c r="R239" s="107"/>
      <c r="S239" s="647"/>
      <c r="T239" s="107"/>
      <c r="U239" s="121"/>
      <c r="V239" s="107"/>
      <c r="W239" s="23"/>
      <c r="X239" s="268"/>
      <c r="Y239" s="647"/>
      <c r="Z239" s="124"/>
      <c r="AA239" s="125"/>
      <c r="AB239" s="107"/>
      <c r="AC239" s="127"/>
      <c r="AD239" s="21"/>
      <c r="AE239" s="268"/>
      <c r="AF239" s="647"/>
      <c r="AG239" s="647"/>
      <c r="AH239" s="647"/>
      <c r="AI239" s="647"/>
      <c r="AJ239" s="124"/>
      <c r="AK239" s="125"/>
      <c r="AL239" s="107"/>
      <c r="AM239" s="127"/>
      <c r="AN239" s="21"/>
      <c r="AO239" s="268"/>
      <c r="AP239" s="647"/>
      <c r="AQ239" s="138"/>
      <c r="AR239" s="126"/>
      <c r="AS239" s="107"/>
      <c r="AT239" s="127"/>
      <c r="AU239" s="21"/>
      <c r="AV239" s="268"/>
      <c r="AW239" s="647"/>
      <c r="AX239" s="121"/>
      <c r="AY239" s="122"/>
      <c r="AZ239" s="107"/>
      <c r="BA239" s="123"/>
      <c r="BB239" s="21"/>
      <c r="BC239" s="647"/>
      <c r="BD239" s="121"/>
      <c r="BE239" s="107"/>
      <c r="BF239" s="123"/>
      <c r="BG239" s="21"/>
      <c r="BH239" s="268"/>
      <c r="BI239" s="647"/>
      <c r="BJ239" s="121"/>
      <c r="BK239" s="107"/>
      <c r="BL239" s="123"/>
      <c r="BM239" s="21"/>
      <c r="BN239" s="268"/>
      <c r="BO239" s="647"/>
      <c r="BP239" s="137"/>
      <c r="BQ239" s="1056"/>
      <c r="BR239" s="121"/>
      <c r="BS239" s="126"/>
      <c r="BT239" s="127"/>
      <c r="BU239" s="21"/>
      <c r="BV239" s="714"/>
      <c r="BW239" s="666"/>
      <c r="BX239" s="63"/>
      <c r="BY239" s="50"/>
      <c r="BZ239" s="60"/>
      <c r="CA239" s="21"/>
      <c r="CB239" s="268"/>
      <c r="CC239" s="720"/>
      <c r="CD239" s="309"/>
      <c r="CE239" s="44"/>
      <c r="CF239" s="36"/>
      <c r="CG239" s="21"/>
      <c r="CH239" s="268"/>
      <c r="CI239" s="917"/>
      <c r="CJ239" s="44"/>
      <c r="CK239" s="66" t="s">
        <v>80</v>
      </c>
      <c r="CL239" s="36"/>
      <c r="CM239" s="21"/>
      <c r="CN239" s="268"/>
      <c r="CO239" s="917"/>
      <c r="CP239" s="40"/>
      <c r="CQ239" s="44"/>
      <c r="CR239" s="36"/>
      <c r="CS239" s="21"/>
      <c r="CT239" s="268"/>
      <c r="CU239" s="942"/>
      <c r="CV239" s="73"/>
      <c r="CW239" s="42"/>
      <c r="CX239" s="43"/>
      <c r="CY239" s="567"/>
      <c r="CZ239" s="942"/>
      <c r="DA239" s="21"/>
      <c r="DB239" s="711"/>
      <c r="DC239" s="872"/>
      <c r="DD239" s="40"/>
      <c r="DE239" s="44"/>
      <c r="DF239" s="310"/>
      <c r="DG239" s="36"/>
      <c r="DH239" s="20"/>
      <c r="DI239" s="268"/>
      <c r="DJ239" s="760"/>
      <c r="DK239" s="40"/>
      <c r="DL239" s="44"/>
      <c r="DM239" s="36"/>
      <c r="DN239" s="20"/>
      <c r="DO239" s="276"/>
      <c r="DP239" s="760"/>
      <c r="DQ239" s="40"/>
      <c r="DR239" s="44"/>
      <c r="DS239" s="36"/>
      <c r="DT239" s="20"/>
      <c r="DU239" s="708"/>
      <c r="DV239" s="757"/>
      <c r="DW239" s="309"/>
      <c r="DX239" s="310"/>
      <c r="DZ239" s="307"/>
      <c r="EA239" s="20"/>
      <c r="EB239" s="268"/>
      <c r="EC239" s="760"/>
      <c r="ED239" s="40"/>
      <c r="EE239" s="44"/>
      <c r="EF239" s="36"/>
      <c r="EG239" s="20"/>
      <c r="EH239" s="268"/>
      <c r="EI239" s="760"/>
      <c r="EJ239" s="40"/>
      <c r="EK239" s="44"/>
      <c r="EL239" s="36"/>
      <c r="EM239" s="20"/>
      <c r="EN239" s="711"/>
    </row>
    <row r="240" spans="1:144" ht="18" customHeight="1" thickBot="1" x14ac:dyDescent="0.25">
      <c r="A240" s="6" t="s">
        <v>62</v>
      </c>
      <c r="B240" s="961"/>
      <c r="C240" s="34">
        <f>C239+1</f>
        <v>46213</v>
      </c>
      <c r="D240" s="1"/>
      <c r="E240" s="23"/>
      <c r="F240" s="526"/>
      <c r="G240" s="963"/>
      <c r="H240" s="1"/>
      <c r="I240" s="268"/>
      <c r="J240" s="647"/>
      <c r="K240" s="111"/>
      <c r="L240" s="109"/>
      <c r="M240" s="109"/>
      <c r="N240" s="110"/>
      <c r="O240" s="23"/>
      <c r="P240" s="268"/>
      <c r="Q240" s="647"/>
      <c r="R240" s="109"/>
      <c r="S240" s="647"/>
      <c r="T240" s="109"/>
      <c r="U240" s="111"/>
      <c r="V240" s="109"/>
      <c r="W240" s="23"/>
      <c r="X240" s="268"/>
      <c r="Y240" s="647"/>
      <c r="Z240" s="111"/>
      <c r="AA240" s="144"/>
      <c r="AB240" s="109"/>
      <c r="AC240" s="110"/>
      <c r="AD240" s="21"/>
      <c r="AE240" s="268"/>
      <c r="AF240" s="647"/>
      <c r="AG240" s="647"/>
      <c r="AH240" s="647"/>
      <c r="AI240" s="647"/>
      <c r="AJ240" s="111"/>
      <c r="AK240" s="144"/>
      <c r="AL240" s="109"/>
      <c r="AM240" s="110"/>
      <c r="AN240" s="21"/>
      <c r="AO240" s="268"/>
      <c r="AP240" s="647"/>
      <c r="AQ240" s="111"/>
      <c r="AR240" s="109"/>
      <c r="AS240" s="109"/>
      <c r="AT240" s="110"/>
      <c r="AU240" s="21"/>
      <c r="AV240" s="268"/>
      <c r="AW240" s="647"/>
      <c r="AX240" s="111"/>
      <c r="AY240" s="144"/>
      <c r="AZ240" s="109"/>
      <c r="BA240" s="110"/>
      <c r="BB240" s="21"/>
      <c r="BC240" s="647"/>
      <c r="BD240" s="111"/>
      <c r="BE240" s="109"/>
      <c r="BF240" s="110"/>
      <c r="BG240" s="21"/>
      <c r="BH240" s="268"/>
      <c r="BI240" s="647"/>
      <c r="BJ240" s="111"/>
      <c r="BK240" s="109"/>
      <c r="BL240" s="110"/>
      <c r="BM240" s="21"/>
      <c r="BN240" s="268"/>
      <c r="BO240" s="647"/>
      <c r="BP240" s="139"/>
      <c r="BQ240" s="1056"/>
      <c r="BR240" s="111"/>
      <c r="BS240" s="109"/>
      <c r="BT240" s="110"/>
      <c r="BU240" s="21"/>
      <c r="BV240" s="715"/>
      <c r="BW240" s="666"/>
      <c r="BX240" s="67"/>
      <c r="BY240" s="47"/>
      <c r="BZ240" s="48"/>
      <c r="CA240" s="21"/>
      <c r="CB240" s="268"/>
      <c r="CC240" s="720"/>
      <c r="CD240" s="311"/>
      <c r="CE240" s="59"/>
      <c r="CF240" s="64"/>
      <c r="CG240" s="21"/>
      <c r="CH240" s="268"/>
      <c r="CI240" s="917"/>
      <c r="CJ240" s="59"/>
      <c r="CK240" s="59"/>
      <c r="CL240" s="64"/>
      <c r="CM240" s="21"/>
      <c r="CN240" s="268"/>
      <c r="CO240" s="917"/>
      <c r="CP240" s="45"/>
      <c r="CQ240" s="59"/>
      <c r="CR240" s="64"/>
      <c r="CS240" s="21"/>
      <c r="CT240" s="268"/>
      <c r="CU240" s="942"/>
      <c r="CV240" s="198"/>
      <c r="CW240" s="199"/>
      <c r="CX240" s="200"/>
      <c r="CY240" s="567"/>
      <c r="CZ240" s="942"/>
      <c r="DA240" s="21"/>
      <c r="DB240" s="712"/>
      <c r="DC240" s="872"/>
      <c r="DD240" s="45"/>
      <c r="DE240" s="59"/>
      <c r="DF240" s="59"/>
      <c r="DG240" s="64"/>
      <c r="DH240" s="20"/>
      <c r="DI240" s="268"/>
      <c r="DJ240" s="760"/>
      <c r="DK240" s="45"/>
      <c r="DL240" s="59"/>
      <c r="DM240" s="64"/>
      <c r="DN240" s="20"/>
      <c r="DO240" s="298"/>
      <c r="DP240" s="760"/>
      <c r="DQ240" s="45"/>
      <c r="DR240" s="59"/>
      <c r="DS240" s="64"/>
      <c r="DT240" s="20"/>
      <c r="DU240" s="709"/>
      <c r="DV240" s="757"/>
      <c r="DW240" s="311"/>
      <c r="DX240" s="313"/>
      <c r="DY240" s="313"/>
      <c r="DZ240" s="315"/>
      <c r="EA240" s="20"/>
      <c r="EB240" s="268"/>
      <c r="EC240" s="760"/>
      <c r="ED240" s="45"/>
      <c r="EE240" s="59"/>
      <c r="EF240" s="64"/>
      <c r="EG240" s="20"/>
      <c r="EH240" s="268"/>
      <c r="EI240" s="760"/>
      <c r="EJ240" s="45"/>
      <c r="EK240" s="59"/>
      <c r="EL240" s="64"/>
      <c r="EM240" s="20"/>
      <c r="EN240" s="711"/>
    </row>
    <row r="241" spans="1:144" ht="18" customHeight="1" thickBot="1" x14ac:dyDescent="0.25">
      <c r="A241" s="6" t="s">
        <v>62</v>
      </c>
      <c r="B241" s="959">
        <f>B236+1</f>
        <v>29</v>
      </c>
      <c r="C241" s="222">
        <f>C236+7</f>
        <v>46216</v>
      </c>
      <c r="D241" s="4"/>
      <c r="E241" s="24"/>
      <c r="F241" s="525"/>
      <c r="G241" s="963"/>
      <c r="H241" s="4"/>
      <c r="I241" s="710" t="s">
        <v>219</v>
      </c>
      <c r="J241" s="647"/>
      <c r="K241" s="133"/>
      <c r="L241" s="103"/>
      <c r="M241" s="103"/>
      <c r="N241" s="104"/>
      <c r="O241" s="24"/>
      <c r="P241" s="710" t="s">
        <v>219</v>
      </c>
      <c r="Q241" s="647"/>
      <c r="R241" s="103"/>
      <c r="S241" s="647"/>
      <c r="T241" s="103"/>
      <c r="U241" s="133"/>
      <c r="V241" s="103"/>
      <c r="W241" s="24"/>
      <c r="X241" s="710" t="s">
        <v>219</v>
      </c>
      <c r="Y241" s="647"/>
      <c r="Z241" s="133"/>
      <c r="AA241" s="145"/>
      <c r="AB241" s="103"/>
      <c r="AC241" s="104"/>
      <c r="AD241" s="21"/>
      <c r="AE241" s="710" t="s">
        <v>219</v>
      </c>
      <c r="AF241" s="647"/>
      <c r="AG241" s="647"/>
      <c r="AH241" s="647"/>
      <c r="AI241" s="647"/>
      <c r="AJ241" s="133"/>
      <c r="AK241" s="145"/>
      <c r="AL241" s="103"/>
      <c r="AM241" s="104"/>
      <c r="AN241" s="21"/>
      <c r="AO241" s="710" t="s">
        <v>219</v>
      </c>
      <c r="AP241" s="647"/>
      <c r="AQ241" s="133"/>
      <c r="AR241" s="103"/>
      <c r="AS241" s="103"/>
      <c r="AT241" s="104"/>
      <c r="AU241" s="21"/>
      <c r="AV241" s="710" t="s">
        <v>219</v>
      </c>
      <c r="AW241" s="647"/>
      <c r="AX241" s="133"/>
      <c r="AY241" s="145"/>
      <c r="AZ241" s="103"/>
      <c r="BA241" s="104"/>
      <c r="BB241" s="21"/>
      <c r="BC241" s="647"/>
      <c r="BD241" s="133"/>
      <c r="BE241" s="103"/>
      <c r="BF241" s="104"/>
      <c r="BG241" s="21"/>
      <c r="BH241" s="710" t="s">
        <v>219</v>
      </c>
      <c r="BI241" s="647"/>
      <c r="BJ241" s="133"/>
      <c r="BK241" s="103"/>
      <c r="BL241" s="104"/>
      <c r="BM241" s="21"/>
      <c r="BN241" s="710" t="s">
        <v>219</v>
      </c>
      <c r="BO241" s="647"/>
      <c r="BP241" s="1162"/>
      <c r="BQ241" s="1056"/>
      <c r="BR241" s="133"/>
      <c r="BS241" s="103"/>
      <c r="BT241" s="104"/>
      <c r="BU241" s="21"/>
      <c r="BV241" s="710" t="s">
        <v>220</v>
      </c>
      <c r="BW241" s="759"/>
      <c r="BX241" s="393"/>
      <c r="BY241" s="394"/>
      <c r="BZ241" s="395"/>
      <c r="CA241" s="21"/>
      <c r="CB241" s="268"/>
      <c r="CC241" s="720"/>
      <c r="CD241" s="314"/>
      <c r="CE241" s="308"/>
      <c r="CF241" s="306"/>
      <c r="CG241" s="21"/>
      <c r="CH241" s="773" t="s">
        <v>155</v>
      </c>
      <c r="CI241" s="917"/>
      <c r="CJ241" s="308"/>
      <c r="CK241" s="308"/>
      <c r="CL241" s="306"/>
      <c r="CM241" s="21"/>
      <c r="CN241" s="773" t="s">
        <v>155</v>
      </c>
      <c r="CO241" s="917"/>
      <c r="CP241" s="314"/>
      <c r="CQ241" s="308"/>
      <c r="CR241" s="306"/>
      <c r="CS241" s="21"/>
      <c r="CT241" s="773" t="s">
        <v>155</v>
      </c>
      <c r="CU241" s="942"/>
      <c r="CV241" s="37"/>
      <c r="CW241" s="58"/>
      <c r="CX241" s="201"/>
      <c r="CY241" s="567"/>
      <c r="CZ241" s="942"/>
      <c r="DA241" s="21"/>
      <c r="DB241" s="773" t="s">
        <v>155</v>
      </c>
      <c r="DC241" s="872"/>
      <c r="DD241" s="314"/>
      <c r="DE241" s="308"/>
      <c r="DF241" s="308"/>
      <c r="DG241" s="306"/>
      <c r="DH241" s="20"/>
      <c r="DI241" s="773" t="s">
        <v>155</v>
      </c>
      <c r="DJ241" s="760"/>
      <c r="DK241" s="314"/>
      <c r="DL241" s="308"/>
      <c r="DM241" s="306"/>
      <c r="DN241" s="20"/>
      <c r="DO241" s="773" t="s">
        <v>155</v>
      </c>
      <c r="DP241" s="760"/>
      <c r="DQ241" s="314"/>
      <c r="DR241" s="308"/>
      <c r="DS241" s="306"/>
      <c r="DT241" s="20"/>
      <c r="DU241" s="773" t="s">
        <v>155</v>
      </c>
      <c r="DV241" s="757"/>
      <c r="DW241" s="467"/>
      <c r="DX241" s="323"/>
      <c r="DY241" s="323"/>
      <c r="DZ241" s="324"/>
      <c r="EA241" s="20"/>
      <c r="EB241" s="773" t="s">
        <v>155</v>
      </c>
      <c r="EC241" s="760"/>
      <c r="ED241" s="314"/>
      <c r="EE241" s="308"/>
      <c r="EF241" s="306"/>
      <c r="EG241" s="20"/>
      <c r="EH241" s="773" t="s">
        <v>155</v>
      </c>
      <c r="EI241" s="760"/>
      <c r="EJ241" s="314"/>
      <c r="EK241" s="308"/>
      <c r="EL241" s="306"/>
      <c r="EM241" s="20"/>
      <c r="EN241" s="711"/>
    </row>
    <row r="242" spans="1:144" ht="18" customHeight="1" thickBot="1" x14ac:dyDescent="0.25">
      <c r="A242" s="6" t="s">
        <v>62</v>
      </c>
      <c r="B242" s="960"/>
      <c r="C242" s="331">
        <f>C241+1</f>
        <v>46217</v>
      </c>
      <c r="D242" s="1"/>
      <c r="E242" s="23"/>
      <c r="F242" s="526"/>
      <c r="G242" s="963"/>
      <c r="H242" s="1"/>
      <c r="I242" s="711"/>
      <c r="J242" s="647"/>
      <c r="K242" s="124"/>
      <c r="L242" s="126"/>
      <c r="M242" s="126"/>
      <c r="N242" s="127"/>
      <c r="O242" s="23"/>
      <c r="P242" s="711"/>
      <c r="Q242" s="647"/>
      <c r="R242" s="126"/>
      <c r="S242" s="647"/>
      <c r="T242" s="126"/>
      <c r="U242" s="124"/>
      <c r="V242" s="126"/>
      <c r="W242" s="23"/>
      <c r="X242" s="711"/>
      <c r="Y242" s="647"/>
      <c r="Z242" s="124"/>
      <c r="AA242" s="125"/>
      <c r="AB242" s="126"/>
      <c r="AC242" s="127"/>
      <c r="AD242" s="21"/>
      <c r="AE242" s="711"/>
      <c r="AF242" s="647"/>
      <c r="AG242" s="647"/>
      <c r="AH242" s="647"/>
      <c r="AI242" s="647"/>
      <c r="AJ242" s="124"/>
      <c r="AK242" s="125"/>
      <c r="AL242" s="126"/>
      <c r="AM242" s="127"/>
      <c r="AN242" s="21"/>
      <c r="AO242" s="711"/>
      <c r="AP242" s="647"/>
      <c r="AQ242" s="138"/>
      <c r="AR242" s="126"/>
      <c r="AS242" s="126"/>
      <c r="AT242" s="127"/>
      <c r="AU242" s="21"/>
      <c r="AV242" s="711"/>
      <c r="AW242" s="647"/>
      <c r="AX242" s="124"/>
      <c r="AY242" s="125"/>
      <c r="AZ242" s="126"/>
      <c r="BA242" s="127"/>
      <c r="BB242" s="21"/>
      <c r="BC242" s="647"/>
      <c r="BD242" s="124"/>
      <c r="BE242" s="126"/>
      <c r="BF242" s="127"/>
      <c r="BG242" s="21"/>
      <c r="BH242" s="711"/>
      <c r="BI242" s="647"/>
      <c r="BJ242" s="124"/>
      <c r="BK242" s="126"/>
      <c r="BL242" s="127"/>
      <c r="BM242" s="21"/>
      <c r="BN242" s="711"/>
      <c r="BO242" s="647"/>
      <c r="BP242" s="138"/>
      <c r="BQ242" s="1056"/>
      <c r="BR242" s="124"/>
      <c r="BS242" s="126"/>
      <c r="BT242" s="127"/>
      <c r="BU242" s="21"/>
      <c r="BV242" s="711"/>
      <c r="BW242" s="760"/>
      <c r="BX242" s="238"/>
      <c r="BY242" s="239"/>
      <c r="BZ242" s="240"/>
      <c r="CA242" s="21"/>
      <c r="CB242" s="268"/>
      <c r="CC242" s="720"/>
      <c r="CD242" s="238"/>
      <c r="CE242" s="239"/>
      <c r="CF242" s="240"/>
      <c r="CG242" s="21"/>
      <c r="CH242" s="774"/>
      <c r="CI242" s="917"/>
      <c r="CJ242" s="239"/>
      <c r="CK242" s="239"/>
      <c r="CL242" s="240"/>
      <c r="CM242" s="21"/>
      <c r="CN242" s="774"/>
      <c r="CO242" s="917"/>
      <c r="CP242" s="238"/>
      <c r="CQ242" s="239"/>
      <c r="CR242" s="240"/>
      <c r="CS242" s="21"/>
      <c r="CT242" s="774"/>
      <c r="CU242" s="942"/>
      <c r="CV242" s="357"/>
      <c r="CW242" s="358"/>
      <c r="CX242" s="352"/>
      <c r="CY242" s="567"/>
      <c r="CZ242" s="942"/>
      <c r="DA242" s="21"/>
      <c r="DB242" s="774"/>
      <c r="DC242" s="872"/>
      <c r="DD242" s="238"/>
      <c r="DE242" s="239"/>
      <c r="DF242" s="239"/>
      <c r="DG242" s="240"/>
      <c r="DH242" s="20"/>
      <c r="DI242" s="774"/>
      <c r="DJ242" s="760"/>
      <c r="DK242" s="238"/>
      <c r="DL242" s="239"/>
      <c r="DM242" s="240"/>
      <c r="DN242" s="20"/>
      <c r="DO242" s="774"/>
      <c r="DP242" s="760"/>
      <c r="DQ242" s="238"/>
      <c r="DR242" s="239"/>
      <c r="DS242" s="240"/>
      <c r="DT242" s="20"/>
      <c r="DU242" s="774"/>
      <c r="DV242" s="757"/>
      <c r="DW242" s="486"/>
      <c r="DX242" s="487"/>
      <c r="DY242" s="487"/>
      <c r="DZ242" s="488"/>
      <c r="EA242" s="20"/>
      <c r="EB242" s="774"/>
      <c r="EC242" s="760"/>
      <c r="ED242" s="238"/>
      <c r="EE242" s="239"/>
      <c r="EF242" s="240"/>
      <c r="EG242" s="20"/>
      <c r="EH242" s="774"/>
      <c r="EI242" s="760"/>
      <c r="EJ242" s="238"/>
      <c r="EK242" s="239"/>
      <c r="EL242" s="240"/>
      <c r="EM242" s="20"/>
      <c r="EN242" s="711"/>
    </row>
    <row r="243" spans="1:144" ht="18" customHeight="1" thickBot="1" x14ac:dyDescent="0.25">
      <c r="A243" s="6" t="s">
        <v>62</v>
      </c>
      <c r="B243" s="960"/>
      <c r="C243" s="33">
        <f>C242+1</f>
        <v>46218</v>
      </c>
      <c r="D243" s="1"/>
      <c r="E243" s="23"/>
      <c r="F243" s="526"/>
      <c r="G243" s="963"/>
      <c r="H243" s="1"/>
      <c r="I243" s="711"/>
      <c r="J243" s="647"/>
      <c r="K243" s="121"/>
      <c r="L243" s="107"/>
      <c r="M243" s="107"/>
      <c r="N243" s="123"/>
      <c r="O243" s="23"/>
      <c r="P243" s="711"/>
      <c r="Q243" s="647"/>
      <c r="R243" s="107"/>
      <c r="S243" s="647"/>
      <c r="T243" s="107"/>
      <c r="U243" s="121"/>
      <c r="V243" s="107"/>
      <c r="W243" s="23"/>
      <c r="X243" s="711"/>
      <c r="Y243" s="647"/>
      <c r="Z243" s="124"/>
      <c r="AA243" s="125"/>
      <c r="AB243" s="126"/>
      <c r="AC243" s="127"/>
      <c r="AD243" s="21"/>
      <c r="AE243" s="711"/>
      <c r="AF243" s="647"/>
      <c r="AG243" s="647"/>
      <c r="AH243" s="647"/>
      <c r="AI243" s="647"/>
      <c r="AJ243" s="124"/>
      <c r="AK243" s="125"/>
      <c r="AL243" s="126"/>
      <c r="AM243" s="127"/>
      <c r="AN243" s="21"/>
      <c r="AO243" s="711"/>
      <c r="AP243" s="647"/>
      <c r="AQ243" s="138"/>
      <c r="AR243" s="126"/>
      <c r="AS243" s="126"/>
      <c r="AT243" s="127"/>
      <c r="AU243" s="21"/>
      <c r="AV243" s="711"/>
      <c r="AW243" s="647"/>
      <c r="AX243" s="121"/>
      <c r="AY243" s="122"/>
      <c r="AZ243" s="107"/>
      <c r="BA243" s="123"/>
      <c r="BB243" s="21"/>
      <c r="BC243" s="647"/>
      <c r="BD243" s="121"/>
      <c r="BE243" s="107"/>
      <c r="BF243" s="123"/>
      <c r="BG243" s="21"/>
      <c r="BH243" s="711"/>
      <c r="BI243" s="647"/>
      <c r="BJ243" s="121"/>
      <c r="BK243" s="107"/>
      <c r="BL243" s="123"/>
      <c r="BM243" s="21"/>
      <c r="BN243" s="711"/>
      <c r="BO243" s="647"/>
      <c r="BP243" s="138"/>
      <c r="BQ243" s="1056"/>
      <c r="BR243" s="124"/>
      <c r="BS243" s="126"/>
      <c r="BT243" s="127"/>
      <c r="BU243" s="21"/>
      <c r="BV243" s="711"/>
      <c r="BW243" s="760"/>
      <c r="BX243" s="63"/>
      <c r="BY243" s="50"/>
      <c r="BZ243" s="60"/>
      <c r="CA243" s="21"/>
      <c r="CB243" s="268"/>
      <c r="CC243" s="720"/>
      <c r="CD243" s="309"/>
      <c r="CE243" s="44"/>
      <c r="CF243" s="36"/>
      <c r="CG243" s="21"/>
      <c r="CH243" s="774"/>
      <c r="CI243" s="917"/>
      <c r="CJ243" s="44"/>
      <c r="CK243" s="44"/>
      <c r="CL243" s="36"/>
      <c r="CM243" s="21"/>
      <c r="CN243" s="774"/>
      <c r="CO243" s="917"/>
      <c r="CP243" s="40"/>
      <c r="CQ243" s="44"/>
      <c r="CR243" s="36"/>
      <c r="CS243" s="21"/>
      <c r="CT243" s="774"/>
      <c r="CU243" s="942"/>
      <c r="CV243" s="73"/>
      <c r="CW243" s="42"/>
      <c r="CX243" s="43"/>
      <c r="CY243" s="567"/>
      <c r="CZ243" s="942"/>
      <c r="DA243" s="21"/>
      <c r="DB243" s="774"/>
      <c r="DC243" s="872"/>
      <c r="DD243" s="40"/>
      <c r="DE243" s="44"/>
      <c r="DF243" s="44"/>
      <c r="DG243" s="36"/>
      <c r="DH243" s="20"/>
      <c r="DI243" s="774"/>
      <c r="DJ243" s="760"/>
      <c r="DK243" s="40"/>
      <c r="DL243" s="44"/>
      <c r="DM243" s="36"/>
      <c r="DN243" s="20"/>
      <c r="DO243" s="774"/>
      <c r="DP243" s="760"/>
      <c r="DQ243" s="40"/>
      <c r="DR243" s="44"/>
      <c r="DS243" s="36"/>
      <c r="DT243" s="20"/>
      <c r="DU243" s="774"/>
      <c r="DV243" s="757"/>
      <c r="DW243" s="81"/>
      <c r="DX243" s="83"/>
      <c r="DY243" s="83"/>
      <c r="DZ243" s="84"/>
      <c r="EA243" s="20"/>
      <c r="EB243" s="774"/>
      <c r="EC243" s="760"/>
      <c r="ED243" s="40"/>
      <c r="EE243" s="44"/>
      <c r="EF243" s="36"/>
      <c r="EG243" s="20"/>
      <c r="EH243" s="774"/>
      <c r="EI243" s="760"/>
      <c r="EJ243" s="40"/>
      <c r="EK243" s="44"/>
      <c r="EL243" s="36"/>
      <c r="EM243" s="20"/>
      <c r="EN243" s="711"/>
    </row>
    <row r="244" spans="1:144" ht="18" customHeight="1" thickBot="1" x14ac:dyDescent="0.25">
      <c r="A244" s="6" t="s">
        <v>62</v>
      </c>
      <c r="B244" s="960"/>
      <c r="C244" s="33">
        <f>C243+1</f>
        <v>46219</v>
      </c>
      <c r="D244" s="1"/>
      <c r="E244" s="24" t="s">
        <v>403</v>
      </c>
      <c r="F244" s="585"/>
      <c r="G244" s="963"/>
      <c r="H244" s="1"/>
      <c r="I244" s="711"/>
      <c r="J244" s="647"/>
      <c r="K244" s="124"/>
      <c r="L244" s="126"/>
      <c r="M244" s="126"/>
      <c r="N244" s="127"/>
      <c r="O244" s="23"/>
      <c r="P244" s="711"/>
      <c r="Q244" s="647"/>
      <c r="R244" s="126"/>
      <c r="S244" s="647"/>
      <c r="T244" s="126"/>
      <c r="U244" s="124"/>
      <c r="V244" s="126"/>
      <c r="W244" s="23"/>
      <c r="X244" s="711"/>
      <c r="Y244" s="647"/>
      <c r="Z244" s="124"/>
      <c r="AA244" s="125"/>
      <c r="AB244" s="126"/>
      <c r="AC244" s="127"/>
      <c r="AD244" s="21"/>
      <c r="AE244" s="711"/>
      <c r="AF244" s="647"/>
      <c r="AG244" s="647"/>
      <c r="AH244" s="647"/>
      <c r="AI244" s="647"/>
      <c r="AJ244" s="124"/>
      <c r="AK244" s="125"/>
      <c r="AL244" s="126"/>
      <c r="AM244" s="127"/>
      <c r="AN244" s="21"/>
      <c r="AO244" s="711"/>
      <c r="AP244" s="647"/>
      <c r="AQ244" s="138"/>
      <c r="AR244" s="126"/>
      <c r="AS244" s="126"/>
      <c r="AT244" s="127"/>
      <c r="AU244" s="21"/>
      <c r="AV244" s="711"/>
      <c r="AW244" s="647"/>
      <c r="AX244" s="124"/>
      <c r="AY244" s="125"/>
      <c r="AZ244" s="126"/>
      <c r="BA244" s="127"/>
      <c r="BB244" s="21"/>
      <c r="BC244" s="647"/>
      <c r="BD244" s="124"/>
      <c r="BE244" s="126"/>
      <c r="BF244" s="127"/>
      <c r="BG244" s="21"/>
      <c r="BH244" s="711"/>
      <c r="BI244" s="647"/>
      <c r="BJ244" s="124"/>
      <c r="BK244" s="126"/>
      <c r="BL244" s="127"/>
      <c r="BM244" s="21"/>
      <c r="BN244" s="711"/>
      <c r="BO244" s="647"/>
      <c r="BP244" s="138"/>
      <c r="BQ244" s="1056"/>
      <c r="BR244" s="124"/>
      <c r="BS244" s="126"/>
      <c r="BT244" s="127"/>
      <c r="BU244" s="21"/>
      <c r="BV244" s="711"/>
      <c r="BW244" s="760"/>
      <c r="BX244" s="40"/>
      <c r="BY244" s="44"/>
      <c r="BZ244" s="36"/>
      <c r="CA244" s="21"/>
      <c r="CB244" s="268"/>
      <c r="CC244" s="720"/>
      <c r="CD244" s="309"/>
      <c r="CE244" s="44"/>
      <c r="CF244" s="36"/>
      <c r="CG244" s="21"/>
      <c r="CH244" s="774"/>
      <c r="CI244" s="917"/>
      <c r="CJ244" s="44"/>
      <c r="CK244" s="310"/>
      <c r="CL244" s="36"/>
      <c r="CM244" s="21"/>
      <c r="CN244" s="774"/>
      <c r="CO244" s="917"/>
      <c r="CP244" s="40"/>
      <c r="CQ244" s="44"/>
      <c r="CR244" s="36"/>
      <c r="CS244" s="21"/>
      <c r="CT244" s="774"/>
      <c r="CU244" s="942"/>
      <c r="CV244" s="73"/>
      <c r="CW244" s="42"/>
      <c r="CX244" s="43"/>
      <c r="CY244" s="567"/>
      <c r="CZ244" s="942"/>
      <c r="DA244" s="21"/>
      <c r="DB244" s="774"/>
      <c r="DC244" s="872"/>
      <c r="DD244" s="40"/>
      <c r="DE244" s="44"/>
      <c r="DF244" s="66" t="s">
        <v>80</v>
      </c>
      <c r="DG244" s="36"/>
      <c r="DH244" s="20"/>
      <c r="DI244" s="774"/>
      <c r="DJ244" s="760"/>
      <c r="DK244" s="40"/>
      <c r="DL244" s="44"/>
      <c r="DM244" s="36"/>
      <c r="DN244" s="20"/>
      <c r="DO244" s="774"/>
      <c r="DP244" s="760"/>
      <c r="DQ244" s="40"/>
      <c r="DR244" s="44"/>
      <c r="DS244" s="36"/>
      <c r="DT244" s="20"/>
      <c r="DU244" s="774"/>
      <c r="DV244" s="757"/>
      <c r="DW244" s="40"/>
      <c r="DX244" s="44"/>
      <c r="DY244" s="66" t="s">
        <v>80</v>
      </c>
      <c r="DZ244" s="36"/>
      <c r="EA244" s="20"/>
      <c r="EB244" s="774"/>
      <c r="EC244" s="760"/>
      <c r="ED244" s="40"/>
      <c r="EE244" s="44"/>
      <c r="EF244" s="36"/>
      <c r="EG244" s="20"/>
      <c r="EH244" s="774"/>
      <c r="EI244" s="760"/>
      <c r="EJ244" s="40"/>
      <c r="EK244" s="44"/>
      <c r="EL244" s="36"/>
      <c r="EM244" s="20"/>
      <c r="EN244" s="711"/>
    </row>
    <row r="245" spans="1:144" ht="18" customHeight="1" thickBot="1" x14ac:dyDescent="0.25">
      <c r="A245" s="6" t="s">
        <v>71</v>
      </c>
      <c r="B245" s="961"/>
      <c r="C245" s="34">
        <f>C244+1</f>
        <v>46220</v>
      </c>
      <c r="D245" s="1"/>
      <c r="E245" s="23"/>
      <c r="F245" s="526"/>
      <c r="G245" s="963"/>
      <c r="H245" s="1"/>
      <c r="I245" s="712"/>
      <c r="J245" s="647"/>
      <c r="K245" s="111"/>
      <c r="L245" s="109"/>
      <c r="M245" s="109"/>
      <c r="N245" s="110"/>
      <c r="O245" s="23"/>
      <c r="P245" s="712"/>
      <c r="Q245" s="647"/>
      <c r="R245" s="109"/>
      <c r="S245" s="647"/>
      <c r="T245" s="109"/>
      <c r="U245" s="111"/>
      <c r="V245" s="109"/>
      <c r="W245" s="23"/>
      <c r="X245" s="712"/>
      <c r="Y245" s="647"/>
      <c r="Z245" s="111"/>
      <c r="AA245" s="144"/>
      <c r="AB245" s="109"/>
      <c r="AC245" s="110"/>
      <c r="AD245" s="21"/>
      <c r="AE245" s="712"/>
      <c r="AF245" s="647"/>
      <c r="AG245" s="647"/>
      <c r="AH245" s="647"/>
      <c r="AI245" s="647"/>
      <c r="AJ245" s="111"/>
      <c r="AK245" s="144"/>
      <c r="AL245" s="109"/>
      <c r="AM245" s="110"/>
      <c r="AN245" s="21"/>
      <c r="AO245" s="712"/>
      <c r="AP245" s="647"/>
      <c r="AQ245" s="111"/>
      <c r="AR245" s="109"/>
      <c r="AS245" s="109"/>
      <c r="AT245" s="110"/>
      <c r="AU245" s="21"/>
      <c r="AV245" s="712"/>
      <c r="AW245" s="647"/>
      <c r="AX245" s="111"/>
      <c r="AY245" s="144"/>
      <c r="AZ245" s="109"/>
      <c r="BA245" s="110"/>
      <c r="BB245" s="21"/>
      <c r="BC245" s="647"/>
      <c r="BD245" s="111"/>
      <c r="BE245" s="109"/>
      <c r="BF245" s="110"/>
      <c r="BG245" s="21"/>
      <c r="BH245" s="712"/>
      <c r="BI245" s="647"/>
      <c r="BJ245" s="111"/>
      <c r="BK245" s="109"/>
      <c r="BL245" s="110"/>
      <c r="BM245" s="21"/>
      <c r="BN245" s="712"/>
      <c r="BO245" s="647"/>
      <c r="BP245" s="139"/>
      <c r="BQ245" s="1056"/>
      <c r="BR245" s="111"/>
      <c r="BS245" s="109"/>
      <c r="BT245" s="110"/>
      <c r="BU245" s="21"/>
      <c r="BV245" s="712"/>
      <c r="BW245" s="760"/>
      <c r="BX245" s="67"/>
      <c r="BY245" s="47"/>
      <c r="BZ245" s="48"/>
      <c r="CA245" s="21"/>
      <c r="CB245" s="268"/>
      <c r="CC245" s="720"/>
      <c r="CD245" s="311"/>
      <c r="CE245" s="59"/>
      <c r="CF245" s="64"/>
      <c r="CG245" s="21"/>
      <c r="CH245" s="775"/>
      <c r="CI245" s="917"/>
      <c r="CJ245" s="59"/>
      <c r="CK245" s="59"/>
      <c r="CL245" s="64"/>
      <c r="CM245" s="21"/>
      <c r="CN245" s="775"/>
      <c r="CO245" s="917"/>
      <c r="CP245" s="45"/>
      <c r="CQ245" s="59"/>
      <c r="CR245" s="64"/>
      <c r="CS245" s="21"/>
      <c r="CT245" s="775"/>
      <c r="CU245" s="942"/>
      <c r="CV245" s="198"/>
      <c r="CW245" s="199"/>
      <c r="CX245" s="200"/>
      <c r="CY245" s="567"/>
      <c r="CZ245" s="942"/>
      <c r="DA245" s="21"/>
      <c r="DB245" s="775"/>
      <c r="DC245" s="872"/>
      <c r="DD245" s="45"/>
      <c r="DE245" s="59"/>
      <c r="DF245" s="59"/>
      <c r="DG245" s="64"/>
      <c r="DH245" s="20"/>
      <c r="DI245" s="775"/>
      <c r="DJ245" s="760"/>
      <c r="DK245" s="45"/>
      <c r="DL245" s="59"/>
      <c r="DM245" s="64"/>
      <c r="DN245" s="20"/>
      <c r="DO245" s="775"/>
      <c r="DP245" s="760"/>
      <c r="DQ245" s="45"/>
      <c r="DR245" s="59"/>
      <c r="DS245" s="64"/>
      <c r="DT245" s="20"/>
      <c r="DU245" s="775"/>
      <c r="DV245" s="757"/>
      <c r="DW245" s="45"/>
      <c r="DX245" s="59"/>
      <c r="DY245" s="59"/>
      <c r="DZ245" s="64"/>
      <c r="EA245" s="20"/>
      <c r="EB245" s="775"/>
      <c r="EC245" s="760"/>
      <c r="ED245" s="45"/>
      <c r="EE245" s="59"/>
      <c r="EF245" s="64"/>
      <c r="EG245" s="20"/>
      <c r="EH245" s="775"/>
      <c r="EI245" s="760"/>
      <c r="EJ245" s="45"/>
      <c r="EK245" s="59"/>
      <c r="EL245" s="64"/>
      <c r="EM245" s="20"/>
      <c r="EN245" s="712"/>
    </row>
    <row r="246" spans="1:144" ht="18" customHeight="1" thickBot="1" x14ac:dyDescent="0.25">
      <c r="A246" s="6" t="s">
        <v>62</v>
      </c>
      <c r="B246" s="959">
        <f>B241+1</f>
        <v>30</v>
      </c>
      <c r="C246" s="89">
        <f>C241+7</f>
        <v>46223</v>
      </c>
      <c r="D246" s="4"/>
      <c r="E246" s="24"/>
      <c r="F246" s="525"/>
      <c r="G246" s="963"/>
      <c r="H246" s="4"/>
      <c r="I246" s="265"/>
      <c r="J246" s="647"/>
      <c r="K246" s="133"/>
      <c r="L246" s="103"/>
      <c r="M246" s="103"/>
      <c r="N246" s="104"/>
      <c r="O246" s="24"/>
      <c r="P246" s="624"/>
      <c r="Q246" s="647"/>
      <c r="R246" s="103"/>
      <c r="S246" s="647"/>
      <c r="T246" s="103"/>
      <c r="U246" s="133"/>
      <c r="V246" s="103"/>
      <c r="W246" s="24"/>
      <c r="X246" s="268"/>
      <c r="Y246" s="647"/>
      <c r="Z246" s="133"/>
      <c r="AA246" s="145"/>
      <c r="AB246" s="103"/>
      <c r="AC246" s="104"/>
      <c r="AD246" s="21"/>
      <c r="AE246" s="268"/>
      <c r="AF246" s="647"/>
      <c r="AG246" s="647"/>
      <c r="AH246" s="647"/>
      <c r="AI246" s="647"/>
      <c r="AJ246" s="133"/>
      <c r="AK246" s="145"/>
      <c r="AL246" s="103"/>
      <c r="AM246" s="104"/>
      <c r="AN246" s="21"/>
      <c r="AO246" s="268"/>
      <c r="AP246" s="647"/>
      <c r="AQ246" s="133"/>
      <c r="AR246" s="103"/>
      <c r="AS246" s="103"/>
      <c r="AT246" s="104"/>
      <c r="AU246" s="21"/>
      <c r="AV246" s="268"/>
      <c r="AW246" s="647"/>
      <c r="AX246" s="133"/>
      <c r="AY246" s="145"/>
      <c r="AZ246" s="103"/>
      <c r="BA246" s="104"/>
      <c r="BB246" s="21"/>
      <c r="BC246" s="647"/>
      <c r="BD246" s="133"/>
      <c r="BE246" s="103"/>
      <c r="BF246" s="104"/>
      <c r="BG246" s="21"/>
      <c r="BH246" s="268"/>
      <c r="BI246" s="647"/>
      <c r="BJ246" s="133"/>
      <c r="BK246" s="103"/>
      <c r="BL246" s="104"/>
      <c r="BM246" s="21"/>
      <c r="BN246" s="268"/>
      <c r="BO246" s="647"/>
      <c r="BP246" s="1162"/>
      <c r="BQ246" s="1056"/>
      <c r="BR246" s="133"/>
      <c r="BS246" s="103"/>
      <c r="BT246" s="104"/>
      <c r="BU246" s="21"/>
      <c r="BV246" s="273"/>
      <c r="BW246" s="760"/>
      <c r="BX246" s="132"/>
      <c r="BY246" s="56"/>
      <c r="BZ246" s="57"/>
      <c r="CA246" s="21"/>
      <c r="CB246" s="268"/>
      <c r="CC246" s="720"/>
      <c r="CD246" s="314"/>
      <c r="CE246" s="39"/>
      <c r="CF246" s="35"/>
      <c r="CG246" s="21"/>
      <c r="CH246" s="268"/>
      <c r="CI246" s="917"/>
      <c r="CJ246" s="39"/>
      <c r="CK246" s="39"/>
      <c r="CL246" s="35"/>
      <c r="CM246" s="21"/>
      <c r="CN246" s="268"/>
      <c r="CO246" s="917"/>
      <c r="CP246" s="61"/>
      <c r="CQ246" s="39"/>
      <c r="CR246" s="35"/>
      <c r="CS246" s="21"/>
      <c r="CT246" s="268"/>
      <c r="CU246" s="942"/>
      <c r="CV246" s="37"/>
      <c r="CW246" s="58"/>
      <c r="CX246" s="201"/>
      <c r="CY246" s="567"/>
      <c r="CZ246" s="942"/>
      <c r="DA246" s="21"/>
      <c r="DB246" s="268"/>
      <c r="DC246" s="872"/>
      <c r="DD246" s="61"/>
      <c r="DE246" s="39"/>
      <c r="DF246" s="39"/>
      <c r="DG246" s="35"/>
      <c r="DH246" s="20"/>
      <c r="DI246" s="268"/>
      <c r="DJ246" s="760"/>
      <c r="DK246" s="61"/>
      <c r="DL246" s="39"/>
      <c r="DM246" s="35"/>
      <c r="DN246" s="20"/>
      <c r="DO246" s="268"/>
      <c r="DP246" s="760"/>
      <c r="DQ246" s="61"/>
      <c r="DR246" s="39"/>
      <c r="DS246" s="35"/>
      <c r="DT246" s="20"/>
      <c r="DU246" s="268"/>
      <c r="DV246" s="757"/>
      <c r="DW246" s="61"/>
      <c r="DX246" s="39"/>
      <c r="DY246" s="39"/>
      <c r="DZ246" s="35"/>
      <c r="EA246" s="20"/>
      <c r="EB246" s="268"/>
      <c r="EC246" s="760"/>
      <c r="ED246" s="61"/>
      <c r="EE246" s="39"/>
      <c r="EF246" s="35"/>
      <c r="EG246" s="20"/>
      <c r="EH246" s="268"/>
      <c r="EI246" s="760"/>
      <c r="EJ246" s="61"/>
      <c r="EK246" s="39"/>
      <c r="EL246" s="35"/>
      <c r="EM246" s="20"/>
      <c r="EN246" s="268"/>
    </row>
    <row r="247" spans="1:144" ht="18" customHeight="1" thickBot="1" x14ac:dyDescent="0.25">
      <c r="A247" s="6" t="s">
        <v>62</v>
      </c>
      <c r="B247" s="960"/>
      <c r="C247" s="33">
        <f>C246+1</f>
        <v>46224</v>
      </c>
      <c r="D247" s="1"/>
      <c r="E247" s="23"/>
      <c r="F247" s="526"/>
      <c r="G247" s="963"/>
      <c r="H247" s="1"/>
      <c r="I247" s="265"/>
      <c r="J247" s="647"/>
      <c r="K247" s="138"/>
      <c r="L247" s="126"/>
      <c r="M247" s="126"/>
      <c r="N247" s="127"/>
      <c r="O247" s="23"/>
      <c r="P247" s="624"/>
      <c r="Q247" s="647"/>
      <c r="R247" s="126"/>
      <c r="S247" s="647"/>
      <c r="T247" s="126"/>
      <c r="U247" s="138"/>
      <c r="V247" s="126"/>
      <c r="W247" s="23"/>
      <c r="X247" s="268"/>
      <c r="Y247" s="647"/>
      <c r="Z247" s="124"/>
      <c r="AA247" s="125"/>
      <c r="AB247" s="126"/>
      <c r="AC247" s="127"/>
      <c r="AD247" s="21"/>
      <c r="AE247" s="268"/>
      <c r="AF247" s="647"/>
      <c r="AG247" s="647"/>
      <c r="AH247" s="647"/>
      <c r="AI247" s="647"/>
      <c r="AJ247" s="124"/>
      <c r="AK247" s="125"/>
      <c r="AL247" s="126"/>
      <c r="AM247" s="127"/>
      <c r="AN247" s="21"/>
      <c r="AO247" s="268"/>
      <c r="AP247" s="647"/>
      <c r="AQ247" s="138"/>
      <c r="AR247" s="126"/>
      <c r="AS247" s="126"/>
      <c r="AT247" s="127"/>
      <c r="AU247" s="21"/>
      <c r="AV247" s="268"/>
      <c r="AW247" s="647"/>
      <c r="AX247" s="124"/>
      <c r="AY247" s="125"/>
      <c r="AZ247" s="126"/>
      <c r="BA247" s="127"/>
      <c r="BB247" s="21"/>
      <c r="BC247" s="647"/>
      <c r="BD247" s="124"/>
      <c r="BE247" s="126"/>
      <c r="BF247" s="127"/>
      <c r="BG247" s="21"/>
      <c r="BH247" s="268"/>
      <c r="BI247" s="647"/>
      <c r="BJ247" s="124"/>
      <c r="BK247" s="126"/>
      <c r="BL247" s="127"/>
      <c r="BM247" s="21"/>
      <c r="BN247" s="268"/>
      <c r="BO247" s="647"/>
      <c r="BP247" s="138"/>
      <c r="BQ247" s="1056"/>
      <c r="BR247" s="124"/>
      <c r="BS247" s="126"/>
      <c r="BT247" s="127"/>
      <c r="BU247" s="21"/>
      <c r="BV247" s="274"/>
      <c r="BW247" s="760"/>
      <c r="BX247" s="40"/>
      <c r="BY247" s="44"/>
      <c r="BZ247" s="36"/>
      <c r="CA247" s="21"/>
      <c r="CB247" s="268"/>
      <c r="CC247" s="720"/>
      <c r="CD247" s="309"/>
      <c r="CE247" s="44"/>
      <c r="CF247" s="36"/>
      <c r="CG247" s="21"/>
      <c r="CH247" s="268"/>
      <c r="CI247" s="917"/>
      <c r="CJ247" s="44"/>
      <c r="CK247" s="44"/>
      <c r="CL247" s="36"/>
      <c r="CM247" s="21"/>
      <c r="CN247" s="268"/>
      <c r="CO247" s="917"/>
      <c r="CP247" s="40"/>
      <c r="CQ247" s="44"/>
      <c r="CR247" s="36"/>
      <c r="CS247" s="21"/>
      <c r="CT247" s="268"/>
      <c r="CU247" s="942"/>
      <c r="CV247" s="73"/>
      <c r="CW247" s="42"/>
      <c r="CX247" s="43"/>
      <c r="CY247" s="567"/>
      <c r="CZ247" s="942"/>
      <c r="DA247" s="21"/>
      <c r="DB247" s="268"/>
      <c r="DC247" s="872"/>
      <c r="DD247" s="40"/>
      <c r="DE247" s="44"/>
      <c r="DF247" s="44"/>
      <c r="DG247" s="36"/>
      <c r="DH247" s="20"/>
      <c r="DI247" s="268"/>
      <c r="DJ247" s="760"/>
      <c r="DK247" s="40"/>
      <c r="DL247" s="44"/>
      <c r="DM247" s="36"/>
      <c r="DN247" s="20"/>
      <c r="DO247" s="268"/>
      <c r="DP247" s="760"/>
      <c r="DQ247" s="40"/>
      <c r="DR247" s="44"/>
      <c r="DS247" s="36"/>
      <c r="DT247" s="20"/>
      <c r="DU247" s="268"/>
      <c r="DV247" s="757"/>
      <c r="DW247" s="40"/>
      <c r="DX247" s="44"/>
      <c r="DY247" s="44"/>
      <c r="DZ247" s="36"/>
      <c r="EA247" s="20"/>
      <c r="EB247" s="268"/>
      <c r="EC247" s="760"/>
      <c r="ED247" s="40"/>
      <c r="EE247" s="44"/>
      <c r="EF247" s="36"/>
      <c r="EG247" s="20"/>
      <c r="EH247" s="268"/>
      <c r="EI247" s="760"/>
      <c r="EJ247" s="40"/>
      <c r="EK247" s="44"/>
      <c r="EL247" s="36"/>
      <c r="EM247" s="20"/>
      <c r="EN247" s="268"/>
    </row>
    <row r="248" spans="1:144" ht="18" customHeight="1" thickBot="1" x14ac:dyDescent="0.25">
      <c r="A248" s="6" t="s">
        <v>62</v>
      </c>
      <c r="B248" s="960"/>
      <c r="C248" s="33">
        <f>C247+1</f>
        <v>46225</v>
      </c>
      <c r="D248" s="1"/>
      <c r="E248" s="23"/>
      <c r="F248" s="526"/>
      <c r="G248" s="963"/>
      <c r="H248" s="1"/>
      <c r="I248" s="265"/>
      <c r="J248" s="647"/>
      <c r="K248" s="138"/>
      <c r="L248" s="126"/>
      <c r="M248" s="126"/>
      <c r="N248" s="127"/>
      <c r="O248" s="23"/>
      <c r="P248" s="624"/>
      <c r="Q248" s="647"/>
      <c r="R248" s="126"/>
      <c r="S248" s="647"/>
      <c r="T248" s="126"/>
      <c r="U248" s="138"/>
      <c r="V248" s="126"/>
      <c r="W248" s="23"/>
      <c r="X248" s="268"/>
      <c r="Y248" s="647"/>
      <c r="Z248" s="124"/>
      <c r="AA248" s="125"/>
      <c r="AB248" s="126"/>
      <c r="AC248" s="127"/>
      <c r="AD248" s="21"/>
      <c r="AE248" s="268"/>
      <c r="AF248" s="647"/>
      <c r="AG248" s="647"/>
      <c r="AH248" s="647"/>
      <c r="AI248" s="647"/>
      <c r="AJ248" s="124"/>
      <c r="AK248" s="125"/>
      <c r="AL248" s="126"/>
      <c r="AM248" s="127"/>
      <c r="AN248" s="21"/>
      <c r="AO248" s="268"/>
      <c r="AP248" s="647"/>
      <c r="AQ248" s="138"/>
      <c r="AR248" s="126"/>
      <c r="AS248" s="126"/>
      <c r="AT248" s="127"/>
      <c r="AU248" s="21"/>
      <c r="AV248" s="268"/>
      <c r="AW248" s="647"/>
      <c r="AX248" s="124"/>
      <c r="AY248" s="125"/>
      <c r="AZ248" s="126"/>
      <c r="BA248" s="127"/>
      <c r="BB248" s="21"/>
      <c r="BC248" s="647"/>
      <c r="BD248" s="124"/>
      <c r="BE248" s="126"/>
      <c r="BF248" s="127"/>
      <c r="BG248" s="21"/>
      <c r="BH248" s="268"/>
      <c r="BI248" s="647"/>
      <c r="BJ248" s="124"/>
      <c r="BK248" s="126"/>
      <c r="BL248" s="127"/>
      <c r="BM248" s="21"/>
      <c r="BN248" s="268"/>
      <c r="BO248" s="647"/>
      <c r="BP248" s="138"/>
      <c r="BQ248" s="1056"/>
      <c r="BR248" s="124"/>
      <c r="BS248" s="126"/>
      <c r="BT248" s="127"/>
      <c r="BU248" s="21"/>
      <c r="BV248" s="274"/>
      <c r="BW248" s="760"/>
      <c r="BX248" s="40"/>
      <c r="BY248" s="44"/>
      <c r="BZ248" s="36"/>
      <c r="CA248" s="21"/>
      <c r="CB248" s="268"/>
      <c r="CC248" s="720"/>
      <c r="CD248" s="309"/>
      <c r="CE248" s="44"/>
      <c r="CF248" s="36"/>
      <c r="CG248" s="21"/>
      <c r="CH248" s="268"/>
      <c r="CI248" s="917"/>
      <c r="CJ248" s="44"/>
      <c r="CK248" s="44"/>
      <c r="CL248" s="36"/>
      <c r="CM248" s="21"/>
      <c r="CN248" s="268"/>
      <c r="CO248" s="917"/>
      <c r="CP248" s="40"/>
      <c r="CQ248" s="44"/>
      <c r="CR248" s="36"/>
      <c r="CS248" s="21"/>
      <c r="CT248" s="268"/>
      <c r="CU248" s="942"/>
      <c r="CV248" s="73"/>
      <c r="CW248" s="42"/>
      <c r="CX248" s="43"/>
      <c r="CY248" s="567"/>
      <c r="CZ248" s="942"/>
      <c r="DA248" s="21"/>
      <c r="DB248" s="268"/>
      <c r="DC248" s="872"/>
      <c r="DD248" s="40"/>
      <c r="DE248" s="44"/>
      <c r="DF248" s="44"/>
      <c r="DG248" s="36"/>
      <c r="DH248" s="20"/>
      <c r="DI248" s="268"/>
      <c r="DJ248" s="760"/>
      <c r="DK248" s="40"/>
      <c r="DL248" s="44"/>
      <c r="DM248" s="36"/>
      <c r="DN248" s="20"/>
      <c r="DO248" s="268"/>
      <c r="DP248" s="760"/>
      <c r="DQ248" s="40"/>
      <c r="DR248" s="44"/>
      <c r="DS248" s="36"/>
      <c r="DT248" s="20"/>
      <c r="DU248" s="268"/>
      <c r="DV248" s="757"/>
      <c r="DW248" s="40"/>
      <c r="DX248" s="44"/>
      <c r="DY248" s="44"/>
      <c r="DZ248" s="36"/>
      <c r="EA248" s="20"/>
      <c r="EB248" s="268"/>
      <c r="EC248" s="760"/>
      <c r="ED248" s="40"/>
      <c r="EE248" s="44"/>
      <c r="EF248" s="36"/>
      <c r="EG248" s="20"/>
      <c r="EH248" s="268"/>
      <c r="EI248" s="760"/>
      <c r="EJ248" s="40"/>
      <c r="EK248" s="44"/>
      <c r="EL248" s="36"/>
      <c r="EM248" s="20"/>
      <c r="EN248" s="268"/>
    </row>
    <row r="249" spans="1:144" ht="18" customHeight="1" thickBot="1" x14ac:dyDescent="0.25">
      <c r="A249" s="6" t="s">
        <v>62</v>
      </c>
      <c r="B249" s="960"/>
      <c r="C249" s="33">
        <f>C248+1</f>
        <v>46226</v>
      </c>
      <c r="D249" s="1"/>
      <c r="E249" s="23"/>
      <c r="F249" s="526"/>
      <c r="G249" s="963"/>
      <c r="H249" s="1"/>
      <c r="I249" s="265"/>
      <c r="J249" s="647"/>
      <c r="K249" s="138"/>
      <c r="L249" s="126"/>
      <c r="M249" s="126"/>
      <c r="N249" s="127"/>
      <c r="O249" s="23"/>
      <c r="P249" s="624"/>
      <c r="Q249" s="647"/>
      <c r="R249" s="126"/>
      <c r="S249" s="647"/>
      <c r="T249" s="126"/>
      <c r="U249" s="138"/>
      <c r="V249" s="126"/>
      <c r="W249" s="23"/>
      <c r="X249" s="268"/>
      <c r="Y249" s="647"/>
      <c r="Z249" s="124"/>
      <c r="AA249" s="125"/>
      <c r="AB249" s="126"/>
      <c r="AC249" s="127"/>
      <c r="AD249" s="21"/>
      <c r="AE249" s="268"/>
      <c r="AF249" s="647"/>
      <c r="AG249" s="647"/>
      <c r="AH249" s="647"/>
      <c r="AI249" s="647"/>
      <c r="AJ249" s="124"/>
      <c r="AK249" s="125"/>
      <c r="AL249" s="126"/>
      <c r="AM249" s="127"/>
      <c r="AN249" s="21"/>
      <c r="AO249" s="268"/>
      <c r="AP249" s="647"/>
      <c r="AQ249" s="138"/>
      <c r="AR249" s="126"/>
      <c r="AS249" s="126"/>
      <c r="AT249" s="127"/>
      <c r="AU249" s="21"/>
      <c r="AV249" s="268"/>
      <c r="AW249" s="647"/>
      <c r="AX249" s="124"/>
      <c r="AY249" s="125"/>
      <c r="AZ249" s="126"/>
      <c r="BA249" s="127"/>
      <c r="BB249" s="21"/>
      <c r="BC249" s="647"/>
      <c r="BD249" s="124"/>
      <c r="BE249" s="126"/>
      <c r="BF249" s="127"/>
      <c r="BG249" s="21"/>
      <c r="BH249" s="270"/>
      <c r="BI249" s="647"/>
      <c r="BJ249" s="124"/>
      <c r="BK249" s="126"/>
      <c r="BL249" s="127"/>
      <c r="BM249" s="21"/>
      <c r="BN249" s="268"/>
      <c r="BO249" s="647"/>
      <c r="BP249" s="138"/>
      <c r="BQ249" s="1056"/>
      <c r="BR249" s="124"/>
      <c r="BS249" s="126"/>
      <c r="BT249" s="127"/>
      <c r="BU249" s="21"/>
      <c r="BV249" s="274"/>
      <c r="BW249" s="760"/>
      <c r="BX249" s="40"/>
      <c r="BY249" s="44"/>
      <c r="BZ249" s="36"/>
      <c r="CA249" s="21"/>
      <c r="CB249" s="268"/>
      <c r="CC249" s="720"/>
      <c r="CD249" s="309"/>
      <c r="CE249" s="44"/>
      <c r="CF249" s="36"/>
      <c r="CG249" s="21"/>
      <c r="CH249" s="268"/>
      <c r="CI249" s="917"/>
      <c r="CJ249" s="44"/>
      <c r="CK249" s="44"/>
      <c r="CL249" s="36"/>
      <c r="CM249" s="21"/>
      <c r="CN249" s="268"/>
      <c r="CO249" s="917"/>
      <c r="CP249" s="40"/>
      <c r="CQ249" s="44"/>
      <c r="CR249" s="36"/>
      <c r="CS249" s="21"/>
      <c r="CT249" s="268"/>
      <c r="CU249" s="942"/>
      <c r="CV249" s="73"/>
      <c r="CW249" s="42"/>
      <c r="CX249" s="43"/>
      <c r="CY249" s="567"/>
      <c r="CZ249" s="942"/>
      <c r="DA249" s="21"/>
      <c r="DB249" s="268"/>
      <c r="DC249" s="872"/>
      <c r="DD249" s="40"/>
      <c r="DE249" s="44"/>
      <c r="DF249" s="44"/>
      <c r="DG249" s="36"/>
      <c r="DH249" s="20"/>
      <c r="DI249" s="268"/>
      <c r="DJ249" s="760"/>
      <c r="DK249" s="40"/>
      <c r="DL249" s="44"/>
      <c r="DM249" s="36"/>
      <c r="DN249" s="20"/>
      <c r="DO249" s="268"/>
      <c r="DP249" s="760"/>
      <c r="DQ249" s="40"/>
      <c r="DR249" s="44"/>
      <c r="DS249" s="36"/>
      <c r="DT249" s="20"/>
      <c r="DU249" s="268"/>
      <c r="DV249" s="757"/>
      <c r="DW249" s="40"/>
      <c r="DX249" s="44"/>
      <c r="DZ249" s="36"/>
      <c r="EA249" s="20"/>
      <c r="EB249" s="268"/>
      <c r="EC249" s="760"/>
      <c r="ED249" s="40"/>
      <c r="EE249" s="44"/>
      <c r="EF249" s="36"/>
      <c r="EG249" s="20"/>
      <c r="EH249" s="268"/>
      <c r="EI249" s="760"/>
      <c r="EJ249" s="40"/>
      <c r="EK249" s="44"/>
      <c r="EL249" s="36"/>
      <c r="EM249" s="20"/>
      <c r="EN249" s="270"/>
    </row>
    <row r="250" spans="1:144" ht="18" customHeight="1" thickBot="1" x14ac:dyDescent="0.25">
      <c r="A250" s="6" t="s">
        <v>62</v>
      </c>
      <c r="B250" s="961"/>
      <c r="C250" s="34">
        <f>C249+1</f>
        <v>46227</v>
      </c>
      <c r="D250" s="1"/>
      <c r="E250" s="23"/>
      <c r="F250" s="526"/>
      <c r="G250" s="963"/>
      <c r="H250" s="1"/>
      <c r="I250" s="265"/>
      <c r="J250" s="647"/>
      <c r="K250" s="111"/>
      <c r="L250" s="109"/>
      <c r="M250" s="109"/>
      <c r="N250" s="110"/>
      <c r="O250" s="23"/>
      <c r="P250" s="624"/>
      <c r="Q250" s="647"/>
      <c r="R250" s="109"/>
      <c r="S250" s="647"/>
      <c r="T250" s="109"/>
      <c r="U250" s="111"/>
      <c r="V250" s="109"/>
      <c r="W250" s="23"/>
      <c r="X250" s="268"/>
      <c r="Y250" s="647"/>
      <c r="Z250" s="111"/>
      <c r="AA250" s="144"/>
      <c r="AB250" s="109"/>
      <c r="AC250" s="110"/>
      <c r="AD250" s="21"/>
      <c r="AE250" s="268"/>
      <c r="AF250" s="647"/>
      <c r="AG250" s="647"/>
      <c r="AH250" s="647"/>
      <c r="AI250" s="647"/>
      <c r="AJ250" s="111"/>
      <c r="AK250" s="144"/>
      <c r="AL250" s="109"/>
      <c r="AM250" s="110"/>
      <c r="AN250" s="21"/>
      <c r="AO250" s="270"/>
      <c r="AP250" s="647"/>
      <c r="AQ250" s="111"/>
      <c r="AR250" s="109"/>
      <c r="AS250" s="109"/>
      <c r="AT250" s="110"/>
      <c r="AU250" s="21"/>
      <c r="AV250" s="270"/>
      <c r="AW250" s="647"/>
      <c r="AX250" s="111"/>
      <c r="AY250" s="144"/>
      <c r="AZ250" s="109"/>
      <c r="BA250" s="110"/>
      <c r="BB250" s="21"/>
      <c r="BC250" s="647"/>
      <c r="BD250" s="111"/>
      <c r="BE250" s="109"/>
      <c r="BF250" s="110"/>
      <c r="BG250" s="21"/>
      <c r="BH250" s="270"/>
      <c r="BI250" s="647"/>
      <c r="BJ250" s="111"/>
      <c r="BK250" s="109"/>
      <c r="BL250" s="110"/>
      <c r="BM250" s="21"/>
      <c r="BN250" s="268"/>
      <c r="BO250" s="647"/>
      <c r="BP250" s="139"/>
      <c r="BQ250" s="1056"/>
      <c r="BR250" s="111"/>
      <c r="BS250" s="109"/>
      <c r="BT250" s="110"/>
      <c r="BU250" s="21"/>
      <c r="BV250" s="275"/>
      <c r="BW250" s="760"/>
      <c r="BX250" s="67"/>
      <c r="BY250" s="47"/>
      <c r="BZ250" s="48"/>
      <c r="CA250" s="21"/>
      <c r="CB250" s="268"/>
      <c r="CC250" s="720"/>
      <c r="CD250" s="311"/>
      <c r="CE250" s="59"/>
      <c r="CF250" s="64"/>
      <c r="CG250" s="21"/>
      <c r="CH250" s="270"/>
      <c r="CI250" s="917"/>
      <c r="CJ250" s="59"/>
      <c r="CK250" s="59"/>
      <c r="CL250" s="64"/>
      <c r="CM250" s="21"/>
      <c r="CN250" s="270"/>
      <c r="CO250" s="917"/>
      <c r="CP250" s="45"/>
      <c r="CQ250" s="59"/>
      <c r="CR250" s="64"/>
      <c r="CS250" s="21"/>
      <c r="CT250" s="270"/>
      <c r="CU250" s="942"/>
      <c r="CV250" s="198"/>
      <c r="CW250" s="199"/>
      <c r="CX250" s="200"/>
      <c r="CY250" s="567"/>
      <c r="CZ250" s="942"/>
      <c r="DA250" s="21"/>
      <c r="DB250" s="270"/>
      <c r="DC250" s="872"/>
      <c r="DD250" s="45"/>
      <c r="DE250" s="59"/>
      <c r="DF250" s="59"/>
      <c r="DG250" s="64"/>
      <c r="DH250" s="20"/>
      <c r="DI250" s="270"/>
      <c r="DJ250" s="760"/>
      <c r="DK250" s="45"/>
      <c r="DL250" s="59"/>
      <c r="DM250" s="64"/>
      <c r="DN250" s="20"/>
      <c r="DO250" s="270"/>
      <c r="DP250" s="760"/>
      <c r="DQ250" s="45"/>
      <c r="DR250" s="59"/>
      <c r="DS250" s="64"/>
      <c r="DT250" s="20"/>
      <c r="DU250" s="270"/>
      <c r="DV250" s="757"/>
      <c r="DW250" s="45"/>
      <c r="DX250" s="59"/>
      <c r="DY250" s="59"/>
      <c r="DZ250" s="64"/>
      <c r="EA250" s="20"/>
      <c r="EB250" s="270"/>
      <c r="EC250" s="760"/>
      <c r="ED250" s="45"/>
      <c r="EE250" s="59"/>
      <c r="EF250" s="64"/>
      <c r="EG250" s="20"/>
      <c r="EH250" s="270"/>
      <c r="EI250" s="760"/>
      <c r="EJ250" s="45"/>
      <c r="EK250" s="59"/>
      <c r="EL250" s="64"/>
      <c r="EM250" s="20"/>
      <c r="EN250" s="270"/>
    </row>
    <row r="251" spans="1:144" ht="18" customHeight="1" thickBot="1" x14ac:dyDescent="0.25">
      <c r="A251" s="6" t="s">
        <v>62</v>
      </c>
      <c r="B251" s="959">
        <f>B246+1</f>
        <v>31</v>
      </c>
      <c r="C251" s="89">
        <f>C246+7</f>
        <v>46230</v>
      </c>
      <c r="D251" s="4"/>
      <c r="E251" s="24"/>
      <c r="F251" s="525"/>
      <c r="G251" s="963"/>
      <c r="H251" s="4"/>
      <c r="I251" s="265"/>
      <c r="J251" s="647"/>
      <c r="K251" s="133"/>
      <c r="L251" s="103"/>
      <c r="M251" s="103"/>
      <c r="N251" s="104"/>
      <c r="O251" s="24"/>
      <c r="P251" s="624"/>
      <c r="Q251" s="647"/>
      <c r="R251" s="103"/>
      <c r="S251" s="647"/>
      <c r="T251" s="103"/>
      <c r="U251" s="133"/>
      <c r="V251" s="103"/>
      <c r="W251" s="24"/>
      <c r="X251" s="268"/>
      <c r="Y251" s="647"/>
      <c r="Z251" s="133"/>
      <c r="AA251" s="145"/>
      <c r="AB251" s="103"/>
      <c r="AC251" s="104"/>
      <c r="AD251" s="21"/>
      <c r="AE251" s="268"/>
      <c r="AF251" s="647"/>
      <c r="AG251" s="647"/>
      <c r="AH251" s="647"/>
      <c r="AI251" s="647"/>
      <c r="AJ251" s="133"/>
      <c r="AK251" s="145"/>
      <c r="AL251" s="103"/>
      <c r="AM251" s="104"/>
      <c r="AN251" s="21"/>
      <c r="AO251" s="270"/>
      <c r="AP251" s="647"/>
      <c r="AQ251" s="133"/>
      <c r="AR251" s="103"/>
      <c r="AS251" s="103"/>
      <c r="AT251" s="104"/>
      <c r="AU251" s="21"/>
      <c r="AV251" s="270"/>
      <c r="AW251" s="647"/>
      <c r="AX251" s="133"/>
      <c r="AY251" s="145"/>
      <c r="AZ251" s="103"/>
      <c r="BA251" s="104"/>
      <c r="BB251" s="21"/>
      <c r="BC251" s="647"/>
      <c r="BD251" s="133"/>
      <c r="BE251" s="103"/>
      <c r="BF251" s="104"/>
      <c r="BG251" s="21"/>
      <c r="BH251" s="270"/>
      <c r="BI251" s="647"/>
      <c r="BJ251" s="133"/>
      <c r="BK251" s="103"/>
      <c r="BL251" s="104"/>
      <c r="BM251" s="21"/>
      <c r="BN251" s="268"/>
      <c r="BO251" s="647"/>
      <c r="BP251" s="1162"/>
      <c r="BQ251" s="1056"/>
      <c r="BR251" s="133"/>
      <c r="BS251" s="103"/>
      <c r="BT251" s="104"/>
      <c r="BU251" s="21"/>
      <c r="BV251" s="707" t="s">
        <v>143</v>
      </c>
      <c r="BW251" s="760"/>
      <c r="BX251" s="132"/>
      <c r="BY251" s="56"/>
      <c r="BZ251" s="57"/>
      <c r="CA251" s="21"/>
      <c r="CB251" s="713" t="s">
        <v>224</v>
      </c>
      <c r="CC251" s="720"/>
      <c r="CD251" s="314"/>
      <c r="CE251" s="39"/>
      <c r="CF251" s="35"/>
      <c r="CG251" s="21"/>
      <c r="CH251" s="270"/>
      <c r="CI251" s="917"/>
      <c r="CJ251" s="39"/>
      <c r="CK251" s="39"/>
      <c r="CL251" s="35"/>
      <c r="CM251" s="21"/>
      <c r="CN251" s="270"/>
      <c r="CO251" s="917"/>
      <c r="CP251" s="61"/>
      <c r="CQ251" s="39"/>
      <c r="CR251" s="35"/>
      <c r="CS251" s="21"/>
      <c r="CT251" s="713" t="s">
        <v>224</v>
      </c>
      <c r="CU251" s="942"/>
      <c r="CV251" s="37"/>
      <c r="CW251" s="58"/>
      <c r="CX251" s="201"/>
      <c r="CY251" s="567"/>
      <c r="CZ251" s="942"/>
      <c r="DA251" s="21"/>
      <c r="DB251" s="270"/>
      <c r="DC251" s="872"/>
      <c r="DD251" s="61"/>
      <c r="DE251" s="39"/>
      <c r="DF251" s="39"/>
      <c r="DG251" s="35"/>
      <c r="DH251" s="20"/>
      <c r="DI251" s="270"/>
      <c r="DJ251" s="760"/>
      <c r="DK251" s="61"/>
      <c r="DL251" s="39"/>
      <c r="DM251" s="35"/>
      <c r="DN251" s="20"/>
      <c r="DO251" s="713" t="s">
        <v>224</v>
      </c>
      <c r="DP251" s="760"/>
      <c r="DQ251" s="61"/>
      <c r="DR251" s="39"/>
      <c r="DS251" s="35"/>
      <c r="DT251" s="20"/>
      <c r="DU251" s="270"/>
      <c r="DV251" s="757"/>
      <c r="DW251" s="61"/>
      <c r="DX251" s="39"/>
      <c r="DY251" s="39"/>
      <c r="DZ251" s="35"/>
      <c r="EA251" s="20"/>
      <c r="EB251" s="270"/>
      <c r="EC251" s="760"/>
      <c r="ED251" s="61"/>
      <c r="EE251" s="39"/>
      <c r="EF251" s="35"/>
      <c r="EG251" s="20"/>
      <c r="EH251" s="713" t="s">
        <v>224</v>
      </c>
      <c r="EI251" s="760"/>
      <c r="EJ251" s="61"/>
      <c r="EK251" s="39"/>
      <c r="EL251" s="35"/>
      <c r="EM251" s="20"/>
      <c r="EN251" s="270"/>
    </row>
    <row r="252" spans="1:144" ht="18" customHeight="1" thickBot="1" x14ac:dyDescent="0.25">
      <c r="A252" s="6" t="s">
        <v>62</v>
      </c>
      <c r="B252" s="960"/>
      <c r="C252" s="33">
        <f>C251+1</f>
        <v>46231</v>
      </c>
      <c r="D252" s="1"/>
      <c r="E252" s="23"/>
      <c r="F252" s="526"/>
      <c r="G252" s="963"/>
      <c r="H252" s="1"/>
      <c r="I252" s="265"/>
      <c r="J252" s="647"/>
      <c r="K252" s="138"/>
      <c r="L252" s="126"/>
      <c r="M252" s="126"/>
      <c r="N252" s="127"/>
      <c r="O252" s="23"/>
      <c r="P252" s="624"/>
      <c r="Q252" s="647"/>
      <c r="R252" s="126"/>
      <c r="S252" s="647"/>
      <c r="T252" s="126"/>
      <c r="U252" s="138"/>
      <c r="V252" s="126"/>
      <c r="W252" s="23"/>
      <c r="X252" s="268"/>
      <c r="Y252" s="647"/>
      <c r="Z252" s="124"/>
      <c r="AA252" s="125"/>
      <c r="AB252" s="126"/>
      <c r="AC252" s="127"/>
      <c r="AD252" s="21"/>
      <c r="AE252" s="268"/>
      <c r="AF252" s="647"/>
      <c r="AG252" s="647"/>
      <c r="AH252" s="647"/>
      <c r="AI252" s="647"/>
      <c r="AJ252" s="124"/>
      <c r="AK252" s="125"/>
      <c r="AL252" s="126"/>
      <c r="AM252" s="127"/>
      <c r="AN252" s="21"/>
      <c r="AO252" s="270"/>
      <c r="AP252" s="647"/>
      <c r="AQ252" s="138"/>
      <c r="AR252" s="126"/>
      <c r="AS252" s="126"/>
      <c r="AT252" s="127"/>
      <c r="AU252" s="21"/>
      <c r="AV252" s="270"/>
      <c r="AW252" s="647"/>
      <c r="AX252" s="124"/>
      <c r="AY252" s="125"/>
      <c r="AZ252" s="126"/>
      <c r="BA252" s="127"/>
      <c r="BB252" s="21"/>
      <c r="BC252" s="647"/>
      <c r="BD252" s="124"/>
      <c r="BE252" s="126"/>
      <c r="BF252" s="127"/>
      <c r="BG252" s="21"/>
      <c r="BH252" s="270"/>
      <c r="BI252" s="647"/>
      <c r="BJ252" s="124"/>
      <c r="BK252" s="126"/>
      <c r="BL252" s="127"/>
      <c r="BM252" s="21"/>
      <c r="BN252" s="268"/>
      <c r="BO252" s="647"/>
      <c r="BP252" s="138"/>
      <c r="BQ252" s="1056"/>
      <c r="BR252" s="124"/>
      <c r="BS252" s="126"/>
      <c r="BT252" s="127"/>
      <c r="BU252" s="21"/>
      <c r="BV252" s="708"/>
      <c r="BW252" s="760"/>
      <c r="BX252" s="40"/>
      <c r="BY252" s="44"/>
      <c r="BZ252" s="36"/>
      <c r="CA252" s="21"/>
      <c r="CB252" s="714"/>
      <c r="CC252" s="720"/>
      <c r="CD252" s="309"/>
      <c r="CE252" s="44"/>
      <c r="CF252" s="36"/>
      <c r="CG252" s="21"/>
      <c r="CH252" s="270"/>
      <c r="CI252" s="917"/>
      <c r="CJ252" s="44"/>
      <c r="CK252" s="44"/>
      <c r="CL252" s="36"/>
      <c r="CM252" s="21"/>
      <c r="CN252" s="270"/>
      <c r="CO252" s="917"/>
      <c r="CP252" s="40"/>
      <c r="CQ252" s="44"/>
      <c r="CR252" s="36"/>
      <c r="CS252" s="21"/>
      <c r="CT252" s="714"/>
      <c r="CU252" s="942"/>
      <c r="CV252" s="73"/>
      <c r="CW252" s="42"/>
      <c r="CX252" s="43"/>
      <c r="CY252" s="567"/>
      <c r="CZ252" s="942"/>
      <c r="DA252" s="21"/>
      <c r="DB252" s="270"/>
      <c r="DC252" s="872"/>
      <c r="DD252" s="40"/>
      <c r="DE252" s="44"/>
      <c r="DF252" s="44"/>
      <c r="DG252" s="36"/>
      <c r="DH252" s="20"/>
      <c r="DI252" s="270"/>
      <c r="DJ252" s="760"/>
      <c r="DK252" s="40"/>
      <c r="DL252" s="44"/>
      <c r="DM252" s="36"/>
      <c r="DN252" s="20"/>
      <c r="DO252" s="714"/>
      <c r="DP252" s="760"/>
      <c r="DQ252" s="40"/>
      <c r="DR252" s="44"/>
      <c r="DS252" s="36"/>
      <c r="DT252" s="20"/>
      <c r="DU252" s="270"/>
      <c r="DV252" s="757"/>
      <c r="DW252" s="40"/>
      <c r="DX252" s="44"/>
      <c r="DY252" s="44"/>
      <c r="DZ252" s="36"/>
      <c r="EA252" s="20"/>
      <c r="EB252" s="270"/>
      <c r="EC252" s="760"/>
      <c r="ED252" s="40"/>
      <c r="EE252" s="44"/>
      <c r="EF252" s="36"/>
      <c r="EG252" s="20"/>
      <c r="EH252" s="714"/>
      <c r="EI252" s="760"/>
      <c r="EJ252" s="40"/>
      <c r="EK252" s="44"/>
      <c r="EL252" s="36"/>
      <c r="EM252" s="20"/>
      <c r="EN252" s="270"/>
    </row>
    <row r="253" spans="1:144" ht="18" customHeight="1" thickBot="1" x14ac:dyDescent="0.25">
      <c r="A253" s="6" t="s">
        <v>62</v>
      </c>
      <c r="B253" s="960"/>
      <c r="C253" s="33">
        <f>C252+1</f>
        <v>46232</v>
      </c>
      <c r="D253" s="1"/>
      <c r="E253" s="23"/>
      <c r="F253" s="526"/>
      <c r="G253" s="963"/>
      <c r="H253" s="1"/>
      <c r="I253" s="265"/>
      <c r="J253" s="647"/>
      <c r="K253" s="138"/>
      <c r="L253" s="126"/>
      <c r="M253" s="126"/>
      <c r="N253" s="127"/>
      <c r="O253" s="23"/>
      <c r="P253" s="624"/>
      <c r="Q253" s="647"/>
      <c r="R253" s="126"/>
      <c r="S253" s="647"/>
      <c r="T253" s="126"/>
      <c r="U253" s="138"/>
      <c r="V253" s="126"/>
      <c r="W253" s="23"/>
      <c r="X253" s="268"/>
      <c r="Y253" s="647"/>
      <c r="Z253" s="124"/>
      <c r="AA253" s="125"/>
      <c r="AB253" s="126"/>
      <c r="AC253" s="127"/>
      <c r="AD253" s="21"/>
      <c r="AE253" s="268"/>
      <c r="AF253" s="647"/>
      <c r="AG253" s="647"/>
      <c r="AH253" s="647"/>
      <c r="AI253" s="647"/>
      <c r="AJ253" s="124"/>
      <c r="AK253" s="125"/>
      <c r="AL253" s="126"/>
      <c r="AM253" s="127"/>
      <c r="AN253" s="21"/>
      <c r="AO253" s="270"/>
      <c r="AP253" s="647"/>
      <c r="AQ253" s="138"/>
      <c r="AR253" s="126"/>
      <c r="AS253" s="126"/>
      <c r="AT253" s="127"/>
      <c r="AU253" s="21"/>
      <c r="AV253" s="270"/>
      <c r="AW253" s="647"/>
      <c r="AX253" s="124"/>
      <c r="AY253" s="125"/>
      <c r="AZ253" s="126"/>
      <c r="BA253" s="127"/>
      <c r="BB253" s="21"/>
      <c r="BC253" s="647"/>
      <c r="BD253" s="124"/>
      <c r="BE253" s="126"/>
      <c r="BF253" s="127"/>
      <c r="BG253" s="21"/>
      <c r="BH253" s="270"/>
      <c r="BI253" s="647"/>
      <c r="BJ253" s="124"/>
      <c r="BK253" s="126"/>
      <c r="BL253" s="127"/>
      <c r="BM253" s="21"/>
      <c r="BN253" s="268"/>
      <c r="BO253" s="647"/>
      <c r="BP253" s="138"/>
      <c r="BQ253" s="1056"/>
      <c r="BR253" s="124"/>
      <c r="BS253" s="126"/>
      <c r="BT253" s="127"/>
      <c r="BU253" s="21"/>
      <c r="BV253" s="708"/>
      <c r="BW253" s="760"/>
      <c r="BX253" s="40"/>
      <c r="BY253" s="44"/>
      <c r="BZ253" s="36"/>
      <c r="CA253" s="21"/>
      <c r="CB253" s="714"/>
      <c r="CC253" s="720"/>
      <c r="CD253" s="309"/>
      <c r="CE253" s="44"/>
      <c r="CF253" s="36"/>
      <c r="CG253" s="21"/>
      <c r="CH253" s="270"/>
      <c r="CI253" s="917"/>
      <c r="CJ253" s="44"/>
      <c r="CK253" s="44"/>
      <c r="CL253" s="36"/>
      <c r="CM253" s="21"/>
      <c r="CN253" s="270"/>
      <c r="CO253" s="917"/>
      <c r="CP253" s="40"/>
      <c r="CQ253" s="44"/>
      <c r="CR253" s="36"/>
      <c r="CS253" s="21"/>
      <c r="CT253" s="714"/>
      <c r="CU253" s="942"/>
      <c r="CV253" s="73"/>
      <c r="CW253" s="42"/>
      <c r="CX253" s="43"/>
      <c r="CY253" s="567"/>
      <c r="CZ253" s="942"/>
      <c r="DA253" s="21"/>
      <c r="DB253" s="270"/>
      <c r="DC253" s="872"/>
      <c r="DD253" s="40"/>
      <c r="DE253" s="44"/>
      <c r="DF253" s="44"/>
      <c r="DG253" s="36"/>
      <c r="DH253" s="20"/>
      <c r="DI253" s="270"/>
      <c r="DJ253" s="760"/>
      <c r="DK253" s="40"/>
      <c r="DL253" s="44"/>
      <c r="DM253" s="36"/>
      <c r="DN253" s="20"/>
      <c r="DO253" s="714"/>
      <c r="DP253" s="760"/>
      <c r="DQ253" s="40"/>
      <c r="DR253" s="44"/>
      <c r="DS253" s="36"/>
      <c r="DT253" s="20"/>
      <c r="DU253" s="270"/>
      <c r="DV253" s="757"/>
      <c r="DW253" s="40"/>
      <c r="DX253" s="44"/>
      <c r="DY253" s="44"/>
      <c r="DZ253" s="36"/>
      <c r="EA253" s="20"/>
      <c r="EB253" s="270"/>
      <c r="EC253" s="760"/>
      <c r="ED253" s="40"/>
      <c r="EE253" s="44"/>
      <c r="EF253" s="36"/>
      <c r="EG253" s="20"/>
      <c r="EH253" s="714"/>
      <c r="EI253" s="760"/>
      <c r="EJ253" s="40"/>
      <c r="EK253" s="44"/>
      <c r="EL253" s="36"/>
      <c r="EM253" s="20"/>
      <c r="EN253" s="270"/>
    </row>
    <row r="254" spans="1:144" ht="18" customHeight="1" thickBot="1" x14ac:dyDescent="0.25">
      <c r="A254" s="6" t="s">
        <v>62</v>
      </c>
      <c r="B254" s="960"/>
      <c r="C254" s="33">
        <f>C253+1</f>
        <v>46233</v>
      </c>
      <c r="D254" s="1"/>
      <c r="E254" s="23"/>
      <c r="F254" s="526"/>
      <c r="G254" s="963"/>
      <c r="H254" s="1"/>
      <c r="I254" s="265"/>
      <c r="J254" s="647"/>
      <c r="K254" s="138"/>
      <c r="L254" s="126"/>
      <c r="M254" s="126"/>
      <c r="N254" s="127"/>
      <c r="O254" s="23"/>
      <c r="P254" s="624"/>
      <c r="Q254" s="647"/>
      <c r="R254" s="126"/>
      <c r="S254" s="647"/>
      <c r="T254" s="126"/>
      <c r="U254" s="138"/>
      <c r="V254" s="126"/>
      <c r="W254" s="23"/>
      <c r="X254" s="270"/>
      <c r="Y254" s="647"/>
      <c r="Z254" s="124"/>
      <c r="AA254" s="125"/>
      <c r="AB254" s="126"/>
      <c r="AC254" s="127"/>
      <c r="AD254" s="21"/>
      <c r="AE254" s="270"/>
      <c r="AF254" s="647"/>
      <c r="AG254" s="647"/>
      <c r="AH254" s="647"/>
      <c r="AI254" s="647"/>
      <c r="AJ254" s="124"/>
      <c r="AK254" s="125"/>
      <c r="AL254" s="126"/>
      <c r="AM254" s="127"/>
      <c r="AN254" s="21"/>
      <c r="AO254" s="270"/>
      <c r="AP254" s="647"/>
      <c r="AQ254" s="138"/>
      <c r="AR254" s="126"/>
      <c r="AS254" s="126"/>
      <c r="AT254" s="127"/>
      <c r="AU254" s="21"/>
      <c r="AV254" s="270"/>
      <c r="AW254" s="647"/>
      <c r="AX254" s="124"/>
      <c r="AY254" s="125"/>
      <c r="AZ254" s="126"/>
      <c r="BA254" s="127"/>
      <c r="BB254" s="21"/>
      <c r="BC254" s="647"/>
      <c r="BD254" s="124"/>
      <c r="BE254" s="126"/>
      <c r="BF254" s="127"/>
      <c r="BG254" s="21"/>
      <c r="BH254" s="270"/>
      <c r="BI254" s="647"/>
      <c r="BJ254" s="124"/>
      <c r="BK254" s="126"/>
      <c r="BL254" s="127"/>
      <c r="BM254" s="21"/>
      <c r="BN254" s="270"/>
      <c r="BO254" s="647"/>
      <c r="BP254" s="138"/>
      <c r="BQ254" s="1056"/>
      <c r="BR254" s="124"/>
      <c r="BS254" s="126"/>
      <c r="BT254" s="127"/>
      <c r="BU254" s="21"/>
      <c r="BV254" s="708"/>
      <c r="BW254" s="760"/>
      <c r="BX254" s="40"/>
      <c r="BY254" s="44"/>
      <c r="BZ254" s="36"/>
      <c r="CA254" s="21"/>
      <c r="CB254" s="714"/>
      <c r="CC254" s="720"/>
      <c r="CD254" s="309"/>
      <c r="CE254" s="44"/>
      <c r="CF254" s="36"/>
      <c r="CG254" s="21"/>
      <c r="CH254" s="270"/>
      <c r="CI254" s="917"/>
      <c r="CJ254" s="44"/>
      <c r="CK254" s="44"/>
      <c r="CL254" s="36"/>
      <c r="CM254" s="21"/>
      <c r="CN254" s="270"/>
      <c r="CO254" s="917"/>
      <c r="CP254" s="40"/>
      <c r="CQ254" s="44"/>
      <c r="CR254" s="36"/>
      <c r="CS254" s="21"/>
      <c r="CT254" s="714"/>
      <c r="CU254" s="942"/>
      <c r="CV254" s="73"/>
      <c r="CW254" s="42"/>
      <c r="CX254" s="43"/>
      <c r="CY254" s="567"/>
      <c r="CZ254" s="942"/>
      <c r="DA254" s="21"/>
      <c r="DB254" s="270"/>
      <c r="DC254" s="872"/>
      <c r="DD254" s="40"/>
      <c r="DE254" s="44"/>
      <c r="DF254" s="44"/>
      <c r="DG254" s="36"/>
      <c r="DH254" s="20"/>
      <c r="DI254" s="270"/>
      <c r="DJ254" s="760"/>
      <c r="DK254" s="40"/>
      <c r="DL254" s="44"/>
      <c r="DM254" s="36"/>
      <c r="DN254" s="20"/>
      <c r="DO254" s="714"/>
      <c r="DP254" s="760"/>
      <c r="DQ254" s="40"/>
      <c r="DR254" s="44"/>
      <c r="DS254" s="36"/>
      <c r="DT254" s="20"/>
      <c r="DU254" s="270"/>
      <c r="DV254" s="757"/>
      <c r="DW254" s="40"/>
      <c r="DX254" s="44"/>
      <c r="DY254" s="44"/>
      <c r="DZ254" s="36"/>
      <c r="EA254" s="20"/>
      <c r="EB254" s="270"/>
      <c r="EC254" s="760"/>
      <c r="ED254" s="40"/>
      <c r="EE254" s="44"/>
      <c r="EF254" s="36"/>
      <c r="EG254" s="20"/>
      <c r="EH254" s="714"/>
      <c r="EI254" s="760"/>
      <c r="EJ254" s="40"/>
      <c r="EK254" s="44"/>
      <c r="EL254" s="36"/>
      <c r="EM254" s="20"/>
      <c r="EN254" s="270"/>
    </row>
    <row r="255" spans="1:144" ht="18" customHeight="1" thickBot="1" x14ac:dyDescent="0.25">
      <c r="A255" s="6" t="s">
        <v>62</v>
      </c>
      <c r="B255" s="961"/>
      <c r="C255" s="34">
        <f>C254+1</f>
        <v>46234</v>
      </c>
      <c r="D255" s="1"/>
      <c r="E255" s="23"/>
      <c r="F255" s="526"/>
      <c r="G255" s="964"/>
      <c r="H255" s="1"/>
      <c r="I255" s="265"/>
      <c r="J255" s="647"/>
      <c r="K255" s="111"/>
      <c r="L255" s="109"/>
      <c r="M255" s="109"/>
      <c r="N255" s="110"/>
      <c r="O255" s="23"/>
      <c r="P255" s="624"/>
      <c r="Q255" s="647"/>
      <c r="R255" s="109"/>
      <c r="S255" s="647"/>
      <c r="T255" s="109"/>
      <c r="U255" s="111"/>
      <c r="V255" s="109"/>
      <c r="W255" s="23"/>
      <c r="X255" s="270"/>
      <c r="Y255" s="647"/>
      <c r="Z255" s="111"/>
      <c r="AA255" s="144"/>
      <c r="AB255" s="109"/>
      <c r="AC255" s="110"/>
      <c r="AD255" s="21"/>
      <c r="AE255" s="270"/>
      <c r="AF255" s="647"/>
      <c r="AG255" s="647"/>
      <c r="AH255" s="647"/>
      <c r="AI255" s="647"/>
      <c r="AJ255" s="111"/>
      <c r="AK255" s="144"/>
      <c r="AL255" s="109"/>
      <c r="AM255" s="110"/>
      <c r="AN255" s="21"/>
      <c r="AO255" s="270"/>
      <c r="AP255" s="647"/>
      <c r="AQ255" s="111"/>
      <c r="AR255" s="109"/>
      <c r="AS255" s="109"/>
      <c r="AT255" s="110"/>
      <c r="AU255" s="21"/>
      <c r="AV255" s="270"/>
      <c r="AW255" s="647"/>
      <c r="AX255" s="111"/>
      <c r="AY255" s="144"/>
      <c r="AZ255" s="109"/>
      <c r="BA255" s="110"/>
      <c r="BB255" s="21"/>
      <c r="BC255" s="647"/>
      <c r="BD255" s="111"/>
      <c r="BE255" s="109"/>
      <c r="BF255" s="110"/>
      <c r="BG255" s="21"/>
      <c r="BH255" s="270"/>
      <c r="BI255" s="647"/>
      <c r="BJ255" s="111"/>
      <c r="BK255" s="109"/>
      <c r="BL255" s="110"/>
      <c r="BM255" s="21"/>
      <c r="BN255" s="270"/>
      <c r="BO255" s="647"/>
      <c r="BP255" s="139"/>
      <c r="BQ255" s="1056"/>
      <c r="BR255" s="111"/>
      <c r="BS255" s="109"/>
      <c r="BT255" s="110"/>
      <c r="BU255" s="21"/>
      <c r="BV255" s="709"/>
      <c r="BW255" s="760"/>
      <c r="BX255" s="67"/>
      <c r="BY255" s="47"/>
      <c r="BZ255" s="48"/>
      <c r="CA255" s="21"/>
      <c r="CB255" s="715"/>
      <c r="CC255" s="720"/>
      <c r="CD255" s="311"/>
      <c r="CE255" s="59"/>
      <c r="CF255" s="64"/>
      <c r="CG255" s="21"/>
      <c r="CH255" s="270"/>
      <c r="CI255" s="917"/>
      <c r="CJ255" s="59"/>
      <c r="CK255" s="59"/>
      <c r="CL255" s="64"/>
      <c r="CM255" s="21"/>
      <c r="CN255" s="270"/>
      <c r="CO255" s="917"/>
      <c r="CP255" s="45"/>
      <c r="CQ255" s="59"/>
      <c r="CR255" s="64"/>
      <c r="CS255" s="21"/>
      <c r="CT255" s="715"/>
      <c r="CU255" s="942"/>
      <c r="CV255" s="198"/>
      <c r="CW255" s="199"/>
      <c r="CX255" s="200"/>
      <c r="CY255" s="567"/>
      <c r="CZ255" s="942"/>
      <c r="DA255" s="21"/>
      <c r="DB255" s="270"/>
      <c r="DC255" s="872"/>
      <c r="DD255" s="45"/>
      <c r="DE255" s="59"/>
      <c r="DF255" s="59"/>
      <c r="DG255" s="64"/>
      <c r="DH255" s="20"/>
      <c r="DI255" s="270"/>
      <c r="DJ255" s="760"/>
      <c r="DK255" s="45"/>
      <c r="DL255" s="59"/>
      <c r="DM255" s="64"/>
      <c r="DN255" s="20"/>
      <c r="DO255" s="715"/>
      <c r="DP255" s="760"/>
      <c r="DQ255" s="45"/>
      <c r="DR255" s="59"/>
      <c r="DS255" s="64"/>
      <c r="DT255" s="20"/>
      <c r="DU255" s="270"/>
      <c r="DV255" s="757"/>
      <c r="DW255" s="45"/>
      <c r="DX255" s="59"/>
      <c r="DY255" s="59"/>
      <c r="DZ255" s="64"/>
      <c r="EA255" s="20"/>
      <c r="EB255" s="270"/>
      <c r="EC255" s="760"/>
      <c r="ED255" s="45"/>
      <c r="EE255" s="59"/>
      <c r="EF255" s="64"/>
      <c r="EG255" s="20"/>
      <c r="EH255" s="715"/>
      <c r="EI255" s="760"/>
      <c r="EJ255" s="45"/>
      <c r="EK255" s="59"/>
      <c r="EL255" s="64"/>
      <c r="EM255" s="20"/>
      <c r="EN255" s="270"/>
    </row>
    <row r="256" spans="1:144" ht="18" customHeight="1" thickBot="1" x14ac:dyDescent="0.25">
      <c r="A256" s="6" t="s">
        <v>62</v>
      </c>
      <c r="B256" s="959">
        <f>B251+1</f>
        <v>32</v>
      </c>
      <c r="C256" s="89">
        <f>C251+7</f>
        <v>46237</v>
      </c>
      <c r="D256" s="4"/>
      <c r="E256" s="24"/>
      <c r="F256" s="525"/>
      <c r="G256" s="525"/>
      <c r="H256" s="4"/>
      <c r="I256" s="265"/>
      <c r="J256" s="647"/>
      <c r="K256" s="133"/>
      <c r="L256" s="103"/>
      <c r="M256" s="103"/>
      <c r="N256" s="104"/>
      <c r="O256" s="24"/>
      <c r="P256" s="624"/>
      <c r="Q256" s="647"/>
      <c r="R256" s="103"/>
      <c r="S256" s="647"/>
      <c r="T256" s="103"/>
      <c r="U256" s="133"/>
      <c r="V256" s="103"/>
      <c r="W256" s="24"/>
      <c r="X256" s="271"/>
      <c r="Y256" s="647"/>
      <c r="Z256" s="133"/>
      <c r="AA256" s="145"/>
      <c r="AB256" s="103"/>
      <c r="AC256" s="104"/>
      <c r="AD256" s="21"/>
      <c r="AE256" s="271"/>
      <c r="AF256" s="647"/>
      <c r="AG256" s="647"/>
      <c r="AH256" s="647"/>
      <c r="AI256" s="647"/>
      <c r="AJ256" s="133"/>
      <c r="AK256" s="145"/>
      <c r="AL256" s="103"/>
      <c r="AM256" s="104"/>
      <c r="AN256" s="21"/>
      <c r="AO256" s="271"/>
      <c r="AP256" s="647"/>
      <c r="AQ256" s="133"/>
      <c r="AR256" s="103"/>
      <c r="AS256" s="103"/>
      <c r="AT256" s="104"/>
      <c r="AU256" s="21"/>
      <c r="AV256" s="271"/>
      <c r="AW256" s="647"/>
      <c r="AX256" s="133"/>
      <c r="AY256" s="145"/>
      <c r="AZ256" s="103"/>
      <c r="BA256" s="104"/>
      <c r="BB256" s="21"/>
      <c r="BC256" s="647"/>
      <c r="BD256" s="133"/>
      <c r="BE256" s="103"/>
      <c r="BF256" s="104"/>
      <c r="BG256" s="21"/>
      <c r="BH256" s="271"/>
      <c r="BI256" s="647"/>
      <c r="BJ256" s="133"/>
      <c r="BK256" s="103"/>
      <c r="BL256" s="104"/>
      <c r="BM256" s="21"/>
      <c r="BN256" s="271"/>
      <c r="BO256" s="647"/>
      <c r="BP256" s="1162"/>
      <c r="BQ256" s="1056"/>
      <c r="BR256" s="133"/>
      <c r="BS256" s="103"/>
      <c r="BT256" s="104"/>
      <c r="BU256" s="21"/>
      <c r="BV256" s="707" t="s">
        <v>290</v>
      </c>
      <c r="BW256" s="697" t="s">
        <v>68</v>
      </c>
      <c r="BX256" s="133"/>
      <c r="BY256" s="103"/>
      <c r="BZ256" s="104"/>
      <c r="CA256" s="21"/>
      <c r="CB256" s="707" t="s">
        <v>290</v>
      </c>
      <c r="CC256" s="720"/>
      <c r="CD256" s="314"/>
      <c r="CE256" s="39"/>
      <c r="CF256" s="35"/>
      <c r="CG256" s="21"/>
      <c r="CH256" s="271"/>
      <c r="CI256" s="917"/>
      <c r="CJ256" s="39"/>
      <c r="CK256" s="39"/>
      <c r="CL256" s="35"/>
      <c r="CM256" s="21"/>
      <c r="CN256" s="271"/>
      <c r="CO256" s="917"/>
      <c r="CP256" s="61"/>
      <c r="CQ256" s="39"/>
      <c r="CR256" s="35"/>
      <c r="CS256" s="21"/>
      <c r="CT256" s="707" t="s">
        <v>290</v>
      </c>
      <c r="CU256" s="942"/>
      <c r="CV256" s="37"/>
      <c r="CW256" s="58"/>
      <c r="CX256" s="201"/>
      <c r="CY256" s="567"/>
      <c r="CZ256" s="942"/>
      <c r="DA256" s="21"/>
      <c r="DB256" s="271"/>
      <c r="DC256" s="872"/>
      <c r="DD256" s="61"/>
      <c r="DE256" s="39"/>
      <c r="DF256" s="39"/>
      <c r="DG256" s="35"/>
      <c r="DH256" s="20"/>
      <c r="DI256" s="271"/>
      <c r="DJ256" s="760"/>
      <c r="DK256" s="61"/>
      <c r="DL256" s="39"/>
      <c r="DM256" s="35"/>
      <c r="DN256" s="20"/>
      <c r="DO256" s="707" t="s">
        <v>290</v>
      </c>
      <c r="DP256" s="760"/>
      <c r="DQ256" s="61"/>
      <c r="DR256" s="39"/>
      <c r="DS256" s="35"/>
      <c r="DT256" s="20"/>
      <c r="DU256" s="271"/>
      <c r="DV256" s="757"/>
      <c r="DW256" s="61"/>
      <c r="DX256" s="39"/>
      <c r="DY256" s="39"/>
      <c r="DZ256" s="35"/>
      <c r="EA256" s="20"/>
      <c r="EB256" s="271"/>
      <c r="EC256" s="760"/>
      <c r="ED256" s="61"/>
      <c r="EE256" s="39"/>
      <c r="EF256" s="35"/>
      <c r="EG256" s="20"/>
      <c r="EH256" s="707" t="s">
        <v>290</v>
      </c>
      <c r="EI256" s="760"/>
      <c r="EJ256" s="61"/>
      <c r="EK256" s="39"/>
      <c r="EL256" s="35"/>
      <c r="EM256" s="20"/>
      <c r="EN256" s="271"/>
    </row>
    <row r="257" spans="1:144" ht="18" customHeight="1" thickBot="1" x14ac:dyDescent="0.25">
      <c r="A257" s="6" t="s">
        <v>62</v>
      </c>
      <c r="B257" s="960"/>
      <c r="C257" s="33">
        <f>C256+1</f>
        <v>46238</v>
      </c>
      <c r="D257" s="1"/>
      <c r="E257" s="23"/>
      <c r="F257" s="526"/>
      <c r="G257" s="526"/>
      <c r="H257" s="1"/>
      <c r="I257" s="265"/>
      <c r="J257" s="647"/>
      <c r="K257" s="138"/>
      <c r="L257" s="126"/>
      <c r="M257" s="126"/>
      <c r="N257" s="127"/>
      <c r="O257" s="23"/>
      <c r="P257" s="624"/>
      <c r="Q257" s="647"/>
      <c r="R257" s="126"/>
      <c r="S257" s="647"/>
      <c r="T257" s="126"/>
      <c r="U257" s="138"/>
      <c r="V257" s="126"/>
      <c r="W257" s="23"/>
      <c r="X257" s="270"/>
      <c r="Y257" s="647"/>
      <c r="Z257" s="124"/>
      <c r="AA257" s="125"/>
      <c r="AB257" s="126"/>
      <c r="AC257" s="127"/>
      <c r="AD257" s="21"/>
      <c r="AE257" s="270"/>
      <c r="AF257" s="647"/>
      <c r="AG257" s="647"/>
      <c r="AH257" s="647"/>
      <c r="AI257" s="647"/>
      <c r="AJ257" s="124"/>
      <c r="AK257" s="125"/>
      <c r="AL257" s="126"/>
      <c r="AM257" s="127"/>
      <c r="AN257" s="21"/>
      <c r="AO257" s="270"/>
      <c r="AP257" s="647"/>
      <c r="AQ257" s="138"/>
      <c r="AR257" s="126"/>
      <c r="AS257" s="126"/>
      <c r="AT257" s="127"/>
      <c r="AU257" s="21"/>
      <c r="AV257" s="270"/>
      <c r="AW257" s="647"/>
      <c r="AX257" s="124"/>
      <c r="AY257" s="125"/>
      <c r="AZ257" s="126"/>
      <c r="BA257" s="127"/>
      <c r="BB257" s="21"/>
      <c r="BC257" s="647"/>
      <c r="BD257" s="124"/>
      <c r="BE257" s="126"/>
      <c r="BF257" s="127"/>
      <c r="BG257" s="21"/>
      <c r="BH257" s="270"/>
      <c r="BI257" s="647"/>
      <c r="BJ257" s="124"/>
      <c r="BK257" s="126"/>
      <c r="BL257" s="127"/>
      <c r="BM257" s="21"/>
      <c r="BN257" s="270"/>
      <c r="BO257" s="647"/>
      <c r="BP257" s="138"/>
      <c r="BQ257" s="1056"/>
      <c r="BR257" s="124"/>
      <c r="BS257" s="126"/>
      <c r="BT257" s="127"/>
      <c r="BU257" s="21"/>
      <c r="BV257" s="708"/>
      <c r="BW257" s="647"/>
      <c r="BX257" s="124"/>
      <c r="BY257" s="126"/>
      <c r="BZ257" s="127"/>
      <c r="CA257" s="21"/>
      <c r="CB257" s="708"/>
      <c r="CC257" s="720"/>
      <c r="CD257" s="309"/>
      <c r="CE257" s="44"/>
      <c r="CF257" s="36"/>
      <c r="CG257" s="21"/>
      <c r="CH257" s="270"/>
      <c r="CI257" s="917"/>
      <c r="CJ257" s="44"/>
      <c r="CK257" s="44"/>
      <c r="CL257" s="36"/>
      <c r="CM257" s="21"/>
      <c r="CN257" s="270"/>
      <c r="CO257" s="917"/>
      <c r="CP257" s="40"/>
      <c r="CQ257" s="44"/>
      <c r="CR257" s="36"/>
      <c r="CS257" s="21"/>
      <c r="CT257" s="708"/>
      <c r="CU257" s="942"/>
      <c r="CV257" s="73"/>
      <c r="CW257" s="42"/>
      <c r="CX257" s="43"/>
      <c r="CY257" s="567"/>
      <c r="CZ257" s="942"/>
      <c r="DA257" s="21"/>
      <c r="DB257" s="270"/>
      <c r="DC257" s="872"/>
      <c r="DD257" s="40"/>
      <c r="DE257" s="44"/>
      <c r="DF257" s="44"/>
      <c r="DG257" s="36"/>
      <c r="DH257" s="20"/>
      <c r="DI257" s="270"/>
      <c r="DJ257" s="760"/>
      <c r="DK257" s="40"/>
      <c r="DL257" s="44"/>
      <c r="DM257" s="36"/>
      <c r="DN257" s="20"/>
      <c r="DO257" s="708"/>
      <c r="DP257" s="760"/>
      <c r="DQ257" s="40"/>
      <c r="DR257" s="44"/>
      <c r="DS257" s="36"/>
      <c r="DT257" s="20"/>
      <c r="DU257" s="270"/>
      <c r="DV257" s="757"/>
      <c r="DW257" s="40"/>
      <c r="DX257" s="44"/>
      <c r="DY257" s="44"/>
      <c r="DZ257" s="36"/>
      <c r="EA257" s="20"/>
      <c r="EB257" s="270"/>
      <c r="EC257" s="760"/>
      <c r="ED257" s="40"/>
      <c r="EE257" s="44"/>
      <c r="EF257" s="36"/>
      <c r="EG257" s="20"/>
      <c r="EH257" s="708"/>
      <c r="EI257" s="760"/>
      <c r="EJ257" s="40"/>
      <c r="EK257" s="44"/>
      <c r="EL257" s="36"/>
      <c r="EM257" s="20"/>
      <c r="EN257" s="270"/>
    </row>
    <row r="258" spans="1:144" ht="18" customHeight="1" thickBot="1" x14ac:dyDescent="0.25">
      <c r="A258" s="6" t="s">
        <v>62</v>
      </c>
      <c r="B258" s="960"/>
      <c r="C258" s="33">
        <f>C257+1</f>
        <v>46239</v>
      </c>
      <c r="D258" s="1"/>
      <c r="E258" s="23"/>
      <c r="F258" s="526"/>
      <c r="G258" s="526"/>
      <c r="H258" s="1"/>
      <c r="I258" s="265"/>
      <c r="J258" s="647"/>
      <c r="K258" s="138"/>
      <c r="L258" s="126"/>
      <c r="M258" s="126"/>
      <c r="N258" s="127"/>
      <c r="O258" s="23"/>
      <c r="P258" s="624"/>
      <c r="Q258" s="647"/>
      <c r="R258" s="126"/>
      <c r="S258" s="647"/>
      <c r="T258" s="126"/>
      <c r="U258" s="138"/>
      <c r="V258" s="126"/>
      <c r="W258" s="23"/>
      <c r="X258" s="270"/>
      <c r="Y258" s="647"/>
      <c r="Z258" s="124"/>
      <c r="AA258" s="125"/>
      <c r="AB258" s="126"/>
      <c r="AC258" s="127"/>
      <c r="AD258" s="21"/>
      <c r="AE258" s="270"/>
      <c r="AF258" s="647"/>
      <c r="AG258" s="647"/>
      <c r="AH258" s="647"/>
      <c r="AI258" s="647"/>
      <c r="AJ258" s="124"/>
      <c r="AK258" s="125"/>
      <c r="AL258" s="126"/>
      <c r="AM258" s="127"/>
      <c r="AN258" s="21"/>
      <c r="AO258" s="270"/>
      <c r="AP258" s="647"/>
      <c r="AQ258" s="138"/>
      <c r="AR258" s="126"/>
      <c r="AS258" s="126"/>
      <c r="AT258" s="127"/>
      <c r="AU258" s="21"/>
      <c r="AV258" s="270"/>
      <c r="AW258" s="647"/>
      <c r="AX258" s="124"/>
      <c r="AY258" s="125"/>
      <c r="AZ258" s="126"/>
      <c r="BA258" s="127"/>
      <c r="BB258" s="21"/>
      <c r="BC258" s="647"/>
      <c r="BD258" s="124"/>
      <c r="BE258" s="126"/>
      <c r="BF258" s="127"/>
      <c r="BG258" s="21"/>
      <c r="BH258" s="270"/>
      <c r="BI258" s="647"/>
      <c r="BJ258" s="124"/>
      <c r="BK258" s="126"/>
      <c r="BL258" s="127"/>
      <c r="BM258" s="21"/>
      <c r="BN258" s="270"/>
      <c r="BO258" s="647"/>
      <c r="BP258" s="138"/>
      <c r="BQ258" s="1056"/>
      <c r="BR258" s="124"/>
      <c r="BS258" s="126"/>
      <c r="BT258" s="127"/>
      <c r="BU258" s="21"/>
      <c r="BV258" s="708"/>
      <c r="BW258" s="647"/>
      <c r="BX258" s="124"/>
      <c r="BY258" s="126"/>
      <c r="BZ258" s="127"/>
      <c r="CA258" s="21"/>
      <c r="CB258" s="708"/>
      <c r="CC258" s="720"/>
      <c r="CD258" s="309"/>
      <c r="CE258" s="44"/>
      <c r="CF258" s="36"/>
      <c r="CG258" s="21"/>
      <c r="CH258" s="270"/>
      <c r="CI258" s="917"/>
      <c r="CJ258" s="44"/>
      <c r="CK258" s="44"/>
      <c r="CL258" s="36"/>
      <c r="CM258" s="21"/>
      <c r="CN258" s="270"/>
      <c r="CO258" s="917"/>
      <c r="CP258" s="40"/>
      <c r="CQ258" s="44"/>
      <c r="CR258" s="36"/>
      <c r="CS258" s="21"/>
      <c r="CT258" s="708"/>
      <c r="CU258" s="942"/>
      <c r="CV258" s="73"/>
      <c r="CW258" s="42"/>
      <c r="CX258" s="43"/>
      <c r="CY258" s="567"/>
      <c r="CZ258" s="942"/>
      <c r="DA258" s="21"/>
      <c r="DB258" s="270"/>
      <c r="DC258" s="872"/>
      <c r="DD258" s="40"/>
      <c r="DE258" s="44"/>
      <c r="DF258" s="44"/>
      <c r="DG258" s="36"/>
      <c r="DH258" s="20"/>
      <c r="DI258" s="270"/>
      <c r="DJ258" s="760"/>
      <c r="DK258" s="40"/>
      <c r="DL258" s="44"/>
      <c r="DM258" s="36"/>
      <c r="DN258" s="20"/>
      <c r="DO258" s="708"/>
      <c r="DP258" s="760"/>
      <c r="DQ258" s="40"/>
      <c r="DR258" s="44"/>
      <c r="DS258" s="36"/>
      <c r="DT258" s="20"/>
      <c r="DU258" s="270"/>
      <c r="DV258" s="757"/>
      <c r="DW258" s="40"/>
      <c r="DX258" s="44"/>
      <c r="DY258" s="44"/>
      <c r="DZ258" s="36"/>
      <c r="EA258" s="20"/>
      <c r="EB258" s="270"/>
      <c r="EC258" s="760"/>
      <c r="ED258" s="40"/>
      <c r="EE258" s="44"/>
      <c r="EF258" s="36"/>
      <c r="EG258" s="20"/>
      <c r="EH258" s="708"/>
      <c r="EI258" s="760"/>
      <c r="EJ258" s="40"/>
      <c r="EK258" s="44"/>
      <c r="EL258" s="36"/>
      <c r="EM258" s="20"/>
      <c r="EN258" s="270"/>
    </row>
    <row r="259" spans="1:144" ht="18" customHeight="1" thickBot="1" x14ac:dyDescent="0.25">
      <c r="A259" s="6" t="s">
        <v>62</v>
      </c>
      <c r="B259" s="960"/>
      <c r="C259" s="33">
        <f>C258+1</f>
        <v>46240</v>
      </c>
      <c r="D259" s="1"/>
      <c r="E259" s="23"/>
      <c r="F259" s="526"/>
      <c r="G259" s="526"/>
      <c r="H259" s="1"/>
      <c r="I259" s="265"/>
      <c r="J259" s="647"/>
      <c r="K259" s="138"/>
      <c r="L259" s="126"/>
      <c r="M259" s="126"/>
      <c r="N259" s="127"/>
      <c r="O259" s="23"/>
      <c r="P259" s="624"/>
      <c r="Q259" s="647"/>
      <c r="R259" s="126"/>
      <c r="S259" s="647"/>
      <c r="T259" s="126"/>
      <c r="U259" s="138"/>
      <c r="V259" s="126"/>
      <c r="W259" s="23"/>
      <c r="X259" s="270"/>
      <c r="Y259" s="647"/>
      <c r="Z259" s="124"/>
      <c r="AA259" s="125"/>
      <c r="AB259" s="126"/>
      <c r="AC259" s="127"/>
      <c r="AD259" s="21"/>
      <c r="AE259" s="270"/>
      <c r="AF259" s="647"/>
      <c r="AG259" s="647"/>
      <c r="AH259" s="647"/>
      <c r="AI259" s="647"/>
      <c r="AJ259" s="124"/>
      <c r="AK259" s="125"/>
      <c r="AL259" s="126"/>
      <c r="AM259" s="127"/>
      <c r="AN259" s="21"/>
      <c r="AO259" s="270"/>
      <c r="AP259" s="647"/>
      <c r="AQ259" s="138"/>
      <c r="AR259" s="126"/>
      <c r="AS259" s="126"/>
      <c r="AT259" s="127"/>
      <c r="AU259" s="21"/>
      <c r="AV259" s="270"/>
      <c r="AW259" s="647"/>
      <c r="AX259" s="124"/>
      <c r="AY259" s="125"/>
      <c r="AZ259" s="126"/>
      <c r="BA259" s="127"/>
      <c r="BB259" s="21"/>
      <c r="BC259" s="647"/>
      <c r="BD259" s="124"/>
      <c r="BE259" s="126"/>
      <c r="BF259" s="127"/>
      <c r="BG259" s="21"/>
      <c r="BH259" s="270"/>
      <c r="BI259" s="647"/>
      <c r="BJ259" s="124"/>
      <c r="BK259" s="126"/>
      <c r="BL259" s="127"/>
      <c r="BM259" s="21"/>
      <c r="BN259" s="270"/>
      <c r="BO259" s="647"/>
      <c r="BP259" s="138"/>
      <c r="BQ259" s="1056"/>
      <c r="BR259" s="124"/>
      <c r="BS259" s="126"/>
      <c r="BT259" s="127"/>
      <c r="BU259" s="21"/>
      <c r="BV259" s="708"/>
      <c r="BW259" s="647"/>
      <c r="BX259" s="124"/>
      <c r="BY259" s="126"/>
      <c r="BZ259" s="127"/>
      <c r="CA259" s="21"/>
      <c r="CB259" s="708"/>
      <c r="CC259" s="720"/>
      <c r="CD259" s="309"/>
      <c r="CE259" s="44"/>
      <c r="CF259" s="36"/>
      <c r="CG259" s="21"/>
      <c r="CH259" s="270"/>
      <c r="CI259" s="917"/>
      <c r="CJ259" s="44"/>
      <c r="CK259" s="44"/>
      <c r="CL259" s="36"/>
      <c r="CM259" s="21"/>
      <c r="CN259" s="270"/>
      <c r="CO259" s="917"/>
      <c r="CP259" s="40"/>
      <c r="CQ259" s="44"/>
      <c r="CR259" s="36"/>
      <c r="CS259" s="21"/>
      <c r="CT259" s="708"/>
      <c r="CU259" s="942"/>
      <c r="CV259" s="73"/>
      <c r="CW259" s="42"/>
      <c r="CX259" s="43"/>
      <c r="CY259" s="567"/>
      <c r="CZ259" s="942"/>
      <c r="DA259" s="21"/>
      <c r="DB259" s="270"/>
      <c r="DC259" s="872"/>
      <c r="DD259" s="40"/>
      <c r="DE259" s="44"/>
      <c r="DF259" s="44"/>
      <c r="DG259" s="36"/>
      <c r="DH259" s="20"/>
      <c r="DI259" s="270"/>
      <c r="DJ259" s="760"/>
      <c r="DK259" s="40"/>
      <c r="DL259" s="44"/>
      <c r="DM259" s="36"/>
      <c r="DN259" s="20"/>
      <c r="DO259" s="708"/>
      <c r="DP259" s="760"/>
      <c r="DQ259" s="40"/>
      <c r="DR259" s="44"/>
      <c r="DS259" s="36"/>
      <c r="DT259" s="20"/>
      <c r="DU259" s="270"/>
      <c r="DV259" s="757"/>
      <c r="DW259" s="40"/>
      <c r="DX259" s="44"/>
      <c r="DY259" s="44"/>
      <c r="DZ259" s="36"/>
      <c r="EA259" s="20"/>
      <c r="EB259" s="270"/>
      <c r="EC259" s="760"/>
      <c r="ED259" s="40"/>
      <c r="EE259" s="44"/>
      <c r="EF259" s="36"/>
      <c r="EG259" s="20"/>
      <c r="EH259" s="708"/>
      <c r="EI259" s="760"/>
      <c r="EJ259" s="40"/>
      <c r="EK259" s="44"/>
      <c r="EL259" s="36"/>
      <c r="EM259" s="20"/>
      <c r="EN259" s="270"/>
    </row>
    <row r="260" spans="1:144" ht="18" customHeight="1" thickBot="1" x14ac:dyDescent="0.25">
      <c r="A260" s="6" t="s">
        <v>62</v>
      </c>
      <c r="B260" s="961"/>
      <c r="C260" s="34">
        <f>C259+1</f>
        <v>46241</v>
      </c>
      <c r="D260" s="1"/>
      <c r="E260" s="23"/>
      <c r="F260" s="526"/>
      <c r="G260" s="526"/>
      <c r="H260" s="1"/>
      <c r="I260" s="267"/>
      <c r="J260" s="648"/>
      <c r="K260" s="139"/>
      <c r="L260" s="109"/>
      <c r="M260" s="109"/>
      <c r="N260" s="110"/>
      <c r="O260" s="23"/>
      <c r="P260" s="625"/>
      <c r="Q260" s="648"/>
      <c r="R260" s="109"/>
      <c r="S260" s="648"/>
      <c r="T260" s="109"/>
      <c r="U260" s="139"/>
      <c r="V260" s="109"/>
      <c r="W260" s="23"/>
      <c r="X260" s="272"/>
      <c r="Y260" s="648"/>
      <c r="Z260" s="111"/>
      <c r="AA260" s="144"/>
      <c r="AB260" s="109"/>
      <c r="AC260" s="110"/>
      <c r="AD260" s="21"/>
      <c r="AE260" s="272"/>
      <c r="AF260" s="648"/>
      <c r="AG260" s="648"/>
      <c r="AH260" s="648"/>
      <c r="AI260" s="648"/>
      <c r="AJ260" s="111"/>
      <c r="AK260" s="144"/>
      <c r="AL260" s="109"/>
      <c r="AM260" s="110"/>
      <c r="AN260" s="21"/>
      <c r="AO260" s="272"/>
      <c r="AP260" s="648"/>
      <c r="AQ260" s="139"/>
      <c r="AR260" s="109"/>
      <c r="AS260" s="109"/>
      <c r="AT260" s="110"/>
      <c r="AU260" s="21"/>
      <c r="AV260" s="272"/>
      <c r="AW260" s="648"/>
      <c r="AX260" s="111"/>
      <c r="AY260" s="144"/>
      <c r="AZ260" s="109"/>
      <c r="BA260" s="110"/>
      <c r="BB260" s="21"/>
      <c r="BC260" s="648"/>
      <c r="BD260" s="111"/>
      <c r="BE260" s="109"/>
      <c r="BF260" s="110"/>
      <c r="BG260" s="21"/>
      <c r="BH260" s="272"/>
      <c r="BI260" s="648"/>
      <c r="BJ260" s="111"/>
      <c r="BK260" s="109"/>
      <c r="BL260" s="110"/>
      <c r="BM260" s="21"/>
      <c r="BN260" s="272"/>
      <c r="BO260" s="648"/>
      <c r="BP260" s="139"/>
      <c r="BQ260" s="1057"/>
      <c r="BR260" s="111"/>
      <c r="BS260" s="109"/>
      <c r="BT260" s="110"/>
      <c r="BU260" s="21"/>
      <c r="BV260" s="709"/>
      <c r="BW260" s="648"/>
      <c r="BX260" s="111"/>
      <c r="BY260" s="109"/>
      <c r="BZ260" s="110"/>
      <c r="CA260" s="21"/>
      <c r="CB260" s="709"/>
      <c r="CC260" s="721"/>
      <c r="CD260" s="311"/>
      <c r="CE260" s="59"/>
      <c r="CF260" s="64"/>
      <c r="CG260" s="21"/>
      <c r="CH260" s="272"/>
      <c r="CI260" s="918"/>
      <c r="CJ260" s="59"/>
      <c r="CK260" s="59"/>
      <c r="CL260" s="64"/>
      <c r="CM260" s="21"/>
      <c r="CN260" s="272"/>
      <c r="CO260" s="918"/>
      <c r="CP260" s="45"/>
      <c r="CQ260" s="59"/>
      <c r="CR260" s="64"/>
      <c r="CS260" s="21"/>
      <c r="CT260" s="709"/>
      <c r="CU260" s="943"/>
      <c r="CV260" s="45"/>
      <c r="CW260" s="59"/>
      <c r="CX260" s="64"/>
      <c r="CY260" s="566"/>
      <c r="CZ260" s="943"/>
      <c r="DA260" s="21"/>
      <c r="DB260" s="272"/>
      <c r="DC260" s="872"/>
      <c r="DD260" s="45"/>
      <c r="DE260" s="59"/>
      <c r="DF260" s="59"/>
      <c r="DG260" s="64"/>
      <c r="DH260" s="20"/>
      <c r="DI260" s="272"/>
      <c r="DJ260" s="761"/>
      <c r="DK260" s="45"/>
      <c r="DL260" s="59"/>
      <c r="DM260" s="64"/>
      <c r="DN260" s="20"/>
      <c r="DO260" s="709"/>
      <c r="DP260" s="761"/>
      <c r="DQ260" s="45"/>
      <c r="DR260" s="59"/>
      <c r="DS260" s="64"/>
      <c r="DT260" s="20"/>
      <c r="DU260" s="272"/>
      <c r="DV260" s="758"/>
      <c r="DW260" s="45"/>
      <c r="DX260" s="59"/>
      <c r="DY260" s="59"/>
      <c r="DZ260" s="64"/>
      <c r="EA260" s="20"/>
      <c r="EB260" s="272"/>
      <c r="EC260" s="761"/>
      <c r="ED260" s="45"/>
      <c r="EE260" s="59"/>
      <c r="EF260" s="64"/>
      <c r="EG260" s="20"/>
      <c r="EH260" s="709"/>
      <c r="EI260" s="761"/>
      <c r="EJ260" s="45"/>
      <c r="EK260" s="59"/>
      <c r="EL260" s="64"/>
      <c r="EM260" s="20"/>
      <c r="EN260" s="272"/>
    </row>
    <row r="261" spans="1:144" x14ac:dyDescent="0.2">
      <c r="AF261" s="13"/>
      <c r="CM261" s="11"/>
      <c r="CS261" s="11"/>
      <c r="DA261" s="11"/>
    </row>
    <row r="262" spans="1:144" x14ac:dyDescent="0.2">
      <c r="O262" s="2"/>
      <c r="W262" s="2"/>
      <c r="AD262" s="11"/>
      <c r="AU262" s="11"/>
      <c r="CM262" s="11"/>
      <c r="CS262" s="11"/>
      <c r="DA262" s="11"/>
    </row>
    <row r="263" spans="1:144" x14ac:dyDescent="0.2">
      <c r="C263" s="14" t="s">
        <v>225</v>
      </c>
      <c r="O263" s="2"/>
      <c r="W263" s="2"/>
      <c r="AD263" s="11"/>
      <c r="AU263" s="11"/>
      <c r="CM263" s="11"/>
      <c r="CS263" s="11"/>
      <c r="DA263" s="11"/>
    </row>
    <row r="264" spans="1:144" x14ac:dyDescent="0.2">
      <c r="O264" s="2"/>
      <c r="W264" s="2"/>
      <c r="AD264" s="11"/>
      <c r="AU264" s="11"/>
      <c r="CM264" s="11"/>
      <c r="CS264" s="11"/>
      <c r="DA264" s="11"/>
    </row>
    <row r="265" spans="1:144" x14ac:dyDescent="0.2">
      <c r="C265" s="116" t="s">
        <v>61</v>
      </c>
      <c r="E265" s="11" t="s">
        <v>226</v>
      </c>
      <c r="F265" s="587"/>
      <c r="O265" s="2"/>
      <c r="W265" s="2"/>
      <c r="AD265" s="11"/>
      <c r="AU265" s="11"/>
      <c r="CM265" s="11"/>
      <c r="CS265" s="11"/>
      <c r="DA265" s="11"/>
    </row>
    <row r="266" spans="1:144" x14ac:dyDescent="0.2">
      <c r="O266" s="2"/>
      <c r="W266" s="2"/>
      <c r="AD266" s="11"/>
      <c r="AU266" s="11"/>
      <c r="CM266" s="11"/>
      <c r="CS266" s="11"/>
      <c r="DA266" s="11"/>
    </row>
    <row r="267" spans="1:144" x14ac:dyDescent="0.2">
      <c r="C267" s="66" t="s">
        <v>80</v>
      </c>
      <c r="E267" s="11" t="s">
        <v>227</v>
      </c>
      <c r="F267" s="587"/>
      <c r="O267" s="2"/>
      <c r="W267" s="2"/>
      <c r="AD267" s="11"/>
      <c r="AU267" s="11"/>
      <c r="CM267" s="11"/>
      <c r="CS267" s="11"/>
      <c r="DA267" s="11"/>
    </row>
    <row r="268" spans="1:144" x14ac:dyDescent="0.2">
      <c r="O268" s="2"/>
      <c r="W268" s="2"/>
      <c r="AD268" s="11"/>
      <c r="AN268" s="11"/>
      <c r="AU268" s="11"/>
      <c r="BB268" s="11"/>
      <c r="BG268" s="11"/>
      <c r="BM268" s="11"/>
      <c r="BU268" s="11"/>
      <c r="CA268" s="11"/>
      <c r="CG268" s="11"/>
      <c r="CM268" s="11"/>
      <c r="CS268" s="11"/>
      <c r="DA268" s="11"/>
    </row>
    <row r="269" spans="1:144" x14ac:dyDescent="0.2">
      <c r="C269" s="170" t="s">
        <v>48</v>
      </c>
      <c r="E269" s="22" t="s">
        <v>228</v>
      </c>
      <c r="O269" s="2"/>
      <c r="W269" s="2"/>
      <c r="AD269" s="11"/>
      <c r="AN269" s="11"/>
      <c r="AU269" s="11"/>
      <c r="BB269" s="11"/>
      <c r="BG269" s="11"/>
      <c r="BM269" s="11"/>
      <c r="BU269" s="11"/>
      <c r="CA269" s="11"/>
      <c r="CG269" s="11"/>
      <c r="CM269" s="11"/>
      <c r="CS269" s="11"/>
      <c r="DA269" s="11"/>
    </row>
    <row r="270" spans="1:144" x14ac:dyDescent="0.2">
      <c r="O270" s="2"/>
      <c r="W270" s="2"/>
      <c r="AD270" s="11"/>
      <c r="AN270" s="11"/>
      <c r="AU270" s="11"/>
      <c r="BB270" s="11"/>
      <c r="BG270" s="11"/>
      <c r="BM270" s="11"/>
      <c r="BU270" s="11"/>
      <c r="CA270" s="11"/>
      <c r="CG270" s="11"/>
      <c r="CM270" s="11"/>
      <c r="CS270" s="11"/>
      <c r="DA270" s="11"/>
    </row>
    <row r="271" spans="1:144" ht="31.5" x14ac:dyDescent="0.2">
      <c r="C271" s="612" t="s">
        <v>61</v>
      </c>
      <c r="E271" s="22" t="s">
        <v>424</v>
      </c>
      <c r="O271" s="2"/>
      <c r="W271" s="2"/>
      <c r="AD271" s="11"/>
      <c r="AN271" s="11"/>
      <c r="AU271" s="11"/>
      <c r="BB271" s="11"/>
      <c r="BG271" s="11"/>
      <c r="BM271" s="11"/>
      <c r="BU271" s="11"/>
      <c r="CA271" s="11"/>
      <c r="CG271" s="11"/>
      <c r="CM271" s="11"/>
      <c r="CS271" s="11"/>
      <c r="DA271" s="11"/>
    </row>
    <row r="272" spans="1:144" x14ac:dyDescent="0.2">
      <c r="O272" s="2"/>
      <c r="W272" s="2"/>
      <c r="AD272" s="11"/>
      <c r="AN272" s="11"/>
      <c r="AU272" s="11"/>
      <c r="BB272" s="11"/>
      <c r="BG272" s="11"/>
      <c r="BM272" s="11"/>
      <c r="BU272" s="11"/>
      <c r="CA272" s="11"/>
      <c r="CG272" s="11"/>
      <c r="CM272" s="11"/>
      <c r="CS272" s="11"/>
      <c r="DA272" s="11"/>
    </row>
    <row r="273" spans="3:144" ht="31.5" x14ac:dyDescent="0.2">
      <c r="C273" s="612" t="s">
        <v>80</v>
      </c>
      <c r="E273" s="22" t="s">
        <v>425</v>
      </c>
      <c r="O273" s="2"/>
      <c r="W273" s="2"/>
      <c r="AD273" s="11"/>
      <c r="AU273" s="11"/>
    </row>
    <row r="274" spans="3:144" x14ac:dyDescent="0.2">
      <c r="O274" s="2"/>
      <c r="W274" s="2"/>
      <c r="AD274" s="11"/>
      <c r="AU274" s="11"/>
    </row>
    <row r="275" spans="3:144" x14ac:dyDescent="0.2">
      <c r="C275" s="14" t="s">
        <v>229</v>
      </c>
      <c r="O275" s="2"/>
      <c r="W275" s="2"/>
    </row>
    <row r="276" spans="3:144" ht="14.25" customHeight="1" x14ac:dyDescent="0.2"/>
    <row r="277" spans="3:144" x14ac:dyDescent="0.2">
      <c r="C277" s="14" t="s">
        <v>70</v>
      </c>
      <c r="E277" s="22" t="s">
        <v>230</v>
      </c>
      <c r="H277" s="2"/>
      <c r="O277" s="2"/>
      <c r="W277" s="2"/>
      <c r="X277" s="2"/>
      <c r="AE277" s="2"/>
      <c r="AO277" s="2"/>
      <c r="AV277" s="2"/>
      <c r="BH277" s="2"/>
      <c r="BN277" s="2"/>
      <c r="BV277" s="2"/>
      <c r="CB277" s="2"/>
      <c r="CH277" s="2"/>
      <c r="CN277" s="2"/>
      <c r="CT277" s="2"/>
      <c r="DB277" s="2"/>
      <c r="DI277" s="2"/>
      <c r="DO277" s="2"/>
      <c r="DU277" s="2"/>
      <c r="EB277" s="2"/>
      <c r="EH277" s="2"/>
      <c r="EN277" s="2"/>
    </row>
    <row r="278" spans="3:144" x14ac:dyDescent="0.2">
      <c r="C278" s="14" t="s">
        <v>71</v>
      </c>
      <c r="E278" s="22" t="s">
        <v>231</v>
      </c>
      <c r="H278" s="2"/>
      <c r="O278" s="2"/>
      <c r="W278" s="2"/>
      <c r="X278" s="2"/>
      <c r="AE278" s="2"/>
      <c r="AO278" s="2"/>
      <c r="AV278" s="2"/>
      <c r="BH278" s="2"/>
      <c r="BN278" s="2"/>
      <c r="BV278" s="2"/>
      <c r="CB278" s="2"/>
      <c r="CH278" s="2"/>
      <c r="CN278" s="2"/>
      <c r="CT278" s="2"/>
      <c r="DB278" s="2"/>
      <c r="DI278" s="2"/>
      <c r="DO278" s="2"/>
      <c r="DU278" s="2"/>
      <c r="EB278" s="2"/>
      <c r="EH278" s="2"/>
      <c r="EN278" s="2"/>
    </row>
    <row r="279" spans="3:144" x14ac:dyDescent="0.2">
      <c r="C279" s="14" t="s">
        <v>232</v>
      </c>
      <c r="E279" s="22" t="s">
        <v>233</v>
      </c>
      <c r="H279" s="2"/>
      <c r="O279" s="2"/>
      <c r="W279" s="2"/>
      <c r="X279" s="2"/>
      <c r="AE279" s="2"/>
      <c r="AO279" s="2"/>
      <c r="AV279" s="2"/>
      <c r="BH279" s="2"/>
      <c r="BN279" s="2"/>
      <c r="BV279" s="2"/>
      <c r="CB279" s="2"/>
      <c r="CH279" s="2"/>
      <c r="CN279" s="2"/>
      <c r="CT279" s="2"/>
      <c r="DB279" s="2"/>
      <c r="DI279" s="2"/>
      <c r="DO279" s="2"/>
      <c r="DU279" s="2"/>
      <c r="EB279" s="2"/>
      <c r="EH279" s="2"/>
      <c r="EN279" s="2"/>
    </row>
    <row r="280" spans="3:144" ht="14.25" customHeight="1" x14ac:dyDescent="0.2"/>
    <row r="281" spans="3:144" ht="14.25" customHeight="1" x14ac:dyDescent="0.2"/>
    <row r="282" spans="3:144" ht="14.25" customHeight="1" x14ac:dyDescent="0.2"/>
    <row r="283" spans="3:144" ht="14.25" customHeight="1" x14ac:dyDescent="0.2"/>
    <row r="284" spans="3:144" ht="14.25" customHeight="1" x14ac:dyDescent="0.2"/>
    <row r="285" spans="3:144" ht="14.25" customHeight="1" x14ac:dyDescent="0.2"/>
    <row r="286" spans="3:144" x14ac:dyDescent="0.2">
      <c r="H286" s="2"/>
      <c r="O286" s="2"/>
      <c r="W286" s="2"/>
      <c r="X286" s="2"/>
      <c r="AE286" s="2"/>
      <c r="AO286" s="2"/>
      <c r="AV286" s="2"/>
      <c r="BH286" s="2"/>
      <c r="BN286" s="2"/>
      <c r="BV286" s="2"/>
      <c r="CB286" s="2"/>
      <c r="CH286" s="2"/>
      <c r="CN286" s="2"/>
      <c r="CT286" s="2"/>
      <c r="DB286" s="2"/>
      <c r="DI286" s="2"/>
      <c r="DO286" s="2"/>
      <c r="DU286" s="2"/>
      <c r="EB286" s="2"/>
      <c r="EH286" s="2"/>
      <c r="EN286" s="2"/>
    </row>
    <row r="287" spans="3:144" x14ac:dyDescent="0.2">
      <c r="H287" s="2"/>
      <c r="O287" s="2"/>
      <c r="W287" s="2"/>
      <c r="X287" s="2"/>
      <c r="AE287" s="2"/>
      <c r="AO287" s="2"/>
      <c r="AV287" s="2"/>
      <c r="BH287" s="2"/>
      <c r="BN287" s="2"/>
      <c r="BV287" s="2"/>
      <c r="CB287" s="2"/>
      <c r="CH287" s="2"/>
      <c r="CN287" s="2"/>
      <c r="CT287" s="2"/>
      <c r="DB287" s="2"/>
      <c r="DI287" s="2"/>
      <c r="DO287" s="2"/>
      <c r="DU287" s="2"/>
      <c r="EB287" s="2"/>
      <c r="EH287" s="2"/>
      <c r="EN287" s="2"/>
    </row>
    <row r="288" spans="3:144" x14ac:dyDescent="0.2">
      <c r="H288" s="2"/>
      <c r="O288" s="2"/>
      <c r="W288" s="2"/>
      <c r="X288" s="2"/>
      <c r="AE288" s="2"/>
      <c r="AO288" s="2"/>
      <c r="AV288" s="2"/>
      <c r="BH288" s="2"/>
      <c r="BN288" s="2"/>
      <c r="BV288" s="2"/>
      <c r="CB288" s="2"/>
      <c r="CH288" s="2"/>
      <c r="CN288" s="2"/>
      <c r="CT288" s="2"/>
      <c r="DB288" s="2"/>
      <c r="DI288" s="2"/>
      <c r="DO288" s="2"/>
      <c r="DU288" s="2"/>
      <c r="EB288" s="2"/>
      <c r="EH288" s="2"/>
      <c r="EN288" s="2"/>
    </row>
    <row r="289" spans="8:144" x14ac:dyDescent="0.2">
      <c r="H289" s="2"/>
      <c r="O289" s="2"/>
      <c r="W289" s="2"/>
      <c r="X289" s="2"/>
      <c r="AE289" s="2"/>
      <c r="AO289" s="2"/>
      <c r="AV289" s="2"/>
      <c r="BH289" s="2"/>
      <c r="BN289" s="2"/>
      <c r="BV289" s="2"/>
      <c r="CB289" s="2"/>
      <c r="CH289" s="2"/>
      <c r="CN289" s="2"/>
      <c r="CT289" s="2"/>
      <c r="DB289" s="2"/>
      <c r="DI289" s="2"/>
      <c r="DO289" s="2"/>
      <c r="DU289" s="2"/>
      <c r="EB289" s="2"/>
      <c r="EH289" s="2"/>
      <c r="EN289" s="2"/>
    </row>
    <row r="290" spans="8:144" x14ac:dyDescent="0.2">
      <c r="H290" s="2"/>
      <c r="O290" s="2"/>
      <c r="W290" s="2"/>
      <c r="X290" s="2"/>
      <c r="AE290" s="2"/>
      <c r="AO290" s="2"/>
      <c r="AV290" s="2"/>
      <c r="BH290" s="2"/>
      <c r="BN290" s="2"/>
      <c r="BV290" s="2"/>
      <c r="CB290" s="2"/>
      <c r="CH290" s="2"/>
      <c r="CN290" s="2"/>
      <c r="CT290" s="2"/>
      <c r="DB290" s="2"/>
      <c r="DI290" s="2"/>
      <c r="DO290" s="2"/>
      <c r="DU290" s="2"/>
      <c r="EB290" s="2"/>
      <c r="EH290" s="2"/>
      <c r="EN290" s="2"/>
    </row>
    <row r="291" spans="8:144" x14ac:dyDescent="0.2">
      <c r="H291" s="2"/>
      <c r="O291" s="2"/>
      <c r="W291" s="2"/>
      <c r="X291" s="2"/>
      <c r="AE291" s="2"/>
      <c r="AO291" s="2"/>
      <c r="AV291" s="2"/>
      <c r="BH291" s="2"/>
      <c r="BN291" s="2"/>
      <c r="BV291" s="2"/>
      <c r="CB291" s="2"/>
      <c r="CH291" s="2"/>
      <c r="CN291" s="2"/>
      <c r="CT291" s="2"/>
      <c r="DI291" s="2"/>
      <c r="DO291" s="2"/>
      <c r="DU291" s="2"/>
      <c r="EB291" s="2"/>
      <c r="EH291" s="2"/>
      <c r="EN291" s="2"/>
    </row>
    <row r="292" spans="8:144" x14ac:dyDescent="0.2">
      <c r="H292" s="2"/>
      <c r="O292" s="2"/>
      <c r="W292" s="2"/>
      <c r="X292" s="2"/>
      <c r="AE292" s="2"/>
      <c r="AO292" s="2"/>
      <c r="AV292" s="2"/>
      <c r="BH292" s="2"/>
      <c r="BN292" s="2"/>
      <c r="BV292" s="2"/>
      <c r="CB292" s="2"/>
      <c r="CH292" s="2"/>
      <c r="CN292" s="2"/>
      <c r="CT292" s="2"/>
      <c r="DI292" s="2"/>
      <c r="DO292" s="2"/>
      <c r="DU292" s="2"/>
      <c r="EB292" s="2"/>
      <c r="EH292" s="2"/>
      <c r="EN292" s="2"/>
    </row>
    <row r="293" spans="8:144" x14ac:dyDescent="0.2">
      <c r="H293" s="2"/>
      <c r="O293" s="2"/>
      <c r="W293" s="2"/>
      <c r="X293" s="2"/>
      <c r="AD293" s="11"/>
      <c r="AE293" s="2"/>
      <c r="AO293" s="2"/>
      <c r="AU293" s="11"/>
      <c r="AV293" s="2"/>
      <c r="BH293" s="2"/>
      <c r="BN293" s="2"/>
      <c r="BV293" s="2"/>
      <c r="CB293" s="2"/>
      <c r="CH293" s="2"/>
      <c r="CN293" s="2"/>
      <c r="CT293" s="2"/>
      <c r="DI293" s="2"/>
      <c r="DO293" s="2"/>
      <c r="DU293" s="2"/>
      <c r="EB293" s="2"/>
      <c r="EH293" s="2"/>
      <c r="EN293" s="2"/>
    </row>
    <row r="294" spans="8:144" x14ac:dyDescent="0.2">
      <c r="H294" s="2"/>
      <c r="O294" s="2"/>
      <c r="W294" s="2"/>
      <c r="X294" s="2"/>
      <c r="AD294" s="11"/>
      <c r="AE294" s="2"/>
      <c r="AO294" s="2"/>
      <c r="AU294" s="11"/>
      <c r="AV294" s="2"/>
      <c r="BH294" s="2"/>
      <c r="BN294" s="2"/>
      <c r="BV294" s="2"/>
      <c r="CB294" s="2"/>
      <c r="CH294" s="2"/>
      <c r="CN294" s="2"/>
      <c r="CT294" s="2"/>
      <c r="DI294" s="2"/>
      <c r="DO294" s="2"/>
      <c r="DU294" s="2"/>
      <c r="EB294" s="2"/>
      <c r="EH294" s="2"/>
      <c r="EN294" s="2"/>
    </row>
    <row r="295" spans="8:144" x14ac:dyDescent="0.2">
      <c r="H295" s="2"/>
      <c r="O295" s="2"/>
      <c r="W295" s="2"/>
      <c r="X295" s="2"/>
      <c r="AD295" s="11"/>
      <c r="AE295" s="2"/>
      <c r="AO295" s="2"/>
      <c r="AU295" s="11"/>
      <c r="AV295" s="2"/>
      <c r="BH295" s="2"/>
      <c r="BN295" s="2"/>
      <c r="BV295" s="2"/>
      <c r="CB295" s="2"/>
      <c r="CH295" s="2"/>
      <c r="CN295" s="2"/>
      <c r="CT295" s="2"/>
      <c r="DI295" s="2"/>
      <c r="DO295" s="2"/>
      <c r="DU295" s="2"/>
      <c r="EB295" s="2"/>
      <c r="EH295" s="2"/>
      <c r="EN295" s="2"/>
    </row>
    <row r="296" spans="8:144" x14ac:dyDescent="0.2">
      <c r="O296" s="2"/>
      <c r="W296" s="2"/>
      <c r="AD296" s="11"/>
      <c r="AU296" s="11"/>
    </row>
    <row r="297" spans="8:144" x14ac:dyDescent="0.2">
      <c r="O297" s="2"/>
      <c r="W297" s="2"/>
      <c r="AD297" s="11"/>
      <c r="AU297" s="11"/>
    </row>
    <row r="298" spans="8:144" x14ac:dyDescent="0.2">
      <c r="O298" s="2"/>
      <c r="W298" s="2"/>
      <c r="AD298" s="11"/>
      <c r="AU298" s="11"/>
    </row>
    <row r="299" spans="8:144" x14ac:dyDescent="0.2">
      <c r="O299" s="2"/>
      <c r="W299" s="2"/>
      <c r="AD299" s="11"/>
      <c r="AU299" s="11"/>
    </row>
    <row r="300" spans="8:144" x14ac:dyDescent="0.2">
      <c r="O300" s="2"/>
      <c r="W300" s="2"/>
      <c r="AD300" s="11"/>
      <c r="AU300" s="11"/>
    </row>
    <row r="301" spans="8:144" x14ac:dyDescent="0.2">
      <c r="O301" s="2"/>
      <c r="W301" s="2"/>
      <c r="AD301" s="11"/>
      <c r="AU301" s="11"/>
    </row>
    <row r="302" spans="8:144" x14ac:dyDescent="0.2">
      <c r="O302" s="2"/>
      <c r="W302" s="2"/>
      <c r="AD302" s="11"/>
      <c r="AU302" s="11"/>
    </row>
    <row r="303" spans="8:144" x14ac:dyDescent="0.2">
      <c r="O303" s="2"/>
      <c r="W303" s="2"/>
      <c r="AD303" s="11"/>
      <c r="AU303" s="11"/>
    </row>
    <row r="304" spans="8:144" x14ac:dyDescent="0.2">
      <c r="O304" s="2"/>
      <c r="W304" s="2"/>
      <c r="AD304" s="11"/>
      <c r="AU304" s="11"/>
    </row>
    <row r="305" spans="15:105" x14ac:dyDescent="0.2">
      <c r="O305" s="2"/>
      <c r="W305" s="2"/>
      <c r="AD305" s="11"/>
      <c r="AN305" s="11"/>
      <c r="AU305" s="11"/>
      <c r="BB305" s="11"/>
      <c r="BG305" s="11"/>
      <c r="BM305" s="11"/>
      <c r="BU305" s="11"/>
      <c r="CA305" s="11"/>
      <c r="CG305" s="11"/>
      <c r="CM305" s="11"/>
      <c r="CS305" s="11"/>
      <c r="DA305" s="11"/>
    </row>
    <row r="306" spans="15:105" x14ac:dyDescent="0.2">
      <c r="O306" s="2"/>
      <c r="W306" s="2"/>
      <c r="AD306" s="11"/>
      <c r="AN306" s="11"/>
      <c r="AU306" s="11"/>
      <c r="BB306" s="11"/>
      <c r="BG306" s="11"/>
      <c r="BM306" s="11"/>
      <c r="BU306" s="11"/>
      <c r="CA306" s="11"/>
      <c r="CG306" s="11"/>
      <c r="CM306" s="11"/>
      <c r="CS306" s="11"/>
      <c r="DA306" s="11"/>
    </row>
    <row r="307" spans="15:105" x14ac:dyDescent="0.2">
      <c r="AD307" s="11"/>
      <c r="AN307" s="11"/>
      <c r="AU307" s="11"/>
      <c r="BB307" s="11"/>
      <c r="BG307" s="11"/>
      <c r="BM307" s="11"/>
      <c r="BU307" s="11"/>
      <c r="CA307" s="11"/>
      <c r="CG307" s="11"/>
      <c r="CM307" s="11"/>
      <c r="CS307" s="11"/>
      <c r="DA307" s="11"/>
    </row>
    <row r="308" spans="15:105" x14ac:dyDescent="0.2">
      <c r="AD308" s="11"/>
      <c r="AN308" s="11"/>
      <c r="AU308" s="11"/>
      <c r="BB308" s="11"/>
      <c r="BG308" s="11"/>
      <c r="BM308" s="11"/>
      <c r="BU308" s="11"/>
      <c r="CA308" s="11"/>
      <c r="CG308" s="11"/>
      <c r="CM308" s="11"/>
      <c r="CS308" s="11"/>
      <c r="DA308" s="11"/>
    </row>
    <row r="309" spans="15:105" x14ac:dyDescent="0.2">
      <c r="AD309" s="11"/>
      <c r="AN309" s="11"/>
      <c r="AU309" s="11"/>
      <c r="BB309" s="11"/>
      <c r="BG309" s="11"/>
      <c r="BM309" s="11"/>
      <c r="BU309" s="11"/>
      <c r="CA309" s="11"/>
      <c r="CG309" s="11"/>
      <c r="CM309" s="11"/>
      <c r="CS309" s="11"/>
      <c r="DA309" s="11"/>
    </row>
    <row r="310" spans="15:105" x14ac:dyDescent="0.2">
      <c r="AD310" s="11"/>
      <c r="AN310" s="11"/>
      <c r="AU310" s="11"/>
      <c r="BB310" s="11"/>
      <c r="BG310" s="11"/>
      <c r="BM310" s="11"/>
      <c r="BU310" s="11"/>
      <c r="CA310" s="11"/>
      <c r="CG310" s="11"/>
      <c r="CM310" s="11"/>
      <c r="CS310" s="11"/>
      <c r="DA310" s="11"/>
    </row>
    <row r="311" spans="15:105" x14ac:dyDescent="0.2">
      <c r="AD311" s="11"/>
      <c r="AN311" s="11"/>
      <c r="AU311" s="11"/>
      <c r="BB311" s="11"/>
      <c r="BG311" s="11"/>
      <c r="BM311" s="11"/>
      <c r="BU311" s="11"/>
      <c r="CA311" s="11"/>
      <c r="CG311" s="11"/>
      <c r="CM311" s="11"/>
      <c r="CS311" s="11"/>
      <c r="DA311" s="11"/>
    </row>
    <row r="312" spans="15:105" x14ac:dyDescent="0.2">
      <c r="AD312" s="11"/>
      <c r="AN312" s="11"/>
      <c r="AU312" s="11"/>
      <c r="BB312" s="11"/>
      <c r="BG312" s="11"/>
      <c r="BM312" s="11"/>
      <c r="BU312" s="11"/>
      <c r="CA312" s="11"/>
      <c r="CG312" s="11"/>
      <c r="CM312" s="11"/>
      <c r="CS312" s="11"/>
      <c r="DA312" s="11"/>
    </row>
    <row r="313" spans="15:105" x14ac:dyDescent="0.2">
      <c r="AD313" s="11"/>
      <c r="AN313" s="11"/>
      <c r="AU313" s="11"/>
      <c r="BB313" s="11"/>
      <c r="BG313" s="11"/>
      <c r="BM313" s="11"/>
      <c r="BU313" s="11"/>
      <c r="CA313" s="11"/>
      <c r="CG313" s="11"/>
      <c r="CM313" s="11"/>
      <c r="CS313" s="11"/>
      <c r="DA313" s="11"/>
    </row>
    <row r="314" spans="15:105" x14ac:dyDescent="0.2">
      <c r="AD314" s="11"/>
      <c r="AN314" s="11"/>
      <c r="AU314" s="11"/>
      <c r="BB314" s="11"/>
      <c r="BG314" s="11"/>
      <c r="BM314" s="11"/>
      <c r="BU314" s="11"/>
      <c r="CA314" s="11"/>
      <c r="CG314" s="11"/>
      <c r="CM314" s="11"/>
      <c r="CS314" s="11"/>
      <c r="DA314" s="11"/>
    </row>
    <row r="315" spans="15:105" x14ac:dyDescent="0.2">
      <c r="AD315" s="11"/>
      <c r="AN315" s="11"/>
      <c r="AU315" s="11"/>
      <c r="BB315" s="11"/>
      <c r="BG315" s="11"/>
      <c r="BM315" s="11"/>
      <c r="BU315" s="11"/>
      <c r="CA315" s="11"/>
      <c r="CG315" s="11"/>
      <c r="CM315" s="11"/>
      <c r="CS315" s="11"/>
      <c r="DA315" s="11"/>
    </row>
    <row r="316" spans="15:105" x14ac:dyDescent="0.2">
      <c r="AD316" s="11"/>
      <c r="AN316" s="11"/>
      <c r="AU316" s="11"/>
      <c r="BB316" s="11"/>
      <c r="BG316" s="11"/>
      <c r="BM316" s="11"/>
      <c r="BU316" s="11"/>
      <c r="CA316" s="11"/>
      <c r="CG316" s="11"/>
      <c r="CM316" s="11"/>
      <c r="CS316" s="11"/>
      <c r="DA316" s="11"/>
    </row>
    <row r="317" spans="15:105" x14ac:dyDescent="0.2">
      <c r="AD317" s="11"/>
      <c r="AN317" s="11"/>
      <c r="AU317" s="11"/>
      <c r="BB317" s="11"/>
      <c r="BG317" s="11"/>
      <c r="BM317" s="11"/>
      <c r="BU317" s="11"/>
      <c r="CA317" s="11"/>
      <c r="CG317" s="11"/>
      <c r="CM317" s="11"/>
      <c r="CS317" s="11"/>
      <c r="DA317" s="11"/>
    </row>
    <row r="318" spans="15:105" x14ac:dyDescent="0.2">
      <c r="AD318" s="11"/>
      <c r="AN318" s="11"/>
      <c r="AU318" s="11"/>
      <c r="BB318" s="11"/>
      <c r="BG318" s="11"/>
      <c r="BM318" s="11"/>
      <c r="BU318" s="11"/>
      <c r="CA318" s="11"/>
      <c r="CG318" s="11"/>
      <c r="CM318" s="11"/>
      <c r="CS318" s="11"/>
      <c r="DA318" s="11"/>
    </row>
    <row r="319" spans="15:105" x14ac:dyDescent="0.2">
      <c r="AD319" s="11"/>
      <c r="AN319" s="11"/>
      <c r="AU319" s="11"/>
      <c r="BB319" s="11"/>
      <c r="BG319" s="11"/>
      <c r="BM319" s="11"/>
      <c r="BU319" s="11"/>
      <c r="CA319" s="11"/>
      <c r="CG319" s="11"/>
      <c r="CM319" s="11"/>
      <c r="CS319" s="11"/>
      <c r="DA319" s="11"/>
    </row>
    <row r="320" spans="15:105" x14ac:dyDescent="0.2">
      <c r="AD320" s="11"/>
      <c r="AN320" s="11"/>
      <c r="AU320" s="11"/>
      <c r="BB320" s="11"/>
      <c r="BG320" s="11"/>
      <c r="BM320" s="11"/>
      <c r="BU320" s="11"/>
      <c r="CA320" s="11"/>
      <c r="CG320" s="11"/>
      <c r="CM320" s="11"/>
      <c r="CS320" s="11"/>
      <c r="DA320" s="11"/>
    </row>
    <row r="321" spans="15:105" x14ac:dyDescent="0.2">
      <c r="AD321" s="11"/>
      <c r="AN321" s="11"/>
      <c r="AU321" s="11"/>
      <c r="BB321" s="11"/>
      <c r="BG321" s="11"/>
      <c r="BM321" s="11"/>
      <c r="BU321" s="11"/>
      <c r="CA321" s="11"/>
      <c r="CG321" s="11"/>
      <c r="CM321" s="11"/>
      <c r="CS321" s="11"/>
      <c r="DA321" s="11"/>
    </row>
    <row r="322" spans="15:105" x14ac:dyDescent="0.2">
      <c r="AD322" s="11"/>
      <c r="AN322" s="11"/>
      <c r="AU322" s="11"/>
      <c r="BB322" s="11"/>
      <c r="BG322" s="11"/>
      <c r="BM322" s="11"/>
      <c r="BU322" s="11"/>
      <c r="CA322" s="11"/>
      <c r="CG322" s="11"/>
      <c r="CM322" s="11"/>
      <c r="CS322" s="11"/>
      <c r="DA322" s="11"/>
    </row>
    <row r="323" spans="15:105" x14ac:dyDescent="0.2">
      <c r="O323" s="2"/>
      <c r="W323" s="2"/>
      <c r="AD323" s="11"/>
      <c r="AN323" s="11"/>
      <c r="AU323" s="11"/>
      <c r="BB323" s="11"/>
      <c r="BG323" s="11"/>
      <c r="BM323" s="11"/>
      <c r="BU323" s="11"/>
      <c r="CA323" s="11"/>
      <c r="CG323" s="11"/>
      <c r="CM323" s="11"/>
      <c r="CS323" s="11"/>
      <c r="DA323" s="11"/>
    </row>
    <row r="324" spans="15:105" x14ac:dyDescent="0.2">
      <c r="O324" s="2"/>
      <c r="W324" s="2"/>
      <c r="AD324" s="11"/>
      <c r="AN324" s="11"/>
      <c r="AU324" s="11"/>
      <c r="BB324" s="11"/>
      <c r="BG324" s="11"/>
      <c r="BM324" s="11"/>
      <c r="BU324" s="11"/>
      <c r="CA324" s="11"/>
      <c r="CG324" s="11"/>
      <c r="CM324" s="11"/>
      <c r="CS324" s="11"/>
      <c r="DA324" s="11"/>
    </row>
    <row r="325" spans="15:105" x14ac:dyDescent="0.2">
      <c r="O325" s="2"/>
      <c r="W325" s="2"/>
      <c r="AD325" s="11"/>
      <c r="AN325" s="11"/>
      <c r="AU325" s="11"/>
      <c r="BB325" s="11"/>
      <c r="BG325" s="11"/>
      <c r="BM325" s="11"/>
      <c r="BU325" s="11"/>
      <c r="CA325" s="11"/>
      <c r="CG325" s="11"/>
      <c r="CM325" s="11"/>
      <c r="CS325" s="11"/>
      <c r="DA325" s="11"/>
    </row>
    <row r="326" spans="15:105" x14ac:dyDescent="0.2">
      <c r="O326" s="2"/>
      <c r="W326" s="2"/>
      <c r="AD326" s="11"/>
      <c r="AN326" s="11"/>
      <c r="AU326" s="11"/>
      <c r="BB326" s="11"/>
      <c r="BG326" s="11"/>
      <c r="BM326" s="11"/>
      <c r="BU326" s="11"/>
      <c r="CA326" s="11"/>
      <c r="CG326" s="11"/>
      <c r="CM326" s="11"/>
      <c r="CS326" s="11"/>
      <c r="DA326" s="11"/>
    </row>
    <row r="327" spans="15:105" x14ac:dyDescent="0.2">
      <c r="O327" s="2"/>
      <c r="W327" s="2"/>
      <c r="AD327" s="11"/>
      <c r="AN327" s="11"/>
      <c r="AU327" s="11"/>
      <c r="BB327" s="11"/>
      <c r="BG327" s="11"/>
      <c r="BM327" s="11"/>
      <c r="BU327" s="11"/>
      <c r="CA327" s="11"/>
      <c r="CG327" s="11"/>
      <c r="CM327" s="11"/>
      <c r="CS327" s="11"/>
      <c r="DA327" s="11"/>
    </row>
    <row r="328" spans="15:105" x14ac:dyDescent="0.2">
      <c r="O328" s="2"/>
      <c r="W328" s="2"/>
    </row>
    <row r="329" spans="15:105" x14ac:dyDescent="0.2">
      <c r="O329" s="2"/>
      <c r="W329" s="2"/>
    </row>
  </sheetData>
  <mergeCells count="1390">
    <mergeCell ref="EO191:EO194"/>
    <mergeCell ref="CH116:CH120"/>
    <mergeCell ref="CH161:CH165"/>
    <mergeCell ref="CH206:CH210"/>
    <mergeCell ref="BR236:BR238"/>
    <mergeCell ref="BO221:BO260"/>
    <mergeCell ref="BQ221:BQ260"/>
    <mergeCell ref="BP236:BP238"/>
    <mergeCell ref="BO181:BO185"/>
    <mergeCell ref="BQ181:BQ185"/>
    <mergeCell ref="BN206:BN210"/>
    <mergeCell ref="BN171:BN175"/>
    <mergeCell ref="BN161:BN165"/>
    <mergeCell ref="BN176:BN180"/>
    <mergeCell ref="BN221:BN225"/>
    <mergeCell ref="BN226:BN235"/>
    <mergeCell ref="BN241:BN245"/>
    <mergeCell ref="EH146:EH150"/>
    <mergeCell ref="EH156:EH160"/>
    <mergeCell ref="EB101:EB105"/>
    <mergeCell ref="EB116:EB120"/>
    <mergeCell ref="EB161:EB165"/>
    <mergeCell ref="EB176:EB180"/>
    <mergeCell ref="DU181:DU185"/>
    <mergeCell ref="DU131:DU135"/>
    <mergeCell ref="DU136:DU140"/>
    <mergeCell ref="DU101:DU105"/>
    <mergeCell ref="DU76:DU80"/>
    <mergeCell ref="DI111:DI115"/>
    <mergeCell ref="DI171:DI175"/>
    <mergeCell ref="DJ191:DJ194"/>
    <mergeCell ref="DJ195:DJ210"/>
    <mergeCell ref="DB201:DB205"/>
    <mergeCell ref="DB216:DB220"/>
    <mergeCell ref="DB161:DB165"/>
    <mergeCell ref="DB151:DB155"/>
    <mergeCell ref="DB116:DB120"/>
    <mergeCell ref="DB76:DB80"/>
    <mergeCell ref="CT191:CT195"/>
    <mergeCell ref="CT121:CT125"/>
    <mergeCell ref="CN106:CN110"/>
    <mergeCell ref="CN151:CN155"/>
    <mergeCell ref="BN186:BN190"/>
    <mergeCell ref="BO186:BO189"/>
    <mergeCell ref="BQ186:BQ189"/>
    <mergeCell ref="BT186:BT189"/>
    <mergeCell ref="BN191:BN195"/>
    <mergeCell ref="BO191:BO194"/>
    <mergeCell ref="BQ191:BQ194"/>
    <mergeCell ref="BS191:BS194"/>
    <mergeCell ref="BN196:BN200"/>
    <mergeCell ref="BO196:BO198"/>
    <mergeCell ref="BQ196:BQ198"/>
    <mergeCell ref="BO201:BO205"/>
    <mergeCell ref="BQ201:BQ205"/>
    <mergeCell ref="BS201:BS205"/>
    <mergeCell ref="BO207:BO220"/>
    <mergeCell ref="BQ207:BQ208"/>
    <mergeCell ref="BS207:BS210"/>
    <mergeCell ref="BQ209:BQ220"/>
    <mergeCell ref="BS211:BS215"/>
    <mergeCell ref="BN216:BN220"/>
    <mergeCell ref="BS141:BS145"/>
    <mergeCell ref="BS146:BS150"/>
    <mergeCell ref="BN151:BN155"/>
    <mergeCell ref="BO151:BO155"/>
    <mergeCell ref="BQ151:BQ155"/>
    <mergeCell ref="BT152:BT155"/>
    <mergeCell ref="BO156:BO170"/>
    <mergeCell ref="BQ156:BQ160"/>
    <mergeCell ref="BS156:BS160"/>
    <mergeCell ref="BQ161:BQ170"/>
    <mergeCell ref="BS161:BS165"/>
    <mergeCell ref="BS166:BS170"/>
    <mergeCell ref="BO172:BO180"/>
    <mergeCell ref="BQ172:BQ180"/>
    <mergeCell ref="BS172:BS175"/>
    <mergeCell ref="BS176:BS180"/>
    <mergeCell ref="AO211:AO215"/>
    <mergeCell ref="AP211:AP214"/>
    <mergeCell ref="AR211:AR215"/>
    <mergeCell ref="AO216:AO220"/>
    <mergeCell ref="AP216:AP219"/>
    <mergeCell ref="AT216:AT220"/>
    <mergeCell ref="AO221:AO225"/>
    <mergeCell ref="AP222:AP260"/>
    <mergeCell ref="AO226:AO235"/>
    <mergeCell ref="AO241:AO245"/>
    <mergeCell ref="AS236:AS238"/>
    <mergeCell ref="AO196:AO200"/>
    <mergeCell ref="BN3:BT4"/>
    <mergeCell ref="BO6:BO10"/>
    <mergeCell ref="BN16:BN25"/>
    <mergeCell ref="BN26:BN35"/>
    <mergeCell ref="BO26:BO125"/>
    <mergeCell ref="BQ26:BQ125"/>
    <mergeCell ref="BN61:BN70"/>
    <mergeCell ref="BN111:BN115"/>
    <mergeCell ref="BN116:BN120"/>
    <mergeCell ref="BN121:BN125"/>
    <mergeCell ref="BO126:BO130"/>
    <mergeCell ref="BQ126:BQ130"/>
    <mergeCell ref="BN131:BN135"/>
    <mergeCell ref="BO132:BO135"/>
    <mergeCell ref="BQ132:BQ135"/>
    <mergeCell ref="BT132:BT135"/>
    <mergeCell ref="BO136:BO150"/>
    <mergeCell ref="BQ136:BQ140"/>
    <mergeCell ref="BS136:BS140"/>
    <mergeCell ref="BQ141:BQ150"/>
    <mergeCell ref="AP181:AP184"/>
    <mergeCell ref="AQ181:AQ185"/>
    <mergeCell ref="AR181:AR185"/>
    <mergeCell ref="AP186:AP189"/>
    <mergeCell ref="AR186:AR189"/>
    <mergeCell ref="AO191:AO195"/>
    <mergeCell ref="AP191:AP192"/>
    <mergeCell ref="AR191:AR194"/>
    <mergeCell ref="AP193:AP194"/>
    <mergeCell ref="AP196:AP198"/>
    <mergeCell ref="AO201:AO205"/>
    <mergeCell ref="AP201:AP204"/>
    <mergeCell ref="AQ201:AQ205"/>
    <mergeCell ref="AR201:AR205"/>
    <mergeCell ref="AP207:AP209"/>
    <mergeCell ref="AR207:AR210"/>
    <mergeCell ref="AR86:AR90"/>
    <mergeCell ref="AO91:AO95"/>
    <mergeCell ref="AT91:AT95"/>
    <mergeCell ref="AP96:AP105"/>
    <mergeCell ref="AO106:AO110"/>
    <mergeCell ref="AP106:AP110"/>
    <mergeCell ref="AO111:AO115"/>
    <mergeCell ref="AP111:AP170"/>
    <mergeCell ref="AO126:AO135"/>
    <mergeCell ref="AO161:AO165"/>
    <mergeCell ref="AO166:AO170"/>
    <mergeCell ref="AO171:AO175"/>
    <mergeCell ref="AP172:AP175"/>
    <mergeCell ref="AT172:AT175"/>
    <mergeCell ref="AP176:AP179"/>
    <mergeCell ref="AQ176:AQ180"/>
    <mergeCell ref="AR176:AR180"/>
    <mergeCell ref="BJ211:BJ215"/>
    <mergeCell ref="CD36:CD40"/>
    <mergeCell ref="BX46:BX50"/>
    <mergeCell ref="AW56:AW60"/>
    <mergeCell ref="AY46:AY50"/>
    <mergeCell ref="AY36:AY40"/>
    <mergeCell ref="BH61:BH70"/>
    <mergeCell ref="AY61:AY65"/>
    <mergeCell ref="AO3:AT4"/>
    <mergeCell ref="AP6:AP10"/>
    <mergeCell ref="AP11:AP15"/>
    <mergeCell ref="AO16:AO25"/>
    <mergeCell ref="AP16:AP20"/>
    <mergeCell ref="AP21:AP25"/>
    <mergeCell ref="AO26:AO35"/>
    <mergeCell ref="AT26:AT30"/>
    <mergeCell ref="AP27:AP30"/>
    <mergeCell ref="AP31:AP40"/>
    <mergeCell ref="AQ31:AQ35"/>
    <mergeCell ref="AR36:AR40"/>
    <mergeCell ref="AO41:AO45"/>
    <mergeCell ref="AP41:AP55"/>
    <mergeCell ref="AQ41:AQ45"/>
    <mergeCell ref="AR41:AR45"/>
    <mergeCell ref="AQ46:AQ50"/>
    <mergeCell ref="AR46:AR50"/>
    <mergeCell ref="AQ51:AQ55"/>
    <mergeCell ref="AR51:AR55"/>
    <mergeCell ref="AP56:AP60"/>
    <mergeCell ref="AO61:AO65"/>
    <mergeCell ref="EO3:EO4"/>
    <mergeCell ref="EO56:EO59"/>
    <mergeCell ref="EO161:EO165"/>
    <mergeCell ref="EO211:EO215"/>
    <mergeCell ref="EO196:EO198"/>
    <mergeCell ref="Y11:Y15"/>
    <mergeCell ref="Y16:Y30"/>
    <mergeCell ref="BW256:BW260"/>
    <mergeCell ref="CB251:CB255"/>
    <mergeCell ref="S222:S260"/>
    <mergeCell ref="AK161:AK165"/>
    <mergeCell ref="AF96:AF105"/>
    <mergeCell ref="AE96:AE100"/>
    <mergeCell ref="AG221:AG225"/>
    <mergeCell ref="AH171:AH220"/>
    <mergeCell ref="AH221:AH225"/>
    <mergeCell ref="AI171:AI220"/>
    <mergeCell ref="AI221:AI225"/>
    <mergeCell ref="CZ141:CZ145"/>
    <mergeCell ref="BI181:BI185"/>
    <mergeCell ref="AK156:AK160"/>
    <mergeCell ref="AK146:AK150"/>
    <mergeCell ref="AJ146:AJ150"/>
    <mergeCell ref="AK116:AK120"/>
    <mergeCell ref="S191:S194"/>
    <mergeCell ref="AY211:AY215"/>
    <mergeCell ref="BV116:BV120"/>
    <mergeCell ref="S172:S180"/>
    <mergeCell ref="S181:S190"/>
    <mergeCell ref="CT221:CT225"/>
    <mergeCell ref="CL216:CL220"/>
    <mergeCell ref="CJ216:CJ220"/>
    <mergeCell ref="CI211:CI229"/>
    <mergeCell ref="CJ141:CJ145"/>
    <mergeCell ref="AY181:AY185"/>
    <mergeCell ref="CC146:CC150"/>
    <mergeCell ref="BV171:BV180"/>
    <mergeCell ref="CI186:CI210"/>
    <mergeCell ref="V216:V220"/>
    <mergeCell ref="BI207:BI220"/>
    <mergeCell ref="BJ161:BJ165"/>
    <mergeCell ref="BH216:BH220"/>
    <mergeCell ref="AY186:AY189"/>
    <mergeCell ref="AW202:AW205"/>
    <mergeCell ref="AW207:AW219"/>
    <mergeCell ref="BI221:BI260"/>
    <mergeCell ref="AF236:AF260"/>
    <mergeCell ref="AG236:AG260"/>
    <mergeCell ref="AH236:AH260"/>
    <mergeCell ref="AI236:AI260"/>
    <mergeCell ref="AM221:AM225"/>
    <mergeCell ref="CP56:CP60"/>
    <mergeCell ref="CH181:CH185"/>
    <mergeCell ref="CH186:CH190"/>
    <mergeCell ref="CH141:CH145"/>
    <mergeCell ref="CH146:CH150"/>
    <mergeCell ref="CJ121:CJ125"/>
    <mergeCell ref="BV216:BV220"/>
    <mergeCell ref="CB51:CB55"/>
    <mergeCell ref="CB151:CB155"/>
    <mergeCell ref="CC156:CC235"/>
    <mergeCell ref="CJ131:CJ135"/>
    <mergeCell ref="CP156:CP160"/>
    <mergeCell ref="CJ176:CJ180"/>
    <mergeCell ref="CI166:CI170"/>
    <mergeCell ref="CI146:CI160"/>
    <mergeCell ref="CI231:CI260"/>
    <mergeCell ref="CR41:CR45"/>
    <mergeCell ref="CP46:CP50"/>
    <mergeCell ref="CP51:CP55"/>
    <mergeCell ref="CJ181:CJ185"/>
    <mergeCell ref="CH81:CH85"/>
    <mergeCell ref="S207:S220"/>
    <mergeCell ref="T191:T193"/>
    <mergeCell ref="BA26:BA30"/>
    <mergeCell ref="CF151:CF155"/>
    <mergeCell ref="BV121:BV125"/>
    <mergeCell ref="BX36:BX40"/>
    <mergeCell ref="AY41:AY45"/>
    <mergeCell ref="AY51:AY55"/>
    <mergeCell ref="AY86:AY90"/>
    <mergeCell ref="BW86:BW95"/>
    <mergeCell ref="BA91:BA95"/>
    <mergeCell ref="BH26:BH35"/>
    <mergeCell ref="CD41:CD45"/>
    <mergeCell ref="CD46:CD50"/>
    <mergeCell ref="AY68:AY70"/>
    <mergeCell ref="AA91:AA95"/>
    <mergeCell ref="CH91:CH95"/>
    <mergeCell ref="CJ81:CJ85"/>
    <mergeCell ref="CH241:CH245"/>
    <mergeCell ref="CJ221:CJ225"/>
    <mergeCell ref="CJ46:CJ50"/>
    <mergeCell ref="CN131:CN135"/>
    <mergeCell ref="CJ172:CJ175"/>
    <mergeCell ref="CI42:CI45"/>
    <mergeCell ref="AY207:AY210"/>
    <mergeCell ref="CT241:CT245"/>
    <mergeCell ref="CN241:CN245"/>
    <mergeCell ref="CP161:CP165"/>
    <mergeCell ref="CH211:CH215"/>
    <mergeCell ref="CI161:CI165"/>
    <mergeCell ref="CH226:CH230"/>
    <mergeCell ref="L201:L205"/>
    <mergeCell ref="L176:L180"/>
    <mergeCell ref="X171:X175"/>
    <mergeCell ref="L166:L170"/>
    <mergeCell ref="P161:P165"/>
    <mergeCell ref="U166:U170"/>
    <mergeCell ref="Z68:Z70"/>
    <mergeCell ref="AF171:AF220"/>
    <mergeCell ref="Q91:Q95"/>
    <mergeCell ref="U91:U95"/>
    <mergeCell ref="I221:I225"/>
    <mergeCell ref="X221:X225"/>
    <mergeCell ref="U68:U70"/>
    <mergeCell ref="X231:X235"/>
    <mergeCell ref="L211:L215"/>
    <mergeCell ref="L76:L80"/>
    <mergeCell ref="AE231:AE235"/>
    <mergeCell ref="AH121:AH135"/>
    <mergeCell ref="AF86:AF95"/>
    <mergeCell ref="AA126:AA130"/>
    <mergeCell ref="X131:X135"/>
    <mergeCell ref="X116:X120"/>
    <mergeCell ref="Z116:Z120"/>
    <mergeCell ref="AI71:AI86"/>
    <mergeCell ref="Z146:Z150"/>
    <mergeCell ref="AH159:AH170"/>
    <mergeCell ref="AG132:AG135"/>
    <mergeCell ref="R191:R193"/>
    <mergeCell ref="Q222:Q260"/>
    <mergeCell ref="DU3:DZ4"/>
    <mergeCell ref="DP61:DP65"/>
    <mergeCell ref="DB26:DB30"/>
    <mergeCell ref="DC61:DC80"/>
    <mergeCell ref="Q6:Q10"/>
    <mergeCell ref="Y6:Y10"/>
    <mergeCell ref="AF6:AF10"/>
    <mergeCell ref="AG6:AG10"/>
    <mergeCell ref="I6:I10"/>
    <mergeCell ref="AA31:AA35"/>
    <mergeCell ref="Z41:Z45"/>
    <mergeCell ref="Z31:Z35"/>
    <mergeCell ref="Z36:Z40"/>
    <mergeCell ref="AA36:AA40"/>
    <mergeCell ref="Z46:Z50"/>
    <mergeCell ref="V81:V85"/>
    <mergeCell ref="U71:U75"/>
    <mergeCell ref="P36:P40"/>
    <mergeCell ref="U41:U45"/>
    <mergeCell ref="V41:V45"/>
    <mergeCell ref="I51:I55"/>
    <mergeCell ref="V46:V50"/>
    <mergeCell ref="U51:U55"/>
    <mergeCell ref="V51:V55"/>
    <mergeCell ref="K41:K45"/>
    <mergeCell ref="U46:U50"/>
    <mergeCell ref="U81:U85"/>
    <mergeCell ref="X31:X40"/>
    <mergeCell ref="AP61:AP65"/>
    <mergeCell ref="AQ61:AQ65"/>
    <mergeCell ref="AR61:AR65"/>
    <mergeCell ref="DP6:DP55"/>
    <mergeCell ref="CI6:CI10"/>
    <mergeCell ref="DV141:DV159"/>
    <mergeCell ref="CL41:CL45"/>
    <mergeCell ref="DG41:DG45"/>
    <mergeCell ref="DB61:DB65"/>
    <mergeCell ref="DC42:DC45"/>
    <mergeCell ref="DB41:DB50"/>
    <mergeCell ref="CR156:CR160"/>
    <mergeCell ref="I11:I20"/>
    <mergeCell ref="K207:K210"/>
    <mergeCell ref="J207:J220"/>
    <mergeCell ref="AH136:AH145"/>
    <mergeCell ref="AI146:AI170"/>
    <mergeCell ref="I36:I40"/>
    <mergeCell ref="K71:K75"/>
    <mergeCell ref="P126:P130"/>
    <mergeCell ref="V131:V135"/>
    <mergeCell ref="P66:P70"/>
    <mergeCell ref="L156:L160"/>
    <mergeCell ref="S11:S15"/>
    <mergeCell ref="I91:I95"/>
    <mergeCell ref="J106:J125"/>
    <mergeCell ref="I126:I130"/>
    <mergeCell ref="S96:S105"/>
    <mergeCell ref="S106:S125"/>
    <mergeCell ref="Q126:Q135"/>
    <mergeCell ref="Q146:Q160"/>
    <mergeCell ref="U146:U150"/>
    <mergeCell ref="Q161:Q170"/>
    <mergeCell ref="U161:U165"/>
    <mergeCell ref="S136:S145"/>
    <mergeCell ref="AW31:AW40"/>
    <mergeCell ref="AY81:AY85"/>
    <mergeCell ref="BW31:BW55"/>
    <mergeCell ref="AK126:AK130"/>
    <mergeCell ref="S126:S135"/>
    <mergeCell ref="X96:X100"/>
    <mergeCell ref="Y96:Y105"/>
    <mergeCell ref="V146:V150"/>
    <mergeCell ref="AI106:AI121"/>
    <mergeCell ref="U31:U35"/>
    <mergeCell ref="Y87:Y95"/>
    <mergeCell ref="BZ61:BZ65"/>
    <mergeCell ref="CF61:CF65"/>
    <mergeCell ref="Z131:Z135"/>
    <mergeCell ref="DV6:DV10"/>
    <mergeCell ref="CP116:CP120"/>
    <mergeCell ref="CP111:CP115"/>
    <mergeCell ref="CN56:CN60"/>
    <mergeCell ref="CO111:CO135"/>
    <mergeCell ref="CI56:CI70"/>
    <mergeCell ref="CI46:CI55"/>
    <mergeCell ref="CJ51:CJ55"/>
    <mergeCell ref="DE51:DE55"/>
    <mergeCell ref="CN16:CN20"/>
    <mergeCell ref="CJ126:CJ130"/>
    <mergeCell ref="DB31:DB40"/>
    <mergeCell ref="CX61:CX65"/>
    <mergeCell ref="DS61:DS65"/>
    <mergeCell ref="CR111:CR115"/>
    <mergeCell ref="CI121:CI145"/>
    <mergeCell ref="DC6:DC10"/>
    <mergeCell ref="DB3:DG4"/>
    <mergeCell ref="CZ3:CZ4"/>
    <mergeCell ref="CZ61:CZ65"/>
    <mergeCell ref="CZ66:CZ70"/>
    <mergeCell ref="CH51:CH55"/>
    <mergeCell ref="CH41:CH50"/>
    <mergeCell ref="DD166:DD170"/>
    <mergeCell ref="CH56:CH60"/>
    <mergeCell ref="CH96:CH100"/>
    <mergeCell ref="CT3:CX4"/>
    <mergeCell ref="CH3:CL4"/>
    <mergeCell ref="CN3:CR4"/>
    <mergeCell ref="CP131:CP135"/>
    <mergeCell ref="CU61:CU65"/>
    <mergeCell ref="CU131:CU145"/>
    <mergeCell ref="CT26:CT35"/>
    <mergeCell ref="CU6:CU60"/>
    <mergeCell ref="CZ6:CZ60"/>
    <mergeCell ref="DE91:DE95"/>
    <mergeCell ref="CN136:CN140"/>
    <mergeCell ref="P11:P20"/>
    <mergeCell ref="Q21:Q25"/>
    <mergeCell ref="P21:P35"/>
    <mergeCell ref="AW68:AW70"/>
    <mergeCell ref="AY71:AY75"/>
    <mergeCell ref="S36:S55"/>
    <mergeCell ref="S56:S60"/>
    <mergeCell ref="S61:S65"/>
    <mergeCell ref="S68:S90"/>
    <mergeCell ref="S91:S95"/>
    <mergeCell ref="AY76:AY80"/>
    <mergeCell ref="AW71:AW80"/>
    <mergeCell ref="AW81:AW95"/>
    <mergeCell ref="AW41:AW55"/>
    <mergeCell ref="AA86:AA90"/>
    <mergeCell ref="V91:V95"/>
    <mergeCell ref="AE86:AE90"/>
    <mergeCell ref="AA71:AA75"/>
    <mergeCell ref="Q16:Q20"/>
    <mergeCell ref="Q26:Q35"/>
    <mergeCell ref="Q36:Q55"/>
    <mergeCell ref="Q68:Q90"/>
    <mergeCell ref="S16:S20"/>
    <mergeCell ref="S21:S25"/>
    <mergeCell ref="S26:S35"/>
    <mergeCell ref="U26:U30"/>
    <mergeCell ref="V26:V30"/>
    <mergeCell ref="AV16:AV25"/>
    <mergeCell ref="BH3:BL4"/>
    <mergeCell ref="BH16:BH25"/>
    <mergeCell ref="CB86:CB90"/>
    <mergeCell ref="BW56:BW60"/>
    <mergeCell ref="BX41:BX45"/>
    <mergeCell ref="CC56:CC85"/>
    <mergeCell ref="BX91:BX95"/>
    <mergeCell ref="BW61:BW65"/>
    <mergeCell ref="CC86:CC95"/>
    <mergeCell ref="CB56:CB60"/>
    <mergeCell ref="BW68:BW70"/>
    <mergeCell ref="BX61:BX65"/>
    <mergeCell ref="BX31:BX35"/>
    <mergeCell ref="BV86:BV90"/>
    <mergeCell ref="CD86:CD90"/>
    <mergeCell ref="BI26:BI125"/>
    <mergeCell ref="K36:K40"/>
    <mergeCell ref="N21:N25"/>
    <mergeCell ref="J21:J25"/>
    <mergeCell ref="J36:J55"/>
    <mergeCell ref="Q11:Q15"/>
    <mergeCell ref="AG3:AG4"/>
    <mergeCell ref="BV21:BV30"/>
    <mergeCell ref="BV31:BV40"/>
    <mergeCell ref="BV61:BV65"/>
    <mergeCell ref="BV71:BV75"/>
    <mergeCell ref="BV81:BV85"/>
    <mergeCell ref="CC31:CC55"/>
    <mergeCell ref="V86:V90"/>
    <mergeCell ref="V31:V35"/>
    <mergeCell ref="U36:U40"/>
    <mergeCell ref="Y68:Y86"/>
    <mergeCell ref="AH6:AH10"/>
    <mergeCell ref="AI6:AI10"/>
    <mergeCell ref="AW6:AW10"/>
    <mergeCell ref="BI6:BI10"/>
    <mergeCell ref="AW16:AW20"/>
    <mergeCell ref="AW27:AW30"/>
    <mergeCell ref="CD31:CD35"/>
    <mergeCell ref="BV3:BZ4"/>
    <mergeCell ref="CB3:CF4"/>
    <mergeCell ref="BX76:BX80"/>
    <mergeCell ref="BW6:BW10"/>
    <mergeCell ref="I3:N4"/>
    <mergeCell ref="BW96:BW105"/>
    <mergeCell ref="BW71:BW85"/>
    <mergeCell ref="BW11:BW30"/>
    <mergeCell ref="AF61:AG65"/>
    <mergeCell ref="AH62:AH65"/>
    <mergeCell ref="S6:S10"/>
    <mergeCell ref="AK61:AK64"/>
    <mergeCell ref="AK86:AK90"/>
    <mergeCell ref="X86:X90"/>
    <mergeCell ref="AW106:AW110"/>
    <mergeCell ref="AJ86:AJ90"/>
    <mergeCell ref="V116:V120"/>
    <mergeCell ref="CB121:CB125"/>
    <mergeCell ref="CD111:CD115"/>
    <mergeCell ref="J16:J20"/>
    <mergeCell ref="J26:J35"/>
    <mergeCell ref="K26:K30"/>
    <mergeCell ref="L26:L30"/>
    <mergeCell ref="J61:J65"/>
    <mergeCell ref="L61:L65"/>
    <mergeCell ref="L111:L115"/>
    <mergeCell ref="K111:K115"/>
    <mergeCell ref="L91:L95"/>
    <mergeCell ref="L71:L75"/>
    <mergeCell ref="K51:K55"/>
    <mergeCell ref="K91:K95"/>
    <mergeCell ref="P6:P10"/>
    <mergeCell ref="K46:K50"/>
    <mergeCell ref="K31:K35"/>
    <mergeCell ref="K116:K120"/>
    <mergeCell ref="L81:L85"/>
    <mergeCell ref="L86:L90"/>
    <mergeCell ref="B56:B60"/>
    <mergeCell ref="B51:B55"/>
    <mergeCell ref="B31:B35"/>
    <mergeCell ref="B46:B50"/>
    <mergeCell ref="AV26:AV35"/>
    <mergeCell ref="AK121:AK125"/>
    <mergeCell ref="AE116:AE120"/>
    <mergeCell ref="CC151:CC155"/>
    <mergeCell ref="L146:L150"/>
    <mergeCell ref="L151:L155"/>
    <mergeCell ref="AE21:AE30"/>
    <mergeCell ref="AE31:AE40"/>
    <mergeCell ref="AE56:AE60"/>
    <mergeCell ref="AE61:AE64"/>
    <mergeCell ref="AF136:AF145"/>
    <mergeCell ref="AH106:AH120"/>
    <mergeCell ref="AH96:AH105"/>
    <mergeCell ref="AF106:AF131"/>
    <mergeCell ref="AF31:AG55"/>
    <mergeCell ref="AG11:AG30"/>
    <mergeCell ref="AF56:AG60"/>
    <mergeCell ref="AH68:AH86"/>
    <mergeCell ref="X3:AC4"/>
    <mergeCell ref="P3:V4"/>
    <mergeCell ref="AE3:AE4"/>
    <mergeCell ref="AV3:BA4"/>
    <mergeCell ref="AF3:AF4"/>
    <mergeCell ref="AH146:AH158"/>
    <mergeCell ref="EB191:EB195"/>
    <mergeCell ref="ED181:ED185"/>
    <mergeCell ref="ED121:ED125"/>
    <mergeCell ref="B26:B30"/>
    <mergeCell ref="B21:B25"/>
    <mergeCell ref="L51:L55"/>
    <mergeCell ref="J56:J60"/>
    <mergeCell ref="AA41:AA45"/>
    <mergeCell ref="X21:X30"/>
    <mergeCell ref="AV41:AV45"/>
    <mergeCell ref="AV106:AV110"/>
    <mergeCell ref="AM156:AM160"/>
    <mergeCell ref="AK151:AK155"/>
    <mergeCell ref="X61:X64"/>
    <mergeCell ref="B126:B130"/>
    <mergeCell ref="AF11:AF30"/>
    <mergeCell ref="J136:J145"/>
    <mergeCell ref="J96:J105"/>
    <mergeCell ref="AM41:AM45"/>
    <mergeCell ref="AC41:AC45"/>
    <mergeCell ref="AJ71:AJ75"/>
    <mergeCell ref="AJ68:AJ70"/>
    <mergeCell ref="I21:I35"/>
    <mergeCell ref="K68:K70"/>
    <mergeCell ref="B131:B135"/>
    <mergeCell ref="AH3:AH4"/>
    <mergeCell ref="AI3:AI4"/>
    <mergeCell ref="AJ3:AM4"/>
    <mergeCell ref="AJ41:AJ45"/>
    <mergeCell ref="AK36:AK40"/>
    <mergeCell ref="AH11:AH30"/>
    <mergeCell ref="AJ31:AJ35"/>
    <mergeCell ref="AH31:AH55"/>
    <mergeCell ref="AJ91:AJ95"/>
    <mergeCell ref="AK91:AK95"/>
    <mergeCell ref="AI62:AI65"/>
    <mergeCell ref="AJ61:AJ65"/>
    <mergeCell ref="AI87:AI95"/>
    <mergeCell ref="AH56:AI60"/>
    <mergeCell ref="AI11:AI30"/>
    <mergeCell ref="AK31:AK35"/>
    <mergeCell ref="AK46:AK50"/>
    <mergeCell ref="AJ46:AJ50"/>
    <mergeCell ref="AK41:AK45"/>
    <mergeCell ref="B96:B100"/>
    <mergeCell ref="B121:B125"/>
    <mergeCell ref="L31:L35"/>
    <mergeCell ref="L36:L40"/>
    <mergeCell ref="L41:L45"/>
    <mergeCell ref="L46:L50"/>
    <mergeCell ref="L116:L120"/>
    <mergeCell ref="K106:K110"/>
    <mergeCell ref="B101:B105"/>
    <mergeCell ref="B106:B110"/>
    <mergeCell ref="B111:B115"/>
    <mergeCell ref="B116:B120"/>
    <mergeCell ref="B6:B10"/>
    <mergeCell ref="B11:B15"/>
    <mergeCell ref="Z61:Z65"/>
    <mergeCell ref="AA61:AA64"/>
    <mergeCell ref="V71:V75"/>
    <mergeCell ref="Z91:Z95"/>
    <mergeCell ref="V36:V40"/>
    <mergeCell ref="Q61:Q65"/>
    <mergeCell ref="V61:V65"/>
    <mergeCell ref="Q96:Q105"/>
    <mergeCell ref="Z86:Z90"/>
    <mergeCell ref="B66:B70"/>
    <mergeCell ref="L121:L125"/>
    <mergeCell ref="K76:K80"/>
    <mergeCell ref="K81:K85"/>
    <mergeCell ref="J68:J90"/>
    <mergeCell ref="I66:I70"/>
    <mergeCell ref="J6:J10"/>
    <mergeCell ref="B16:B20"/>
    <mergeCell ref="B36:B40"/>
    <mergeCell ref="B76:B80"/>
    <mergeCell ref="B91:B95"/>
    <mergeCell ref="B61:B65"/>
    <mergeCell ref="B71:B75"/>
    <mergeCell ref="B86:B90"/>
    <mergeCell ref="B81:B85"/>
    <mergeCell ref="B251:B255"/>
    <mergeCell ref="B221:B225"/>
    <mergeCell ref="B216:B220"/>
    <mergeCell ref="B136:B140"/>
    <mergeCell ref="B176:B180"/>
    <mergeCell ref="B171:B175"/>
    <mergeCell ref="B166:B170"/>
    <mergeCell ref="B161:B165"/>
    <mergeCell ref="B41:B45"/>
    <mergeCell ref="K201:K205"/>
    <mergeCell ref="K176:K180"/>
    <mergeCell ref="K151:K155"/>
    <mergeCell ref="B186:B190"/>
    <mergeCell ref="B146:B150"/>
    <mergeCell ref="B151:B155"/>
    <mergeCell ref="B156:B160"/>
    <mergeCell ref="B201:B205"/>
    <mergeCell ref="B191:B195"/>
    <mergeCell ref="B181:B185"/>
    <mergeCell ref="B196:B200"/>
    <mergeCell ref="B236:B240"/>
    <mergeCell ref="B241:B245"/>
    <mergeCell ref="B246:B250"/>
    <mergeCell ref="K166:K170"/>
    <mergeCell ref="B141:B145"/>
    <mergeCell ref="B231:B235"/>
    <mergeCell ref="K172:K175"/>
    <mergeCell ref="J191:J194"/>
    <mergeCell ref="J201:J205"/>
    <mergeCell ref="B226:B230"/>
    <mergeCell ref="J172:J180"/>
    <mergeCell ref="G196:G255"/>
    <mergeCell ref="J197:J198"/>
    <mergeCell ref="J181:J190"/>
    <mergeCell ref="I196:I200"/>
    <mergeCell ref="J222:J260"/>
    <mergeCell ref="B256:B260"/>
    <mergeCell ref="B206:B210"/>
    <mergeCell ref="B211:B215"/>
    <mergeCell ref="AJ131:AJ135"/>
    <mergeCell ref="P221:P225"/>
    <mergeCell ref="V151:V155"/>
    <mergeCell ref="V156:V160"/>
    <mergeCell ref="V161:V165"/>
    <mergeCell ref="AF132:AF135"/>
    <mergeCell ref="Y146:Y170"/>
    <mergeCell ref="L131:L135"/>
    <mergeCell ref="AI136:AI145"/>
    <mergeCell ref="Y122:Y135"/>
    <mergeCell ref="AJ151:AJ155"/>
    <mergeCell ref="J126:J135"/>
    <mergeCell ref="K146:K150"/>
    <mergeCell ref="K161:K165"/>
    <mergeCell ref="J146:J160"/>
    <mergeCell ref="J161:J170"/>
    <mergeCell ref="I161:I165"/>
    <mergeCell ref="K196:K198"/>
    <mergeCell ref="L216:L220"/>
    <mergeCell ref="AI31:AI55"/>
    <mergeCell ref="AK68:AK70"/>
    <mergeCell ref="AJ36:AJ40"/>
    <mergeCell ref="AK81:AK85"/>
    <mergeCell ref="AK76:AK80"/>
    <mergeCell ref="AK71:AK75"/>
    <mergeCell ref="BW241:BW255"/>
    <mergeCell ref="BJ176:BJ180"/>
    <mergeCell ref="CC237:CC260"/>
    <mergeCell ref="BH196:BH200"/>
    <mergeCell ref="BV126:BV130"/>
    <mergeCell ref="BW126:BW235"/>
    <mergeCell ref="AW191:AW194"/>
    <mergeCell ref="BH161:BH165"/>
    <mergeCell ref="BX86:BX90"/>
    <mergeCell ref="BW106:BW110"/>
    <mergeCell ref="BX106:BX110"/>
    <mergeCell ref="BZ106:BZ110"/>
    <mergeCell ref="BW111:BW125"/>
    <mergeCell ref="CD116:CD120"/>
    <mergeCell ref="BX71:BX75"/>
    <mergeCell ref="AW61:AW65"/>
    <mergeCell ref="AV171:AV175"/>
    <mergeCell ref="BL186:BL189"/>
    <mergeCell ref="BV251:BV255"/>
    <mergeCell ref="AY201:AY205"/>
    <mergeCell ref="AV166:AV170"/>
    <mergeCell ref="CI172:CI185"/>
    <mergeCell ref="BW236:BW240"/>
    <mergeCell ref="CZ191:CZ205"/>
    <mergeCell ref="CZ206:CZ260"/>
    <mergeCell ref="CT126:CT130"/>
    <mergeCell ref="CU126:CU130"/>
    <mergeCell ref="DB136:DB140"/>
    <mergeCell ref="DB231:DB235"/>
    <mergeCell ref="CT156:CT160"/>
    <mergeCell ref="CT251:CT255"/>
    <mergeCell ref="CT151:CT155"/>
    <mergeCell ref="CP172:CP175"/>
    <mergeCell ref="CU221:CU260"/>
    <mergeCell ref="BI191:BI194"/>
    <mergeCell ref="BJ191:BJ194"/>
    <mergeCell ref="CP121:CP125"/>
    <mergeCell ref="CH231:CH235"/>
    <mergeCell ref="DE221:DE225"/>
    <mergeCell ref="DU26:DU35"/>
    <mergeCell ref="DU36:DU45"/>
    <mergeCell ref="DU81:DU85"/>
    <mergeCell ref="DV11:DV35"/>
    <mergeCell ref="DE207:DE210"/>
    <mergeCell ref="DE176:DE180"/>
    <mergeCell ref="DO26:DO35"/>
    <mergeCell ref="DO251:DO255"/>
    <mergeCell ref="DI26:DI35"/>
    <mergeCell ref="DO76:DO80"/>
    <mergeCell ref="DM211:DM215"/>
    <mergeCell ref="DM186:DM188"/>
    <mergeCell ref="DJ116:DJ140"/>
    <mergeCell ref="DX226:DX230"/>
    <mergeCell ref="DU56:DU60"/>
    <mergeCell ref="DV201:DV204"/>
    <mergeCell ref="DO146:DO150"/>
    <mergeCell ref="DX81:DX85"/>
    <mergeCell ref="DV81:DV85"/>
    <mergeCell ref="DV96:DV105"/>
    <mergeCell ref="DE86:DE90"/>
    <mergeCell ref="DG221:DG225"/>
    <mergeCell ref="DM121:DM125"/>
    <mergeCell ref="DE131:DE135"/>
    <mergeCell ref="DG166:DG170"/>
    <mergeCell ref="DK176:DK180"/>
    <mergeCell ref="DV121:DV140"/>
    <mergeCell ref="DV166:DV185"/>
    <mergeCell ref="DX116:DX120"/>
    <mergeCell ref="EB16:EB20"/>
    <mergeCell ref="DO41:DO45"/>
    <mergeCell ref="EC6:EC40"/>
    <mergeCell ref="DI3:DM4"/>
    <mergeCell ref="DJ6:DJ55"/>
    <mergeCell ref="DC217:DC220"/>
    <mergeCell ref="CX211:CX215"/>
    <mergeCell ref="CV126:CV130"/>
    <mergeCell ref="DC161:DC165"/>
    <mergeCell ref="EH41:EH45"/>
    <mergeCell ref="DO3:DS4"/>
    <mergeCell ref="DU21:DU25"/>
    <mergeCell ref="DU86:DU90"/>
    <mergeCell ref="EB26:EB35"/>
    <mergeCell ref="EB56:EB60"/>
    <mergeCell ref="EB61:EB65"/>
    <mergeCell ref="CT216:CT220"/>
    <mergeCell ref="DU61:DU65"/>
    <mergeCell ref="DU166:DU170"/>
    <mergeCell ref="DU201:DU205"/>
    <mergeCell ref="DX151:DX155"/>
    <mergeCell ref="DX111:DX115"/>
    <mergeCell ref="EH3:EL4"/>
    <mergeCell ref="EC111:EC125"/>
    <mergeCell ref="DX86:DX90"/>
    <mergeCell ref="EB3:EF4"/>
    <mergeCell ref="ED111:ED115"/>
    <mergeCell ref="ED126:ED130"/>
    <mergeCell ref="EF41:EF45"/>
    <mergeCell ref="DV56:DV60"/>
    <mergeCell ref="CT146:CT150"/>
    <mergeCell ref="CU207:CU220"/>
    <mergeCell ref="CU196:CU198"/>
    <mergeCell ref="CJ76:CJ80"/>
    <mergeCell ref="CJ71:CJ75"/>
    <mergeCell ref="CO161:CO170"/>
    <mergeCell ref="CJ86:CJ90"/>
    <mergeCell ref="CH76:CH80"/>
    <mergeCell ref="CO136:CO155"/>
    <mergeCell ref="CU151:CU195"/>
    <mergeCell ref="CL166:CL170"/>
    <mergeCell ref="CN146:CN150"/>
    <mergeCell ref="CJ136:CJ140"/>
    <mergeCell ref="CN111:CN115"/>
    <mergeCell ref="CO211:CO215"/>
    <mergeCell ref="CO216:CO260"/>
    <mergeCell ref="CR211:CR215"/>
    <mergeCell ref="CP166:CP170"/>
    <mergeCell ref="CP126:CP130"/>
    <mergeCell ref="CN176:CN180"/>
    <mergeCell ref="CI96:CI120"/>
    <mergeCell ref="CN181:CN185"/>
    <mergeCell ref="CO191:CO194"/>
    <mergeCell ref="CO195:CO210"/>
    <mergeCell ref="CO181:CO190"/>
    <mergeCell ref="E46:E50"/>
    <mergeCell ref="V111:V115"/>
    <mergeCell ref="AK106:AK110"/>
    <mergeCell ref="CD146:CD150"/>
    <mergeCell ref="CD151:CD155"/>
    <mergeCell ref="AA68:AA70"/>
    <mergeCell ref="BH111:BH115"/>
    <mergeCell ref="BH116:BH120"/>
    <mergeCell ref="L68:L70"/>
    <mergeCell ref="V68:V70"/>
    <mergeCell ref="AA146:AA150"/>
    <mergeCell ref="Z151:Z155"/>
    <mergeCell ref="AA151:AA155"/>
    <mergeCell ref="AC156:AC160"/>
    <mergeCell ref="Y31:Y55"/>
    <mergeCell ref="Q181:Q190"/>
    <mergeCell ref="Y62:Y65"/>
    <mergeCell ref="CD91:CD95"/>
    <mergeCell ref="AA116:AA120"/>
    <mergeCell ref="AA121:AA125"/>
    <mergeCell ref="BI186:BI189"/>
    <mergeCell ref="BA172:BA175"/>
    <mergeCell ref="BI126:BI130"/>
    <mergeCell ref="BI132:BI135"/>
    <mergeCell ref="AG106:AG131"/>
    <mergeCell ref="V126:V130"/>
    <mergeCell ref="U106:U110"/>
    <mergeCell ref="L191:L194"/>
    <mergeCell ref="L172:L175"/>
    <mergeCell ref="P196:P200"/>
    <mergeCell ref="U201:U205"/>
    <mergeCell ref="V201:V205"/>
    <mergeCell ref="P201:P205"/>
    <mergeCell ref="V211:V215"/>
    <mergeCell ref="U116:U120"/>
    <mergeCell ref="V106:V110"/>
    <mergeCell ref="U111:U115"/>
    <mergeCell ref="Y106:Y121"/>
    <mergeCell ref="Q201:Q205"/>
    <mergeCell ref="V207:V210"/>
    <mergeCell ref="U176:U180"/>
    <mergeCell ref="V176:V180"/>
    <mergeCell ref="AA111:AA115"/>
    <mergeCell ref="AV211:AV215"/>
    <mergeCell ref="U172:U175"/>
    <mergeCell ref="V172:V175"/>
    <mergeCell ref="AG146:AG170"/>
    <mergeCell ref="AF146:AF170"/>
    <mergeCell ref="AV201:AV205"/>
    <mergeCell ref="L106:L110"/>
    <mergeCell ref="L207:L210"/>
    <mergeCell ref="AG171:AG220"/>
    <mergeCell ref="L161:L165"/>
    <mergeCell ref="L126:L130"/>
    <mergeCell ref="Z106:Z110"/>
    <mergeCell ref="AA106:AA110"/>
    <mergeCell ref="Q106:Q125"/>
    <mergeCell ref="S146:S160"/>
    <mergeCell ref="S161:S170"/>
    <mergeCell ref="Y56:Y60"/>
    <mergeCell ref="U76:U80"/>
    <mergeCell ref="BJ136:BJ140"/>
    <mergeCell ref="AW196:AW198"/>
    <mergeCell ref="AE221:AE225"/>
    <mergeCell ref="AV66:AV70"/>
    <mergeCell ref="AV61:AV65"/>
    <mergeCell ref="U196:U198"/>
    <mergeCell ref="AA131:AA135"/>
    <mergeCell ref="AA161:AA165"/>
    <mergeCell ref="U207:U210"/>
    <mergeCell ref="AE166:AE170"/>
    <mergeCell ref="AE171:AE175"/>
    <mergeCell ref="AE131:AE135"/>
    <mergeCell ref="BJ207:BJ210"/>
    <mergeCell ref="BH121:BH125"/>
    <mergeCell ref="BH131:BH135"/>
    <mergeCell ref="BJ146:BJ150"/>
    <mergeCell ref="BJ156:BJ160"/>
    <mergeCell ref="AF221:AF225"/>
    <mergeCell ref="Y136:Y145"/>
    <mergeCell ref="AY191:AY194"/>
    <mergeCell ref="AW111:AW170"/>
    <mergeCell ref="Z111:Z115"/>
    <mergeCell ref="CH156:CH160"/>
    <mergeCell ref="CO6:CO40"/>
    <mergeCell ref="CT41:CT45"/>
    <mergeCell ref="CU68:CU80"/>
    <mergeCell ref="CC17:CC30"/>
    <mergeCell ref="CO41:CO60"/>
    <mergeCell ref="CN26:CN35"/>
    <mergeCell ref="CU81:CU85"/>
    <mergeCell ref="CI71:CI95"/>
    <mergeCell ref="CT256:CT260"/>
    <mergeCell ref="EH26:EH35"/>
    <mergeCell ref="DC236:DC260"/>
    <mergeCell ref="CH31:CH40"/>
    <mergeCell ref="BJ141:BJ145"/>
    <mergeCell ref="BI136:BI150"/>
    <mergeCell ref="AA46:AA50"/>
    <mergeCell ref="DJ68:DJ80"/>
    <mergeCell ref="DB156:DB160"/>
    <mergeCell ref="CU146:CU150"/>
    <mergeCell ref="CU201:CU205"/>
    <mergeCell ref="DE46:DE50"/>
    <mergeCell ref="DC221:DC234"/>
    <mergeCell ref="DB141:DB145"/>
    <mergeCell ref="DE56:DE60"/>
    <mergeCell ref="CV146:CV150"/>
    <mergeCell ref="DC121:DC140"/>
    <mergeCell ref="DB56:DB60"/>
    <mergeCell ref="DD56:DD60"/>
    <mergeCell ref="DX231:DX235"/>
    <mergeCell ref="DQ156:DQ160"/>
    <mergeCell ref="DV161:DV165"/>
    <mergeCell ref="EC211:EC215"/>
    <mergeCell ref="DV106:DV120"/>
    <mergeCell ref="EI61:EI65"/>
    <mergeCell ref="EI68:EI80"/>
    <mergeCell ref="EC216:EC260"/>
    <mergeCell ref="DX221:DX225"/>
    <mergeCell ref="EB126:EB130"/>
    <mergeCell ref="EB241:EB245"/>
    <mergeCell ref="EB186:EB190"/>
    <mergeCell ref="DV36:DV40"/>
    <mergeCell ref="DV61:DV80"/>
    <mergeCell ref="DV46:DV55"/>
    <mergeCell ref="EC61:EC110"/>
    <mergeCell ref="ED41:ED45"/>
    <mergeCell ref="EH61:EH65"/>
    <mergeCell ref="DZ231:DZ233"/>
    <mergeCell ref="DW81:DW85"/>
    <mergeCell ref="DX51:DX55"/>
    <mergeCell ref="DX56:DX60"/>
    <mergeCell ref="DX146:DX150"/>
    <mergeCell ref="EH76:EH80"/>
    <mergeCell ref="EH81:EH85"/>
    <mergeCell ref="EH151:EH155"/>
    <mergeCell ref="EB136:EB140"/>
    <mergeCell ref="EB141:EB145"/>
    <mergeCell ref="EB146:EB150"/>
    <mergeCell ref="EC126:EC140"/>
    <mergeCell ref="DX141:DX145"/>
    <mergeCell ref="EF186:EF188"/>
    <mergeCell ref="EI211:EI220"/>
    <mergeCell ref="EI221:EI260"/>
    <mergeCell ref="EH211:EH215"/>
    <mergeCell ref="EJ161:EJ165"/>
    <mergeCell ref="EJ166:EJ170"/>
    <mergeCell ref="ED131:ED135"/>
    <mergeCell ref="EJ216:EJ220"/>
    <mergeCell ref="EI81:EI150"/>
    <mergeCell ref="EH251:EH255"/>
    <mergeCell ref="EH256:EH260"/>
    <mergeCell ref="EH216:EH220"/>
    <mergeCell ref="ED176:ED180"/>
    <mergeCell ref="ED136:ED140"/>
    <mergeCell ref="EF211:EF215"/>
    <mergeCell ref="EH241:EH245"/>
    <mergeCell ref="EI151:EI170"/>
    <mergeCell ref="EJ156:EJ160"/>
    <mergeCell ref="EI171:EI210"/>
    <mergeCell ref="EJ211:EJ215"/>
    <mergeCell ref="EJ151:EJ155"/>
    <mergeCell ref="EH171:EH175"/>
    <mergeCell ref="DP231:DP260"/>
    <mergeCell ref="DQ226:DQ230"/>
    <mergeCell ref="DQ166:DQ170"/>
    <mergeCell ref="CV201:CV205"/>
    <mergeCell ref="DB206:DB210"/>
    <mergeCell ref="CZ131:CZ140"/>
    <mergeCell ref="DD172:DD175"/>
    <mergeCell ref="DV236:DV260"/>
    <mergeCell ref="DU231:DU235"/>
    <mergeCell ref="DV191:DV194"/>
    <mergeCell ref="DI81:DI85"/>
    <mergeCell ref="DD86:DD88"/>
    <mergeCell ref="DU186:DU190"/>
    <mergeCell ref="DO256:DO260"/>
    <mergeCell ref="DO216:DO220"/>
    <mergeCell ref="DC212:DC215"/>
    <mergeCell ref="CZ126:CZ130"/>
    <mergeCell ref="DB241:DB245"/>
    <mergeCell ref="DU156:DU160"/>
    <mergeCell ref="CV136:CV140"/>
    <mergeCell ref="DI176:DI180"/>
    <mergeCell ref="DU211:DU215"/>
    <mergeCell ref="DV206:DV220"/>
    <mergeCell ref="DP166:DP170"/>
    <mergeCell ref="DV221:DV234"/>
    <mergeCell ref="DE121:DE125"/>
    <mergeCell ref="DC89:DC95"/>
    <mergeCell ref="DB91:DB95"/>
    <mergeCell ref="CZ71:CZ85"/>
    <mergeCell ref="CZ86:CZ125"/>
    <mergeCell ref="CV71:CV75"/>
    <mergeCell ref="CJ211:CJ215"/>
    <mergeCell ref="CJ166:CJ170"/>
    <mergeCell ref="DC207:DC210"/>
    <mergeCell ref="CO176:CO180"/>
    <mergeCell ref="DU241:DU245"/>
    <mergeCell ref="DU236:DU240"/>
    <mergeCell ref="DU206:DU210"/>
    <mergeCell ref="DS226:DS230"/>
    <mergeCell ref="DJ216:DJ260"/>
    <mergeCell ref="DJ211:DJ215"/>
    <mergeCell ref="DB236:DB240"/>
    <mergeCell ref="CV211:CV215"/>
    <mergeCell ref="DP226:DP230"/>
    <mergeCell ref="DP216:DP225"/>
    <mergeCell ref="DI186:DI190"/>
    <mergeCell ref="DK186:DK189"/>
    <mergeCell ref="DB186:DB190"/>
    <mergeCell ref="DO231:DO235"/>
    <mergeCell ref="DO226:DO230"/>
    <mergeCell ref="DE166:DE170"/>
    <mergeCell ref="DO241:DO245"/>
    <mergeCell ref="DE211:DE215"/>
    <mergeCell ref="DB181:DB185"/>
    <mergeCell ref="DE216:DE220"/>
    <mergeCell ref="DJ176:DJ189"/>
    <mergeCell ref="DE172:DE175"/>
    <mergeCell ref="DK181:DK185"/>
    <mergeCell ref="AE241:AE245"/>
    <mergeCell ref="AL236:AL238"/>
    <mergeCell ref="X241:X245"/>
    <mergeCell ref="Y221:Y225"/>
    <mergeCell ref="Y236:Y260"/>
    <mergeCell ref="BH151:BH155"/>
    <mergeCell ref="BI151:BI155"/>
    <mergeCell ref="BI156:BI170"/>
    <mergeCell ref="BI172:BI180"/>
    <mergeCell ref="AE161:AE165"/>
    <mergeCell ref="Q172:Q180"/>
    <mergeCell ref="AG86:AG95"/>
    <mergeCell ref="AW96:AW105"/>
    <mergeCell ref="AV111:AV115"/>
    <mergeCell ref="X166:X170"/>
    <mergeCell ref="AI96:AI105"/>
    <mergeCell ref="AH87:AH95"/>
    <mergeCell ref="Q136:Q145"/>
    <mergeCell ref="R236:R238"/>
    <mergeCell ref="AZ236:AZ238"/>
    <mergeCell ref="AV241:AV245"/>
    <mergeCell ref="BD86:BD90"/>
    <mergeCell ref="BF91:BF95"/>
    <mergeCell ref="BC96:BC105"/>
    <mergeCell ref="BC106:BC110"/>
    <mergeCell ref="BC111:BC125"/>
    <mergeCell ref="BC126:BC130"/>
    <mergeCell ref="BC132:BC135"/>
    <mergeCell ref="BC136:BC150"/>
    <mergeCell ref="BD136:BD140"/>
    <mergeCell ref="BD141:BD145"/>
    <mergeCell ref="BH221:BH225"/>
    <mergeCell ref="V166:V170"/>
    <mergeCell ref="AJ76:AJ80"/>
    <mergeCell ref="X56:X60"/>
    <mergeCell ref="Y171:Y220"/>
    <mergeCell ref="AW176:AW189"/>
    <mergeCell ref="AI122:AI135"/>
    <mergeCell ref="AA156:AA160"/>
    <mergeCell ref="X161:X165"/>
    <mergeCell ref="AW172:AW175"/>
    <mergeCell ref="Q197:Q198"/>
    <mergeCell ref="Q207:Q220"/>
    <mergeCell ref="S197:S198"/>
    <mergeCell ref="S201:S205"/>
    <mergeCell ref="AV71:AV75"/>
    <mergeCell ref="AV76:AV80"/>
    <mergeCell ref="AV161:AV165"/>
    <mergeCell ref="AV126:AV135"/>
    <mergeCell ref="AV191:AV195"/>
    <mergeCell ref="AV216:AV220"/>
    <mergeCell ref="AJ106:AJ110"/>
    <mergeCell ref="AJ111:AJ115"/>
    <mergeCell ref="AO66:AO70"/>
    <mergeCell ref="AP68:AP75"/>
    <mergeCell ref="AQ68:AQ70"/>
    <mergeCell ref="AR68:AR70"/>
    <mergeCell ref="AO71:AO75"/>
    <mergeCell ref="AR71:AR75"/>
    <mergeCell ref="AO76:AO80"/>
    <mergeCell ref="AP76:AP95"/>
    <mergeCell ref="AR76:AR80"/>
    <mergeCell ref="AO81:AO85"/>
    <mergeCell ref="AR81:AR85"/>
    <mergeCell ref="G3:G4"/>
    <mergeCell ref="G26:G55"/>
    <mergeCell ref="EC176:EC189"/>
    <mergeCell ref="DK116:DK120"/>
    <mergeCell ref="ED186:ED189"/>
    <mergeCell ref="EF111:EF115"/>
    <mergeCell ref="DE126:DE130"/>
    <mergeCell ref="CO156:CO160"/>
    <mergeCell ref="G61:G95"/>
    <mergeCell ref="G106:G120"/>
    <mergeCell ref="G121:G135"/>
    <mergeCell ref="G141:G195"/>
    <mergeCell ref="EB51:EB55"/>
    <mergeCell ref="EB111:EB115"/>
    <mergeCell ref="DX156:DX160"/>
    <mergeCell ref="DK61:DK65"/>
    <mergeCell ref="DI16:DI20"/>
    <mergeCell ref="DX191:DX194"/>
    <mergeCell ref="DX91:DX95"/>
    <mergeCell ref="DK56:DK60"/>
    <mergeCell ref="DM56:DM60"/>
    <mergeCell ref="DK68:DK70"/>
    <mergeCell ref="DJ56:DJ65"/>
    <mergeCell ref="CB126:CB130"/>
    <mergeCell ref="CC126:CC145"/>
    <mergeCell ref="N191:N194"/>
    <mergeCell ref="V191:V194"/>
    <mergeCell ref="Q191:Q194"/>
    <mergeCell ref="BJ172:BJ175"/>
    <mergeCell ref="DI191:DI195"/>
    <mergeCell ref="DC172:DC185"/>
    <mergeCell ref="CT211:CT215"/>
    <mergeCell ref="DI136:DI140"/>
    <mergeCell ref="DI146:DI150"/>
    <mergeCell ref="DC96:DC120"/>
    <mergeCell ref="DC186:DC205"/>
    <mergeCell ref="CZ146:CZ190"/>
    <mergeCell ref="DP68:DP75"/>
    <mergeCell ref="DQ151:DQ155"/>
    <mergeCell ref="DK136:DK140"/>
    <mergeCell ref="DQ161:DQ165"/>
    <mergeCell ref="DP171:DP215"/>
    <mergeCell ref="DO166:DO170"/>
    <mergeCell ref="EN161:EN165"/>
    <mergeCell ref="EN116:EN120"/>
    <mergeCell ref="EN3:EN4"/>
    <mergeCell ref="EN16:EN25"/>
    <mergeCell ref="EN26:EN35"/>
    <mergeCell ref="EN61:EN70"/>
    <mergeCell ref="EN111:EN115"/>
    <mergeCell ref="EN201:EN205"/>
    <mergeCell ref="EN206:EN210"/>
    <mergeCell ref="EN121:EN125"/>
    <mergeCell ref="DU161:DU165"/>
    <mergeCell ref="DZ156:DZ160"/>
    <mergeCell ref="DP81:DP145"/>
    <mergeCell ref="DP151:DP165"/>
    <mergeCell ref="EJ61:EJ65"/>
    <mergeCell ref="EJ71:EJ75"/>
    <mergeCell ref="EJ76:EJ80"/>
    <mergeCell ref="DX196:DX198"/>
    <mergeCell ref="DX106:DX110"/>
    <mergeCell ref="EI56:EI60"/>
    <mergeCell ref="EN221:EN225"/>
    <mergeCell ref="EN236:EN245"/>
    <mergeCell ref="DP56:DP60"/>
    <mergeCell ref="DQ56:DQ60"/>
    <mergeCell ref="DO61:DO65"/>
    <mergeCell ref="DQ146:DQ150"/>
    <mergeCell ref="EN196:EN200"/>
    <mergeCell ref="DJ81:DJ115"/>
    <mergeCell ref="EL216:EL220"/>
    <mergeCell ref="DQ61:DQ65"/>
    <mergeCell ref="DQ71:DQ75"/>
    <mergeCell ref="DI241:DI245"/>
    <mergeCell ref="DE226:DE230"/>
    <mergeCell ref="DD176:DD180"/>
    <mergeCell ref="DC166:DC170"/>
    <mergeCell ref="DI141:DI145"/>
    <mergeCell ref="EN216:EN220"/>
    <mergeCell ref="DV186:DV189"/>
    <mergeCell ref="DX186:DX189"/>
    <mergeCell ref="EC141:EC171"/>
    <mergeCell ref="EC172:EC175"/>
    <mergeCell ref="EC41:EC60"/>
    <mergeCell ref="ED46:ED50"/>
    <mergeCell ref="ED51:ED55"/>
    <mergeCell ref="EN151:EN155"/>
    <mergeCell ref="EC195:EC210"/>
    <mergeCell ref="EC191:EC194"/>
    <mergeCell ref="DP146:DP150"/>
    <mergeCell ref="DC86:DC88"/>
    <mergeCell ref="DV196:DV198"/>
    <mergeCell ref="DQ216:DQ220"/>
    <mergeCell ref="AG136:AG145"/>
    <mergeCell ref="AV81:AV85"/>
    <mergeCell ref="Z76:Z80"/>
    <mergeCell ref="AA76:AA80"/>
    <mergeCell ref="AM126:AM130"/>
    <mergeCell ref="AJ116:AJ120"/>
    <mergeCell ref="AK131:AK135"/>
    <mergeCell ref="DP76:DP80"/>
    <mergeCell ref="DV42:DV45"/>
    <mergeCell ref="DC141:DC160"/>
    <mergeCell ref="DJ141:DJ175"/>
    <mergeCell ref="DE136:DE140"/>
    <mergeCell ref="DX46:DX50"/>
    <mergeCell ref="DW56:DW60"/>
    <mergeCell ref="DV86:DV94"/>
    <mergeCell ref="EI6:EI55"/>
    <mergeCell ref="ED116:ED120"/>
    <mergeCell ref="CC111:CC125"/>
    <mergeCell ref="DK71:DK75"/>
    <mergeCell ref="CN61:CN65"/>
    <mergeCell ref="AA51:AA55"/>
    <mergeCell ref="AV91:AV95"/>
    <mergeCell ref="Z71:Z75"/>
    <mergeCell ref="AK111:AK115"/>
    <mergeCell ref="AF68:AG85"/>
    <mergeCell ref="AI68:AI70"/>
    <mergeCell ref="AA81:AA85"/>
    <mergeCell ref="CV141:CV145"/>
    <mergeCell ref="DB86:DB90"/>
    <mergeCell ref="DI76:DI80"/>
    <mergeCell ref="CH61:CH65"/>
    <mergeCell ref="CV131:CV135"/>
    <mergeCell ref="DK126:DK130"/>
    <mergeCell ref="DK121:DK125"/>
    <mergeCell ref="DE81:DE85"/>
    <mergeCell ref="DK131:DK135"/>
    <mergeCell ref="J11:J15"/>
    <mergeCell ref="DC81:DC85"/>
    <mergeCell ref="DC55:DC60"/>
    <mergeCell ref="AK51:AK55"/>
    <mergeCell ref="AG96:AG105"/>
    <mergeCell ref="DZ41:DZ45"/>
    <mergeCell ref="EN131:EN135"/>
    <mergeCell ref="DU91:DU95"/>
    <mergeCell ref="DU96:DU100"/>
    <mergeCell ref="DU116:DU120"/>
    <mergeCell ref="DU121:DU125"/>
    <mergeCell ref="EL61:EL65"/>
    <mergeCell ref="Q56:Q60"/>
    <mergeCell ref="V76:V80"/>
    <mergeCell ref="V121:V125"/>
    <mergeCell ref="EJ68:EJ70"/>
    <mergeCell ref="DC46:DC54"/>
    <mergeCell ref="CU86:CU125"/>
    <mergeCell ref="CT81:CT85"/>
    <mergeCell ref="CV61:CV65"/>
    <mergeCell ref="DB81:DB85"/>
    <mergeCell ref="CV76:CV80"/>
    <mergeCell ref="DB96:DB100"/>
    <mergeCell ref="CT86:CT90"/>
    <mergeCell ref="M236:M238"/>
    <mergeCell ref="I226:I235"/>
    <mergeCell ref="I241:I245"/>
    <mergeCell ref="I71:I75"/>
    <mergeCell ref="I76:I80"/>
    <mergeCell ref="I81:I85"/>
    <mergeCell ref="I86:I90"/>
    <mergeCell ref="I106:I110"/>
    <mergeCell ref="I141:I145"/>
    <mergeCell ref="I146:I150"/>
    <mergeCell ref="I151:I155"/>
    <mergeCell ref="I166:I170"/>
    <mergeCell ref="I171:I175"/>
    <mergeCell ref="I201:I205"/>
    <mergeCell ref="I216:I220"/>
    <mergeCell ref="P51:P55"/>
    <mergeCell ref="P71:P75"/>
    <mergeCell ref="P76:P80"/>
    <mergeCell ref="P81:P85"/>
    <mergeCell ref="P86:P90"/>
    <mergeCell ref="P91:P95"/>
    <mergeCell ref="P106:P110"/>
    <mergeCell ref="P141:P145"/>
    <mergeCell ref="P146:P150"/>
    <mergeCell ref="P151:P155"/>
    <mergeCell ref="P166:P170"/>
    <mergeCell ref="P171:P175"/>
    <mergeCell ref="P226:P235"/>
    <mergeCell ref="P241:P245"/>
    <mergeCell ref="P216:P220"/>
    <mergeCell ref="J91:J95"/>
    <mergeCell ref="L196:L198"/>
    <mergeCell ref="R21:R25"/>
    <mergeCell ref="T21:T25"/>
    <mergeCell ref="T236:T238"/>
    <mergeCell ref="AE71:AE75"/>
    <mergeCell ref="AE76:AE85"/>
    <mergeCell ref="AE106:AE110"/>
    <mergeCell ref="AE111:AE115"/>
    <mergeCell ref="AE121:AE125"/>
    <mergeCell ref="AE126:AE130"/>
    <mergeCell ref="AE141:AE145"/>
    <mergeCell ref="AE146:AE150"/>
    <mergeCell ref="AE151:AE155"/>
    <mergeCell ref="AE181:AE185"/>
    <mergeCell ref="AE186:AE195"/>
    <mergeCell ref="AE211:AE215"/>
    <mergeCell ref="X71:X75"/>
    <mergeCell ref="X76:X85"/>
    <mergeCell ref="X106:X110"/>
    <mergeCell ref="X111:X115"/>
    <mergeCell ref="X121:X125"/>
    <mergeCell ref="X126:X130"/>
    <mergeCell ref="X141:X145"/>
    <mergeCell ref="X146:X150"/>
    <mergeCell ref="X151:X155"/>
    <mergeCell ref="X181:X185"/>
    <mergeCell ref="X186:X195"/>
    <mergeCell ref="X211:X215"/>
    <mergeCell ref="AC126:AC130"/>
    <mergeCell ref="AC221:AC225"/>
    <mergeCell ref="AB236:AB238"/>
    <mergeCell ref="V196:V198"/>
    <mergeCell ref="U151:U155"/>
    <mergeCell ref="BV91:BV95"/>
    <mergeCell ref="BV241:BV245"/>
    <mergeCell ref="BV236:BV240"/>
    <mergeCell ref="CB16:CB25"/>
    <mergeCell ref="CB26:CB35"/>
    <mergeCell ref="BH176:BH180"/>
    <mergeCell ref="BH191:BH195"/>
    <mergeCell ref="BH186:BH190"/>
    <mergeCell ref="BK236:BK238"/>
    <mergeCell ref="BH226:BH235"/>
    <mergeCell ref="BH241:BH245"/>
    <mergeCell ref="CC96:CC110"/>
    <mergeCell ref="AV226:AV235"/>
    <mergeCell ref="AY176:AY180"/>
    <mergeCell ref="BJ166:BJ170"/>
    <mergeCell ref="BI201:BI205"/>
    <mergeCell ref="BJ201:BJ205"/>
    <mergeCell ref="BA216:BA220"/>
    <mergeCell ref="AW222:AW260"/>
    <mergeCell ref="BV256:BV260"/>
    <mergeCell ref="CB256:CB260"/>
    <mergeCell ref="BI196:BI198"/>
    <mergeCell ref="AV221:AV225"/>
    <mergeCell ref="BC3:BF4"/>
    <mergeCell ref="BC6:BC10"/>
    <mergeCell ref="BC16:BC20"/>
    <mergeCell ref="BC27:BC30"/>
    <mergeCell ref="BC31:BC40"/>
    <mergeCell ref="BD36:BD40"/>
    <mergeCell ref="BC41:BC55"/>
    <mergeCell ref="BD41:BD45"/>
    <mergeCell ref="BD46:BD50"/>
    <mergeCell ref="BD51:BD55"/>
    <mergeCell ref="BC56:BC60"/>
    <mergeCell ref="BC61:BC65"/>
    <mergeCell ref="BD61:BD65"/>
    <mergeCell ref="BC68:BC70"/>
    <mergeCell ref="BD68:BD70"/>
    <mergeCell ref="BC71:BC80"/>
    <mergeCell ref="BD71:BD75"/>
    <mergeCell ref="BD76:BD80"/>
    <mergeCell ref="BC207:BC220"/>
    <mergeCell ref="BD207:BD210"/>
    <mergeCell ref="BD211:BD215"/>
    <mergeCell ref="BC221:BC260"/>
    <mergeCell ref="BF26:BF30"/>
    <mergeCell ref="BE236:BE238"/>
    <mergeCell ref="BD146:BD150"/>
    <mergeCell ref="BC151:BC155"/>
    <mergeCell ref="BC156:BC170"/>
    <mergeCell ref="BD156:BD160"/>
    <mergeCell ref="BD161:BD165"/>
    <mergeCell ref="BD166:BD170"/>
    <mergeCell ref="BC172:BC180"/>
    <mergeCell ref="BD172:BD175"/>
    <mergeCell ref="BD176:BD180"/>
    <mergeCell ref="BC181:BC185"/>
    <mergeCell ref="BC186:BC189"/>
    <mergeCell ref="BF186:BF189"/>
    <mergeCell ref="BC191:BC194"/>
    <mergeCell ref="BD191:BD194"/>
    <mergeCell ref="BC196:BC198"/>
    <mergeCell ref="BC201:BC205"/>
    <mergeCell ref="BD201:BD205"/>
    <mergeCell ref="BC81:BC95"/>
    <mergeCell ref="BD81:BD85"/>
  </mergeCells>
  <conditionalFormatting sqref="A265:D277 K241:N1048576 K195:N196 K51:K55 CJ5:CM40 CV6:CY60 Y1:Y2 CE1:CG2 CI1:CM2 CO1:CS2 CU1:CY2 DC1:DH2 DJ1:DN2 DP1:DT2 DV1:EA2 EC1:EG2 EI1:EM2 A1:I3 EO1:XFD3 AF1:AM5 W1:W15 DA1:DA1048576 BG3:BG4 CA3:CA4 CG3:CG4 CM3:CM4 CS3:CS4 DH3:DH4 DN3:DN4 DT3:DT4 EA3:EA4 EG3:EG4 EM3:EM4 A4:F4 H4:I4 EP4:XFD5 A5:I5 CE5:CG5 CI5 CO5:CS5 CU5:CY5 DC5:DH5 DJ5:DN5 DP5:DT5 DV5:EA5 EC5:EG5 EI5:EM5 EO6:XFD55 K16:N20 A21:D25 H21:H55 A26:F28 AW26:AZ31 M26:N45 A29:D29 A30:F33 AF31:AL35 AX31:AX50 BW31:CA60 AX32:AZ35 A34:D34 A35:F38 DV36 AF36:AM40 AX36:BA40 DH36:DH60 EA36:EA60 A39:D39 A40:F40 A41:D45 AF41:AL45 CJ41:CK45 CM41:CM45 CI41:CI46 AX42:BA50 A46:F46 DC46:DF46 K46:N50 DW46:DZ55 AF46:AM60 CJ46:CM67 A47:D50 DD47:DF50 M51:M53 DD51:DG54 A51:F55 AX51:AZ55 M55 DE55:DG55 DJ56:DN56 A56:O58 EK56:EK59 DD56:DG60 DV56:DZ60 EP56:XFD60 AW56:BA61 DR56:DR65 DT56:DT65 EM56:EM65 CC56:CC96 DL57:DL60 DN57:DN60 A59:D59 F59:O59 A60:O60 EJ60 A61:H61 AH61:AM61 DC61:DH61 DP61 DV61:EA61 O61:O65 BY61:BY65 CA61:CA65 CE61:CE65 CG61:CG65 CY61:CY65 DK61:DN65 EC61:EG95 EO61:XFD160 Y56:Y62 AH62:AI62 A62:F63 AL62:AM65 AZ62:BA65 EK62:EK65 DD62:DH80 DW62:EA80 H62:H95 A64:D64 A65:F68 AY66:BA66 CV66:CY66 DP66:DT66 EI66:EM66 Y66:Y67 BW66:CA67 DJ66:DN67 CE66:CG1048576 AF67 AH67:AM67 AY67:AZ67 CU67 DP67 K67:K68 EI67:EI68 CW67:CY70 EK67:EK70 EM67:EM70 DR67:DR75 DT67:DT80 M68:O68 AL68:AL70 AZ68:AZ70 BX68:CA70 CK68:CM70 DL68:DN70 A69:D69 N69:O69 M70:O70 A70:F83 CJ71 CM71:CM75 K71:O80 CW71:CW80 DK71:DN80 EK71:EM80 AI71:AM86 BW71:BW90 BY71:CA90 AX71:BA95 CJ72:CK75 CJ76:CM83 DJ81:DN81 DP81:DT81 EI81:EM81 DC81:DH86 K81:K95 M81:O95 DV81:EA95 DK82:DN95 DQ82:DT95 EJ82:EM95 A84:D84 CJ84 CL84:CM84 A85:F88 CJ85:CM88 CU86:CY86 DE87:DH88 AF87:AM93 CV87:CY95 A89:D89 CJ89 CL89:CM89 DC89:DH89 CJ90:CM90 DD90:DH94 A90:F95 CJ91 CM91:CM95 BW91:CA111 CJ92:CL93 AF94:AK94 AM94 CJ94:CJ95 DD95:DE95 DG95:DH95 AF95:AM123 DC96 A96:I103 CS96:CS105 DH96:DH105 DN96:DN105 DT96:DT105 DV96:DV105 EA96:EA105 EC96:EC105 EG96:EG105 EM96:EM105 K96:O108 AW96:BA111 CJ96:CM130 A104:D104 H104:I104 DV106:DX106 DZ106:EA106 CV106:CY110 DK106:DN110 DD106:DH120 CP106:CS135 EJ106:EM140 DQ106:DT145 A107:F108 DW107:EA120 H107:H135 A109:D109 K109:L109 N109:O109 A110:F113 K110:O120 CC111 DN111:DN140 BX112:CA125 AX112:BA170 A114:D114 A115:F118 DJ116:DM140 A119:D119 A120:F123 L121:O125 DC121:DG140 DV121:EA141 DH121:DH145 CD121:CD1048576 A124:D124 AF124:AK124 AM124 AF125:AM126 A125:F128 O126:O130 BW126:CA1048576 AF127:AL130 A129:D129 F129 A130:F133 M131:O133 K131:K135 CK131:CM138 AF131:AM145 A134:D134 N134:O134 A135:F135 M135:O135 CO136:CS136 A136:H137 K136:O145 CP137:CS155 A138:I138 A139:D139 H139 CL139:CM139 A140:H140 CK140:CM145 EJ141 EL141:EM141 A141:F142 DK141:DN175 H141:H181 EJ142:EM145 DW142:EA156 ED142:EG171 A143:D147 Y87:Y146 AF146:AL146 O146:O150 DP146:DP151 K146:K160 DD146:DH160 CJ146:CM165 DR146:DT170 EK146:EM170 AJ147:AL148 M147:M150 AH147:AH159 A148:F153 AJ149:AK149 AJ150:AL150 AJ151:AM153 CV151:CY160 M151:O168 A154:D154 AJ154:AK154 AM154 A155:F158 AJ155:AM161 CO156 CQ156:CR165 CS156:CS180 DW157:DY159 EA157:EA160 A159:D159 DV160:DY160 A160:F172 DC161:DH161 DV161:EA161 EP161:XFD165 CW161:CY175 AJ162:AJ165 AL162:AM165 DD162:DH165 DW162:EA165 CI166:CK166 CP166:CR166 DC166:DF166 CM166:CM170 DH166:DH170 DD166:DD172 AJ166:AM182 DV166:EA186 EO166:XFD190 CK167:CK170 CQ167:CR170 DF167:DF170 N169:O169 M170:O173 AW171:BA171 CP171:CR171 DP171:DT171 EI171:EM171 K171:K172 CJ171:CM172 DD171:DH172 AW172:AZ172 CP172:CQ172 EE172:EG175 EJ172:EM210 DQ172:DT215 AX173:AZ175 CK173:CM175 CQ173:CQ175 DF173:DH175 A173:D176 N174:O174 M175:O175 CO176 DJ176:DL176 AX176:AX180 AZ176:BA180 CJ176:CM180 CP176:CQ180 DN176:DN180 DD176:DH185 K176:O190 A177:F178 DK177:DL180 A179:D179 A180:F183 CO181:CS181 DK181:DN181 CK181:CM185 CV183:CY200 DL182:DN185 H182:I187 CP182:CS210 AJ183:AK184 AM183:AM184 AZ183:AZ185 EE176:EE188 A184:D184 A185:F186 AJ185:AM187 DK186:DL186 BA186:BA187 DN186:DN189 CJ186:CM205 A187:D187 DL187:DL189 DW187:DW189 AJ188:AK188 AM188 AX188:AX189 AZ188:BA189 A188:F192 H188:H255 EE189:EG189 AJ189:AM200 AX190:BA190 ED190:EG190 DJ190:DN190 DV190:EA191 L191:N191 EC191:EG191 AX191:AX194 AZ191:BA194 O191:O1048576 W191:W1048576 M192:M194 DW192:DW194 DY192:EA194 ED192:EG195 A193:D194 F193:F194 DW195:EA196 A195:F198 AX196:AX198 AZ196:BA198 ED196:EE200 EG196:EG200 M197:N197 DW197:DW198 DY197:EA198 EP197:XFD198 N198 A199:D199 K199:K200 M199:N200 AX199:BA201 DW199:EA204 EO199:XFD210 A200:F203 CW201:CY203 AJ201:AK205 AM201:AM205 ED201:EG210 M202:N203 AX202:AX205 AZ202:BA205 A204:D204 N204 CX204:CY204 M205:N205 CW205:CY205 DW205:DX205 DZ205:EA205 A205:F208 L206:N206 AX206:BA206 DV206:EA206 CV206:CY208 AJ206:AM210 CK206:CM215 DF207:DH210 AZ207:BA215 M207:N220 AX207:AX215 DW207:EA220 A209:D209 F209 DD209:DD210 A210:F213 CI211 EI211 DC211:DH212 AJ211:AK215 AM211:AM215 CO211:CS215 EG211:EG215 EP211:XFD215 EK211:EM220 DK212:DL215 DN212:DN215 DD213:DH216 A214:D214 A215:F218 CJ216:CM216 DC216 DJ216:DN216 AZ218:AZ220 DT216:DT230 AJ216:AM232 CP216:CS260 ED216:EG260 Y261:Y1048576 EO216:XFD1048576 CK217:CK220 CM217:CM220 DF217:DH220 DK217:DN260 A219:D219 A220:F223 DC221:DH221 DV221:DW221 CJ221:CM230 DY221:DZ234 EA221:EA240 CV221:CY260 EJ221:EM260 J222 DD222:DH234 DW222:DW234 A224:D224 AZ224:BA224 A225:F231 K226:N228 AX226:BA230 K229:L229 N229 K230:N232 DP231:DT231 CI231:CM1048576 DQ232:DT260 AJ233:AK234 AM233:AM234 K235:N235 AJ235:AM235 DV235:DW235 DZ235 DC235:DH290 K236:L240 N236:N240 CC236:CC1048576 A237:F238 AJ241:AM260 A239:D239 F239 A240:F243 DW241:EA248 AX241:BA260 A244:D244 A245:F255 DW249:DX249 DZ249:EA249 DW250:EA260 A256:H260 CU261:CZ263 DV261:EA267 DJ261:DN272 CO261:CS277 BI261:BL369 AF261:AM1048576 AW261:BA1048576 A263:D263 H263 A264:I264 CY264:CZ268 J264:J1048576 Q264:Q1048576 E265:F265 H265:I279 F266:G266 E267:F267 F268:G268 EA268:EA289 E269:F269 CU269:CZ1048576 F270:G272 E273:F273 DN273:DN295 F274:G276 E277:F277 A278:B278 CO278:CO293 CS278:CS318 A279:F279 A280:I1048576 DV290:EA1048576 DH291:DH324 DJ296:DN314 DN315:DN339 CO319:CS1048576 DC325:DH1048576 DJ340:DN1048576 K233:L234 N233:N234 F235:F236 A232:D236 F232:F233 AJ236:AK240 AM237:AM240 AD171:AD1048576 AD87:AD146 AD66:AD67 AD31:AD61 AD1:AD4 AX231:AY240 BA231:BA240 EC106:EG141 AX218:AX220 BG196:BG1048576 BG42:BG194 BG26:BG40 AU237:AU1048576 AU67:AU235 AU31:AU65 AU1:AU5 EG176:EG188 DK191:DN211 CY181:CY182 EO195:XFD196 EP191:XFD194 DY187:EA189 BS31:BT125 BT166:BT168 BT171 BT173 BT175:BT178 BT211:BT213 BT215 BS221:BT223 BS225:BT225 BS1:BT2 BS5:BT5 BS241:BT1048576">
    <cfRule type="beginsWith" dxfId="14940" priority="32007" operator="beginsWith" text="Lancement Projet fil rouge">
      <formula>LEFT(A1,LEN("Lancement Projet fil rouge"))="Lancement Projet fil rouge"</formula>
    </cfRule>
  </conditionalFormatting>
  <conditionalFormatting sqref="A105:I105 A106:H106">
    <cfRule type="beginsWith" dxfId="14939" priority="31041" operator="beginsWith" text="Lancement Projet fil rouge">
      <formula>LEFT(A105,LEN("Lancement Projet fil rouge"))="Lancement Projet fil rouge"</formula>
    </cfRule>
  </conditionalFormatting>
  <conditionalFormatting sqref="C265 BT1:BT2 BT166:BT168 BT171 BT173 BT175:BT178 BT211:BT213 BT215 BT221:BT223 BT241:BT1048576 BT141:BT145 BT181:BT185 BT190 BT225:BT227 BT229:BT230 BT5:BT125">
    <cfRule type="beginsWith" dxfId="14938" priority="31927" operator="beginsWith" text="TOPHYC">
      <formula>LEFT(C1,LEN("TOPHYC"))="TOPHYC"</formula>
    </cfRule>
    <cfRule type="beginsWith" dxfId="14937" priority="31928" operator="beginsWith" text="Global Exam">
      <formula>LEFT(C1,LEN("Global Exam"))="Global Exam"</formula>
    </cfRule>
    <cfRule type="beginsWith" dxfId="14936" priority="31929" operator="beginsWith" text="TOMIC">
      <formula>LEFT(C1,LEN("TOMIC"))="TOMIC"</formula>
    </cfRule>
  </conditionalFormatting>
  <conditionalFormatting sqref="C267">
    <cfRule type="beginsWith" dxfId="14935" priority="31924" operator="beginsWith" text="TOPHYC">
      <formula>LEFT(C267,LEN("TOPHYC"))="TOPHYC"</formula>
    </cfRule>
    <cfRule type="beginsWith" dxfId="14934" priority="31925" operator="beginsWith" text="Global Exam">
      <formula>LEFT(C267,LEN("Global Exam"))="Global Exam"</formula>
    </cfRule>
    <cfRule type="beginsWith" dxfId="14933" priority="31926" operator="beginsWith" text="TOMIC">
      <formula>LEFT(C267,LEN("TOMIC"))="TOMIC"</formula>
    </cfRule>
  </conditionalFormatting>
  <conditionalFormatting sqref="C269">
    <cfRule type="beginsWith" dxfId="14932" priority="31921" operator="beginsWith" text="TOPHYC">
      <formula>LEFT(C269,LEN("TOPHYC"))="TOPHYC"</formula>
    </cfRule>
    <cfRule type="beginsWith" dxfId="14931" priority="31922" operator="beginsWith" text="Global Exam">
      <formula>LEFT(C269,LEN("Global Exam"))="Global Exam"</formula>
    </cfRule>
    <cfRule type="beginsWith" dxfId="14930" priority="31923" operator="beginsWith" text="TOMIC">
      <formula>LEFT(C269,LEN("TOMIC"))="TOMIC"</formula>
    </cfRule>
  </conditionalFormatting>
  <conditionalFormatting sqref="C271">
    <cfRule type="beginsWith" dxfId="14929" priority="31918" operator="beginsWith" text="TOPHYC">
      <formula>LEFT(C271,LEN("TOPHYC"))="TOPHYC"</formula>
    </cfRule>
    <cfRule type="beginsWith" dxfId="14928" priority="31919" operator="beginsWith" text="Global Exam">
      <formula>LEFT(C271,LEN("Global Exam"))="Global Exam"</formula>
    </cfRule>
    <cfRule type="beginsWith" dxfId="14927" priority="31920" operator="beginsWith" text="TOMIC">
      <formula>LEFT(C271,LEN("TOMIC"))="TOMIC"</formula>
    </cfRule>
  </conditionalFormatting>
  <conditionalFormatting sqref="C273">
    <cfRule type="beginsWith" dxfId="14926" priority="31912" operator="beginsWith" text="TOPHYC">
      <formula>LEFT(C273,LEN("TOPHYC"))="TOPHYC"</formula>
    </cfRule>
    <cfRule type="beginsWith" dxfId="14925" priority="31913" operator="beginsWith" text="Global Exam">
      <formula>LEFT(C273,LEN("Global Exam"))="Global Exam"</formula>
    </cfRule>
    <cfRule type="beginsWith" dxfId="14924" priority="31914" operator="beginsWith" text="TOMIC">
      <formula>LEFT(C273,LEN("TOMIC"))="TOMIC"</formula>
    </cfRule>
  </conditionalFormatting>
  <conditionalFormatting sqref="E59 BS181:BT185 BS190:BT190 BS141:BT145 BS6:BT30 BS226:BT227 BS229:BT230">
    <cfRule type="beginsWith" dxfId="14923" priority="11036" operator="beginsWith" text="Lancement Projet fil rouge">
      <formula>LEFT(E6,LEN("Lancement Projet fil rouge"))="Lancement Projet fil rouge"</formula>
    </cfRule>
    <cfRule type="beginsWith" dxfId="14922" priority="11037" operator="beginsWith" text="Vacances">
      <formula>LEFT(E6,LEN("Vacances"))="Vacances"</formula>
    </cfRule>
    <cfRule type="beginsWith" dxfId="14921" priority="11038" operator="beginsWith" text="Séminaire d'intégration">
      <formula>LEFT(E6,LEN("Séminaire d'intégration"))="Séminaire d'intégration"</formula>
    </cfRule>
    <cfRule type="beginsWith" dxfId="14920" priority="11039" operator="beginsWith" text="Accueil">
      <formula>LEFT(E6,LEN("Accueil"))="Accueil"</formula>
    </cfRule>
    <cfRule type="beginsWith" dxfId="14919" priority="11040" operator="beginsWith" text="Stage">
      <formula>LEFT(E6,LEN("Stage"))="Stage"</formula>
    </cfRule>
    <cfRule type="beginsWith" dxfId="14918" priority="11041" operator="beginsWith" text="Entreprise">
      <formula>LEFT(E6,LEN("Entreprise"))="Entreprise"</formula>
    </cfRule>
    <cfRule type="beginsWith" dxfId="14917" priority="11042" operator="beginsWith" text="Voltaire">
      <formula>LEFT(E6,LEN("Voltaire"))="Voltaire"</formula>
    </cfRule>
  </conditionalFormatting>
  <conditionalFormatting sqref="E244">
    <cfRule type="beginsWith" dxfId="14916" priority="11071" operator="beginsWith" text="Lancement Projet fil rouge">
      <formula>LEFT(E244,LEN("Lancement Projet fil rouge"))="Lancement Projet fil rouge"</formula>
    </cfRule>
    <cfRule type="beginsWith" dxfId="14915" priority="11072" operator="beginsWith" text="Vacances">
      <formula>LEFT(E244,LEN("Vacances"))="Vacances"</formula>
    </cfRule>
    <cfRule type="beginsWith" dxfId="14914" priority="11073" operator="beginsWith" text="Séminaire d'intégration">
      <formula>LEFT(E244,LEN("Séminaire d'intégration"))="Séminaire d'intégration"</formula>
    </cfRule>
    <cfRule type="beginsWith" dxfId="14913" priority="11074" operator="beginsWith" text="Accueil">
      <formula>LEFT(E244,LEN("Accueil"))="Accueil"</formula>
    </cfRule>
    <cfRule type="beginsWith" dxfId="14912" priority="11075" operator="beginsWith" text="Stage">
      <formula>LEFT(E244,LEN("Stage"))="Stage"</formula>
    </cfRule>
    <cfRule type="beginsWith" dxfId="14911" priority="11076" operator="beginsWith" text="Entreprise">
      <formula>LEFT(E244,LEN("Entreprise"))="Entreprise"</formula>
    </cfRule>
    <cfRule type="beginsWith" dxfId="14910" priority="11077" operator="beginsWith" text="Voltaire">
      <formula>LEFT(E244,LEN("Voltaire"))="Voltaire"</formula>
    </cfRule>
  </conditionalFormatting>
  <conditionalFormatting sqref="E34:F34">
    <cfRule type="beginsWith" dxfId="14909" priority="20236" operator="beginsWith" text="Lancement Projet fil rouge">
      <formula>LEFT(E34,LEN("Lancement Projet fil rouge"))="Lancement Projet fil rouge"</formula>
    </cfRule>
    <cfRule type="beginsWith" dxfId="14908" priority="20237" operator="beginsWith" text="Vacances">
      <formula>LEFT(E34,LEN("Vacances"))="Vacances"</formula>
    </cfRule>
    <cfRule type="beginsWith" dxfId="14907" priority="20238" operator="beginsWith" text="Séminaire d'intégration">
      <formula>LEFT(E34,LEN("Séminaire d'intégration"))="Séminaire d'intégration"</formula>
    </cfRule>
    <cfRule type="beginsWith" dxfId="14906" priority="20239" operator="beginsWith" text="Accueil">
      <formula>LEFT(E34,LEN("Accueil"))="Accueil"</formula>
    </cfRule>
    <cfRule type="beginsWith" dxfId="14905" priority="20240" operator="beginsWith" text="Stage">
      <formula>LEFT(E34,LEN("Stage"))="Stage"</formula>
    </cfRule>
    <cfRule type="beginsWith" dxfId="14904" priority="20241" operator="beginsWith" text="Entreprise">
      <formula>LEFT(E34,LEN("Entreprise"))="Entreprise"</formula>
    </cfRule>
    <cfRule type="beginsWith" dxfId="14903" priority="20242" operator="beginsWith" text="Voltaire">
      <formula>LEFT(E34,LEN("Voltaire"))="Voltaire"</formula>
    </cfRule>
  </conditionalFormatting>
  <conditionalFormatting sqref="E69:F69">
    <cfRule type="beginsWith" dxfId="14902" priority="20222" operator="beginsWith" text="Lancement Projet fil rouge">
      <formula>LEFT(E69,LEN("Lancement Projet fil rouge"))="Lancement Projet fil rouge"</formula>
    </cfRule>
    <cfRule type="beginsWith" dxfId="14901" priority="20223" operator="beginsWith" text="Vacances">
      <formula>LEFT(E69,LEN("Vacances"))="Vacances"</formula>
    </cfRule>
    <cfRule type="beginsWith" dxfId="14900" priority="20224" operator="beginsWith" text="Séminaire d'intégration">
      <formula>LEFT(E69,LEN("Séminaire d'intégration"))="Séminaire d'intégration"</formula>
    </cfRule>
    <cfRule type="beginsWith" dxfId="14899" priority="20225" operator="beginsWith" text="Accueil">
      <formula>LEFT(E69,LEN("Accueil"))="Accueil"</formula>
    </cfRule>
    <cfRule type="beginsWith" dxfId="14898" priority="20226" operator="beginsWith" text="Stage">
      <formula>LEFT(E69,LEN("Stage"))="Stage"</formula>
    </cfRule>
    <cfRule type="beginsWith" dxfId="14897" priority="20227" operator="beginsWith" text="Entreprise">
      <formula>LEFT(E69,LEN("Entreprise"))="Entreprise"</formula>
    </cfRule>
    <cfRule type="beginsWith" dxfId="14896" priority="20228" operator="beginsWith" text="Voltaire">
      <formula>LEFT(E69,LEN("Voltaire"))="Voltaire"</formula>
    </cfRule>
  </conditionalFormatting>
  <conditionalFormatting sqref="E143:F143 E145:F147">
    <cfRule type="beginsWith" dxfId="14895" priority="20614" operator="beginsWith" text="Lancement Projet fil rouge">
      <formula>LEFT(E143,LEN("Lancement Projet fil rouge"))="Lancement Projet fil rouge"</formula>
    </cfRule>
    <cfRule type="beginsWith" dxfId="14894" priority="20615" operator="beginsWith" text="Vacances">
      <formula>LEFT(E143,LEN("Vacances"))="Vacances"</formula>
    </cfRule>
    <cfRule type="beginsWith" dxfId="14893" priority="20616" operator="beginsWith" text="Séminaire d'intégration">
      <formula>LEFT(E143,LEN("Séminaire d'intégration"))="Séminaire d'intégration"</formula>
    </cfRule>
    <cfRule type="beginsWith" dxfId="14892" priority="20617" operator="beginsWith" text="Accueil">
      <formula>LEFT(E143,LEN("Accueil"))="Accueil"</formula>
    </cfRule>
    <cfRule type="beginsWith" dxfId="14891" priority="20618" operator="beginsWith" text="Stage">
      <formula>LEFT(E143,LEN("Stage"))="Stage"</formula>
    </cfRule>
    <cfRule type="beginsWith" dxfId="14890" priority="20619" operator="beginsWith" text="Entreprise">
      <formula>LEFT(E143,LEN("Entreprise"))="Entreprise"</formula>
    </cfRule>
    <cfRule type="beginsWith" dxfId="14889" priority="20620" operator="beginsWith" text="Voltaire">
      <formula>LEFT(E143,LEN("Voltaire"))="Voltaire"</formula>
    </cfRule>
  </conditionalFormatting>
  <conditionalFormatting sqref="E154:F154">
    <cfRule type="beginsWith" dxfId="14888" priority="20187" operator="beginsWith" text="Lancement Projet fil rouge">
      <formula>LEFT(E154,LEN("Lancement Projet fil rouge"))="Lancement Projet fil rouge"</formula>
    </cfRule>
    <cfRule type="beginsWith" dxfId="14887" priority="20188" operator="beginsWith" text="Vacances">
      <formula>LEFT(E154,LEN("Vacances"))="Vacances"</formula>
    </cfRule>
    <cfRule type="beginsWith" dxfId="14886" priority="20189" operator="beginsWith" text="Séminaire d'intégration">
      <formula>LEFT(E154,LEN("Séminaire d'intégration"))="Séminaire d'intégration"</formula>
    </cfRule>
    <cfRule type="beginsWith" dxfId="14885" priority="20190" operator="beginsWith" text="Accueil">
      <formula>LEFT(E154,LEN("Accueil"))="Accueil"</formula>
    </cfRule>
    <cfRule type="beginsWith" dxfId="14884" priority="20191" operator="beginsWith" text="Stage">
      <formula>LEFT(E154,LEN("Stage"))="Stage"</formula>
    </cfRule>
    <cfRule type="beginsWith" dxfId="14883" priority="20192" operator="beginsWith" text="Entreprise">
      <formula>LEFT(E154,LEN("Entreprise"))="Entreprise"</formula>
    </cfRule>
    <cfRule type="beginsWith" dxfId="14882" priority="20193" operator="beginsWith" text="Voltaire">
      <formula>LEFT(E154,LEN("Voltaire"))="Voltaire"</formula>
    </cfRule>
  </conditionalFormatting>
  <conditionalFormatting sqref="E173:F173 E175:F176">
    <cfRule type="beginsWith" dxfId="14881" priority="20607" operator="beginsWith" text="Lancement Projet fil rouge">
      <formula>LEFT(E173,LEN("Lancement Projet fil rouge"))="Lancement Projet fil rouge"</formula>
    </cfRule>
    <cfRule type="beginsWith" dxfId="14880" priority="20608" operator="beginsWith" text="Vacances">
      <formula>LEFT(E173,LEN("Vacances"))="Vacances"</formula>
    </cfRule>
    <cfRule type="beginsWith" dxfId="14879" priority="20609" operator="beginsWith" text="Séminaire d'intégration">
      <formula>LEFT(E173,LEN("Séminaire d'intégration"))="Séminaire d'intégration"</formula>
    </cfRule>
    <cfRule type="beginsWith" dxfId="14878" priority="20610" operator="beginsWith" text="Accueil">
      <formula>LEFT(E173,LEN("Accueil"))="Accueil"</formula>
    </cfRule>
    <cfRule type="beginsWith" dxfId="14877" priority="20611" operator="beginsWith" text="Stage">
      <formula>LEFT(E173,LEN("Stage"))="Stage"</formula>
    </cfRule>
    <cfRule type="beginsWith" dxfId="14876" priority="20612" operator="beginsWith" text="Entreprise">
      <formula>LEFT(E173,LEN("Entreprise"))="Entreprise"</formula>
    </cfRule>
    <cfRule type="beginsWith" dxfId="14875" priority="20613" operator="beginsWith" text="Voltaire">
      <formula>LEFT(E173,LEN("Voltaire"))="Voltaire"</formula>
    </cfRule>
  </conditionalFormatting>
  <conditionalFormatting sqref="E187:F187">
    <cfRule type="beginsWith" dxfId="14874" priority="20180" operator="beginsWith" text="Lancement Projet fil rouge">
      <formula>LEFT(E187,LEN("Lancement Projet fil rouge"))="Lancement Projet fil rouge"</formula>
    </cfRule>
    <cfRule type="beginsWith" dxfId="14873" priority="20181" operator="beginsWith" text="Vacances">
      <formula>LEFT(E187,LEN("Vacances"))="Vacances"</formula>
    </cfRule>
    <cfRule type="beginsWith" dxfId="14872" priority="20182" operator="beginsWith" text="Séminaire d'intégration">
      <formula>LEFT(E187,LEN("Séminaire d'intégration"))="Séminaire d'intégration"</formula>
    </cfRule>
    <cfRule type="beginsWith" dxfId="14871" priority="20183" operator="beginsWith" text="Accueil">
      <formula>LEFT(E187,LEN("Accueil"))="Accueil"</formula>
    </cfRule>
    <cfRule type="beginsWith" dxfId="14870" priority="20184" operator="beginsWith" text="Stage">
      <formula>LEFT(E187,LEN("Stage"))="Stage"</formula>
    </cfRule>
    <cfRule type="beginsWith" dxfId="14869" priority="20185" operator="beginsWith" text="Entreprise">
      <formula>LEFT(E187,LEN("Entreprise"))="Entreprise"</formula>
    </cfRule>
    <cfRule type="beginsWith" dxfId="14868" priority="20186" operator="beginsWith" text="Voltaire">
      <formula>LEFT(E187,LEN("Voltaire"))="Voltaire"</formula>
    </cfRule>
  </conditionalFormatting>
  <conditionalFormatting sqref="E21:G23 E25:G25 F24:G24">
    <cfRule type="beginsWith" dxfId="14867" priority="20621" operator="beginsWith" text="Lancement Projet fil rouge">
      <formula>LEFT(E21,LEN("Lancement Projet fil rouge"))="Lancement Projet fil rouge"</formula>
    </cfRule>
    <cfRule type="beginsWith" dxfId="14866" priority="20622" operator="beginsWith" text="Vacances">
      <formula>LEFT(E21,LEN("Vacances"))="Vacances"</formula>
    </cfRule>
    <cfRule type="beginsWith" dxfId="14865" priority="20623" operator="beginsWith" text="Séminaire d'intégration">
      <formula>LEFT(E21,LEN("Séminaire d'intégration"))="Séminaire d'intégration"</formula>
    </cfRule>
    <cfRule type="beginsWith" dxfId="14864" priority="20624" operator="beginsWith" text="Accueil">
      <formula>LEFT(E21,LEN("Accueil"))="Accueil"</formula>
    </cfRule>
    <cfRule type="beginsWith" dxfId="14863" priority="20625" operator="beginsWith" text="Stage">
      <formula>LEFT(E21,LEN("Stage"))="Stage"</formula>
    </cfRule>
    <cfRule type="beginsWith" dxfId="14862" priority="20626" operator="beginsWith" text="Entreprise">
      <formula>LEFT(E21,LEN("Entreprise"))="Entreprise"</formula>
    </cfRule>
    <cfRule type="beginsWith" dxfId="14861" priority="20627" operator="beginsWith" text="Voltaire">
      <formula>LEFT(E21,LEN("Voltaire"))="Voltaire"</formula>
    </cfRule>
  </conditionalFormatting>
  <conditionalFormatting sqref="E104:G104">
    <cfRule type="beginsWith" dxfId="14860" priority="20215" operator="beginsWith" text="Lancement Projet fil rouge">
      <formula>LEFT(E104,LEN("Lancement Projet fil rouge"))="Lancement Projet fil rouge"</formula>
    </cfRule>
    <cfRule type="beginsWith" dxfId="14859" priority="20216" operator="beginsWith" text="Vacances">
      <formula>LEFT(E104,LEN("Vacances"))="Vacances"</formula>
    </cfRule>
    <cfRule type="beginsWith" dxfId="14858" priority="20217" operator="beginsWith" text="Séminaire d'intégration">
      <formula>LEFT(E104,LEN("Séminaire d'intégration"))="Séminaire d'intégration"</formula>
    </cfRule>
    <cfRule type="beginsWith" dxfId="14857" priority="20218" operator="beginsWith" text="Accueil">
      <formula>LEFT(E104,LEN("Accueil"))="Accueil"</formula>
    </cfRule>
    <cfRule type="beginsWith" dxfId="14856" priority="20219" operator="beginsWith" text="Stage">
      <formula>LEFT(E104,LEN("Stage"))="Stage"</formula>
    </cfRule>
    <cfRule type="beginsWith" dxfId="14855" priority="20220" operator="beginsWith" text="Entreprise">
      <formula>LEFT(E104,LEN("Entreprise"))="Entreprise"</formula>
    </cfRule>
    <cfRule type="beginsWith" dxfId="14854" priority="20221" operator="beginsWith" text="Voltaire">
      <formula>LEFT(E104,LEN("Voltaire"))="Voltaire"</formula>
    </cfRule>
  </conditionalFormatting>
  <conditionalFormatting sqref="F29">
    <cfRule type="beginsWith" dxfId="14853" priority="31968" operator="beginsWith" text="Projet professionnel : Séminaire PFI">
      <formula>LEFT(F29,LEN("Projet professionnel : Séminaire PFI"))="Projet professionnel : Séminaire PFI"</formula>
    </cfRule>
    <cfRule type="beginsWith" dxfId="14852" priority="31969" operator="beginsWith" text="Lancement Projet fil rouge">
      <formula>LEFT(F29,LEN("Lancement Projet fil rouge"))="Lancement Projet fil rouge"</formula>
    </cfRule>
    <cfRule type="beginsWith" dxfId="14851" priority="31970" operator="beginsWith" text="Vacances">
      <formula>LEFT(F29,LEN("Vacances"))="Vacances"</formula>
    </cfRule>
    <cfRule type="beginsWith" dxfId="14850" priority="31971" operator="beginsWith" text="Séminaire d'intégration">
      <formula>LEFT(F29,LEN("Séminaire d'intégration"))="Séminaire d'intégration"</formula>
    </cfRule>
    <cfRule type="beginsWith" dxfId="14849" priority="31972" operator="beginsWith" text="Accueil">
      <formula>LEFT(F29,LEN("Accueil"))="Accueil"</formula>
    </cfRule>
    <cfRule type="beginsWith" dxfId="14848" priority="31973" operator="beginsWith" text="Stage">
      <formula>LEFT(F29,LEN("Stage"))="Stage"</formula>
    </cfRule>
    <cfRule type="beginsWith" dxfId="14847" priority="31974" operator="beginsWith" text="Entreprise">
      <formula>LEFT(F29,LEN("Entreprise"))="Entreprise"</formula>
    </cfRule>
    <cfRule type="beginsWith" dxfId="14846" priority="31975" operator="beginsWith" text="Voltaire">
      <formula>LEFT(F29,LEN("Voltaire"))="Voltaire"</formula>
    </cfRule>
  </conditionalFormatting>
  <conditionalFormatting sqref="F39">
    <cfRule type="beginsWith" dxfId="14845" priority="20173" operator="beginsWith" text="Lancement Projet fil rouge">
      <formula>LEFT(F39,LEN("Lancement Projet fil rouge"))="Lancement Projet fil rouge"</formula>
    </cfRule>
    <cfRule type="beginsWith" dxfId="14844" priority="20174" operator="beginsWith" text="Vacances">
      <formula>LEFT(F39,LEN("Vacances"))="Vacances"</formula>
    </cfRule>
    <cfRule type="beginsWith" dxfId="14843" priority="20175" operator="beginsWith" text="Séminaire d'intégration">
      <formula>LEFT(F39,LEN("Séminaire d'intégration"))="Séminaire d'intégration"</formula>
    </cfRule>
    <cfRule type="beginsWith" dxfId="14842" priority="20176" operator="beginsWith" text="Accueil">
      <formula>LEFT(F39,LEN("Accueil"))="Accueil"</formula>
    </cfRule>
    <cfRule type="beginsWith" dxfId="14841" priority="20177" operator="beginsWith" text="Stage">
      <formula>LEFT(F39,LEN("Stage"))="Stage"</formula>
    </cfRule>
    <cfRule type="beginsWith" dxfId="14840" priority="20178" operator="beginsWith" text="Entreprise">
      <formula>LEFT(F39,LEN("Entreprise"))="Entreprise"</formula>
    </cfRule>
    <cfRule type="beginsWith" dxfId="14839" priority="20179" operator="beginsWith" text="Voltaire">
      <formula>LEFT(F39,LEN("Voltaire"))="Voltaire"</formula>
    </cfRule>
  </conditionalFormatting>
  <conditionalFormatting sqref="G26">
    <cfRule type="beginsWith" dxfId="14838" priority="18362" operator="beginsWith" text="Lancement Projet fil rouge">
      <formula>LEFT(G26,LEN("Lancement Projet fil rouge"))="Lancement Projet fil rouge"</formula>
    </cfRule>
    <cfRule type="beginsWith" dxfId="14837" priority="18363" operator="beginsWith" text="Vacances">
      <formula>LEFT(G26,LEN("Vacances"))="Vacances"</formula>
    </cfRule>
    <cfRule type="beginsWith" dxfId="14836" priority="18364" operator="beginsWith" text="Séminaire d'intégration">
      <formula>LEFT(G26,LEN("Séminaire d'intégration"))="Séminaire d'intégration"</formula>
    </cfRule>
    <cfRule type="beginsWith" dxfId="14835" priority="18365" operator="beginsWith" text="Accueil">
      <formula>LEFT(G26,LEN("Accueil"))="Accueil"</formula>
    </cfRule>
    <cfRule type="beginsWith" dxfId="14834" priority="18366" operator="beginsWith" text="Stage">
      <formula>LEFT(G26,LEN("Stage"))="Stage"</formula>
    </cfRule>
    <cfRule type="beginsWith" dxfId="14833" priority="18367" operator="beginsWith" text="Entreprise">
      <formula>LEFT(G26,LEN("Entreprise"))="Entreprise"</formula>
    </cfRule>
    <cfRule type="beginsWith" dxfId="14832" priority="18368" operator="beginsWith" text="Voltaire">
      <formula>LEFT(G26,LEN("Voltaire"))="Voltaire"</formula>
    </cfRule>
  </conditionalFormatting>
  <conditionalFormatting sqref="G121">
    <cfRule type="beginsWith" dxfId="14831" priority="14386" operator="beginsWith" text="Lancement Projet fil rouge">
      <formula>LEFT(G121,LEN("Lancement Projet fil rouge"))="Lancement Projet fil rouge"</formula>
    </cfRule>
    <cfRule type="beginsWith" dxfId="14830" priority="14387" operator="beginsWith" text="Vacances">
      <formula>LEFT(G121,LEN("Vacances"))="Vacances"</formula>
    </cfRule>
    <cfRule type="beginsWith" dxfId="14829" priority="14388" operator="beginsWith" text="Séminaire d'intégration">
      <formula>LEFT(G121,LEN("Séminaire d'intégration"))="Séminaire d'intégration"</formula>
    </cfRule>
    <cfRule type="beginsWith" dxfId="14828" priority="14389" operator="beginsWith" text="Accueil">
      <formula>LEFT(G121,LEN("Accueil"))="Accueil"</formula>
    </cfRule>
    <cfRule type="beginsWith" dxfId="14827" priority="14390" operator="beginsWith" text="Stage">
      <formula>LEFT(G121,LEN("Stage"))="Stage"</formula>
    </cfRule>
    <cfRule type="beginsWith" dxfId="14826" priority="14391" operator="beginsWith" text="Entreprise">
      <formula>LEFT(G121,LEN("Entreprise"))="Entreprise"</formula>
    </cfRule>
    <cfRule type="beginsWith" dxfId="14825" priority="14392" operator="beginsWith" text="Voltaire">
      <formula>LEFT(G121,LEN("Voltaire"))="Voltaire"</formula>
    </cfRule>
  </conditionalFormatting>
  <conditionalFormatting sqref="G196">
    <cfRule type="beginsWith" dxfId="14824" priority="18341" operator="beginsWith" text="Lancement Projet fil rouge">
      <formula>LEFT(G196,LEN("Lancement Projet fil rouge"))="Lancement Projet fil rouge"</formula>
    </cfRule>
    <cfRule type="beginsWith" dxfId="14823" priority="18342" operator="beginsWith" text="Vacances">
      <formula>LEFT(G196,LEN("Vacances"))="Vacances"</formula>
    </cfRule>
    <cfRule type="beginsWith" dxfId="14822" priority="18343" operator="beginsWith" text="Séminaire d'intégration">
      <formula>LEFT(G196,LEN("Séminaire d'intégration"))="Séminaire d'intégration"</formula>
    </cfRule>
    <cfRule type="beginsWith" dxfId="14821" priority="18344" operator="beginsWith" text="Accueil">
      <formula>LEFT(G196,LEN("Accueil"))="Accueil"</formula>
    </cfRule>
    <cfRule type="beginsWith" dxfId="14820" priority="18345" operator="beginsWith" text="Stage">
      <formula>LEFT(G196,LEN("Stage"))="Stage"</formula>
    </cfRule>
    <cfRule type="beginsWith" dxfId="14819" priority="18346" operator="beginsWith" text="Entreprise">
      <formula>LEFT(G196,LEN("Entreprise"))="Entreprise"</formula>
    </cfRule>
    <cfRule type="beginsWith" dxfId="14818" priority="18347" operator="beginsWith" text="Voltaire">
      <formula>LEFT(G196,LEN("Voltaire"))="Voltaire"</formula>
    </cfRule>
  </conditionalFormatting>
  <conditionalFormatting sqref="I6">
    <cfRule type="beginsWith" dxfId="14817" priority="18293" operator="beginsWith" text="Projet professionnel : Séminaire PFI">
      <formula>LEFT(I6,LEN("Projet professionnel : Séminaire PFI"))="Projet professionnel : Séminaire PFI"</formula>
    </cfRule>
    <cfRule type="beginsWith" dxfId="14816" priority="18294" operator="beginsWith" text="Lancement Projet fil rouge">
      <formula>LEFT(I6,LEN("Lancement Projet fil rouge"))="Lancement Projet fil rouge"</formula>
    </cfRule>
    <cfRule type="beginsWith" dxfId="14815" priority="18295" operator="beginsWith" text="Vacances">
      <formula>LEFT(I6,LEN("Vacances"))="Vacances"</formula>
    </cfRule>
    <cfRule type="beginsWith" dxfId="14814" priority="18296" operator="beginsWith" text="Séminaire d'intégration">
      <formula>LEFT(I6,LEN("Séminaire d'intégration"))="Séminaire d'intégration"</formula>
    </cfRule>
    <cfRule type="beginsWith" dxfId="14813" priority="18297" operator="beginsWith" text="Accueil">
      <formula>LEFT(I6,LEN("Accueil"))="Accueil"</formula>
    </cfRule>
    <cfRule type="beginsWith" dxfId="14812" priority="18298" operator="beginsWith" text="Stage">
      <formula>LEFT(I6,LEN("Stage"))="Stage"</formula>
    </cfRule>
    <cfRule type="beginsWith" dxfId="14811" priority="18299" operator="beginsWith" text="Entreprise">
      <formula>LEFT(I6,LEN("Entreprise"))="Entreprise"</formula>
    </cfRule>
    <cfRule type="beginsWith" dxfId="14810" priority="18300" operator="beginsWith" text="Voltaire">
      <formula>LEFT(I6,LEN("Voltaire"))="Voltaire"</formula>
    </cfRule>
  </conditionalFormatting>
  <conditionalFormatting sqref="I11">
    <cfRule type="beginsWith" dxfId="14809" priority="30944" operator="beginsWith" text="Projet professionnel : Séminaire PFI">
      <formula>LEFT(I11,LEN("Projet professionnel : Séminaire PFI"))="Projet professionnel : Séminaire PFI"</formula>
    </cfRule>
    <cfRule type="beginsWith" dxfId="14808" priority="30945" operator="beginsWith" text="Lancement Projet fil rouge">
      <formula>LEFT(I11,LEN("Lancement Projet fil rouge"))="Lancement Projet fil rouge"</formula>
    </cfRule>
    <cfRule type="beginsWith" dxfId="14807" priority="30946" operator="beginsWith" text="Vacances">
      <formula>LEFT(I11,LEN("Vacances"))="Vacances"</formula>
    </cfRule>
    <cfRule type="beginsWith" dxfId="14806" priority="30947" operator="beginsWith" text="Séminaire d'intégration">
      <formula>LEFT(I11,LEN("Séminaire d'intégration"))="Séminaire d'intégration"</formula>
    </cfRule>
    <cfRule type="beginsWith" dxfId="14805" priority="30948" operator="beginsWith" text="Accueil">
      <formula>LEFT(I11,LEN("Accueil"))="Accueil"</formula>
    </cfRule>
    <cfRule type="beginsWith" dxfId="14804" priority="30949" operator="beginsWith" text="Stage">
      <formula>LEFT(I11,LEN("Stage"))="Stage"</formula>
    </cfRule>
    <cfRule type="beginsWith" dxfId="14803" priority="30950" operator="beginsWith" text="Entreprise">
      <formula>LEFT(I11,LEN("Entreprise"))="Entreprise"</formula>
    </cfRule>
    <cfRule type="beginsWith" dxfId="14802" priority="30951" operator="beginsWith" text="Voltaire">
      <formula>LEFT(I11,LEN("Voltaire"))="Voltaire"</formula>
    </cfRule>
  </conditionalFormatting>
  <conditionalFormatting sqref="I21">
    <cfRule type="beginsWith" dxfId="14801" priority="31000" operator="beginsWith" text="Projet professionnel : Séminaire PFI">
      <formula>LEFT(I21,LEN("Projet professionnel : Séminaire PFI"))="Projet professionnel : Séminaire PFI"</formula>
    </cfRule>
    <cfRule type="beginsWith" dxfId="14800" priority="31001" operator="beginsWith" text="Lancement Projet fil rouge">
      <formula>LEFT(I21,LEN("Lancement Projet fil rouge"))="Lancement Projet fil rouge"</formula>
    </cfRule>
    <cfRule type="beginsWith" dxfId="14799" priority="31002" operator="beginsWith" text="Vacances">
      <formula>LEFT(I21,LEN("Vacances"))="Vacances"</formula>
    </cfRule>
    <cfRule type="beginsWith" dxfId="14798" priority="31003" operator="beginsWith" text="Séminaire d'intégration">
      <formula>LEFT(I21,LEN("Séminaire d'intégration"))="Séminaire d'intégration"</formula>
    </cfRule>
    <cfRule type="beginsWith" dxfId="14797" priority="31004" operator="beginsWith" text="Accueil">
      <formula>LEFT(I21,LEN("Accueil"))="Accueil"</formula>
    </cfRule>
    <cfRule type="beginsWith" dxfId="14796" priority="31005" operator="beginsWith" text="Stage">
      <formula>LEFT(I21,LEN("Stage"))="Stage"</formula>
    </cfRule>
    <cfRule type="beginsWith" dxfId="14795" priority="31006" operator="beginsWith" text="Entreprise">
      <formula>LEFT(I21,LEN("Entreprise"))="Entreprise"</formula>
    </cfRule>
    <cfRule type="beginsWith" dxfId="14794" priority="31007" operator="beginsWith" text="Voltaire">
      <formula>LEFT(I21,LEN("Voltaire"))="Voltaire"</formula>
    </cfRule>
  </conditionalFormatting>
  <conditionalFormatting sqref="I36">
    <cfRule type="beginsWith" dxfId="14793" priority="31008" operator="beginsWith" text="Projet professionnel : Séminaire PFI">
      <formula>LEFT(I36,LEN("Projet professionnel : Séminaire PFI"))="Projet professionnel : Séminaire PFI"</formula>
    </cfRule>
    <cfRule type="beginsWith" dxfId="14792" priority="31010" operator="beginsWith" text="Vacances">
      <formula>LEFT(I36,LEN("Vacances"))="Vacances"</formula>
    </cfRule>
    <cfRule type="beginsWith" dxfId="14791" priority="31011" operator="beginsWith" text="Séminaire d'intégration">
      <formula>LEFT(I36,LEN("Séminaire d'intégration"))="Séminaire d'intégration"</formula>
    </cfRule>
    <cfRule type="beginsWith" dxfId="14790" priority="31012" operator="beginsWith" text="Accueil">
      <formula>LEFT(I36,LEN("Accueil"))="Accueil"</formula>
    </cfRule>
    <cfRule type="beginsWith" dxfId="14789" priority="31013" operator="beginsWith" text="Stage">
      <formula>LEFT(I36,LEN("Stage"))="Stage"</formula>
    </cfRule>
    <cfRule type="beginsWith" dxfId="14788" priority="31014" operator="beginsWith" text="Entreprise">
      <formula>LEFT(I36,LEN("Entreprise"))="Entreprise"</formula>
    </cfRule>
    <cfRule type="beginsWith" dxfId="14787" priority="31015" operator="beginsWith" text="Voltaire">
      <formula>LEFT(I36,LEN("Voltaire"))="Voltaire"</formula>
    </cfRule>
  </conditionalFormatting>
  <conditionalFormatting sqref="I51">
    <cfRule type="beginsWith" dxfId="14786" priority="31016" operator="beginsWith" text="Projet professionnel : Séminaire PFI">
      <formula>LEFT(I51,LEN("Projet professionnel : Séminaire PFI"))="Projet professionnel : Séminaire PFI"</formula>
    </cfRule>
    <cfRule type="beginsWith" dxfId="14785" priority="31017" operator="beginsWith" text="Lancement Projet fil rouge">
      <formula>LEFT(I51,LEN("Lancement Projet fil rouge"))="Lancement Projet fil rouge"</formula>
    </cfRule>
    <cfRule type="beginsWith" dxfId="14784" priority="31018" operator="beginsWith" text="Vacances">
      <formula>LEFT(I51,LEN("Vacances"))="Vacances"</formula>
    </cfRule>
    <cfRule type="beginsWith" dxfId="14783" priority="31019" operator="beginsWith" text="Séminaire d'intégration">
      <formula>LEFT(I51,LEN("Séminaire d'intégration"))="Séminaire d'intégration"</formula>
    </cfRule>
    <cfRule type="beginsWith" dxfId="14782" priority="31020" operator="beginsWith" text="Accueil">
      <formula>LEFT(I51,LEN("Accueil"))="Accueil"</formula>
    </cfRule>
    <cfRule type="beginsWith" dxfId="14781" priority="31021" operator="beginsWith" text="Stage">
      <formula>LEFT(I51,LEN("Stage"))="Stage"</formula>
    </cfRule>
    <cfRule type="beginsWith" dxfId="14780" priority="31022" operator="beginsWith" text="Entreprise">
      <formula>LEFT(I51,LEN("Entreprise"))="Entreprise"</formula>
    </cfRule>
    <cfRule type="beginsWith" dxfId="14779" priority="31023" operator="beginsWith" text="Voltaire">
      <formula>LEFT(I51,LEN("Voltaire"))="Voltaire"</formula>
    </cfRule>
  </conditionalFormatting>
  <conditionalFormatting sqref="I61:I65">
    <cfRule type="beginsWith" dxfId="14778" priority="17974" operator="beginsWith" text="Lancement Projet fil rouge">
      <formula>LEFT(I61,LEN("Lancement Projet fil rouge"))="Lancement Projet fil rouge"</formula>
    </cfRule>
    <cfRule type="beginsWith" dxfId="14777" priority="17975" operator="beginsWith" text="Vacances">
      <formula>LEFT(I61,LEN("Vacances"))="Vacances"</formula>
    </cfRule>
    <cfRule type="beginsWith" dxfId="14776" priority="17976" operator="beginsWith" text="Séminaire d'intégration">
      <formula>LEFT(I61,LEN("Séminaire d'intégration"))="Séminaire d'intégration"</formula>
    </cfRule>
    <cfRule type="beginsWith" dxfId="14775" priority="17977" operator="beginsWith" text="Accueil">
      <formula>LEFT(I61,LEN("Accueil"))="Accueil"</formula>
    </cfRule>
    <cfRule type="beginsWith" dxfId="14774" priority="17978" operator="beginsWith" text="Stage">
      <formula>LEFT(I61,LEN("Stage"))="Stage"</formula>
    </cfRule>
    <cfRule type="beginsWith" dxfId="14773" priority="17979" operator="beginsWith" text="Entreprise">
      <formula>LEFT(I61,LEN("Entreprise"))="Entreprise"</formula>
    </cfRule>
    <cfRule type="beginsWith" dxfId="14772" priority="17980" operator="beginsWith" text="Voltaire">
      <formula>LEFT(I61,LEN("Voltaire"))="Voltaire"</formula>
    </cfRule>
  </conditionalFormatting>
  <conditionalFormatting sqref="I66">
    <cfRule type="beginsWith" dxfId="14771" priority="17935" operator="beginsWith" text="Projet professionnel : Séminaire PFI">
      <formula>LEFT(I66,LEN("Projet professionnel : Séminaire PFI"))="Projet professionnel : Séminaire PFI"</formula>
    </cfRule>
    <cfRule type="beginsWith" dxfId="14770" priority="17936" operator="beginsWith" text="Lancement Projet fil rouge">
      <formula>LEFT(I66,LEN("Lancement Projet fil rouge"))="Lancement Projet fil rouge"</formula>
    </cfRule>
    <cfRule type="beginsWith" dxfId="14769" priority="17937" operator="beginsWith" text="Vacances">
      <formula>LEFT(I66,LEN("Vacances"))="Vacances"</formula>
    </cfRule>
    <cfRule type="beginsWith" dxfId="14768" priority="17938" operator="beginsWith" text="Séminaire d'intégration">
      <formula>LEFT(I66,LEN("Séminaire d'intégration"))="Séminaire d'intégration"</formula>
    </cfRule>
    <cfRule type="beginsWith" dxfId="14767" priority="17939" operator="beginsWith" text="Accueil">
      <formula>LEFT(I66,LEN("Accueil"))="Accueil"</formula>
    </cfRule>
    <cfRule type="beginsWith" dxfId="14766" priority="17940" operator="beginsWith" text="Stage">
      <formula>LEFT(I66,LEN("Stage"))="Stage"</formula>
    </cfRule>
    <cfRule type="beginsWith" dxfId="14765" priority="17941" operator="beginsWith" text="Entreprise">
      <formula>LEFT(I66,LEN("Entreprise"))="Entreprise"</formula>
    </cfRule>
    <cfRule type="beginsWith" dxfId="14764" priority="17942" operator="beginsWith" text="Voltaire">
      <formula>LEFT(I66,LEN("Voltaire"))="Voltaire"</formula>
    </cfRule>
  </conditionalFormatting>
  <conditionalFormatting sqref="I71">
    <cfRule type="beginsWith" dxfId="14763" priority="17927" operator="beginsWith" text="Projet professionnel : Séminaire PFI">
      <formula>LEFT(I71,LEN("Projet professionnel : Séminaire PFI"))="Projet professionnel : Séminaire PFI"</formula>
    </cfRule>
    <cfRule type="beginsWith" dxfId="14762" priority="17928" operator="beginsWith" text="Lancement Projet fil rouge">
      <formula>LEFT(I71,LEN("Lancement Projet fil rouge"))="Lancement Projet fil rouge"</formula>
    </cfRule>
    <cfRule type="beginsWith" dxfId="14761" priority="17929" operator="beginsWith" text="Vacances">
      <formula>LEFT(I71,LEN("Vacances"))="Vacances"</formula>
    </cfRule>
    <cfRule type="beginsWith" dxfId="14760" priority="17930" operator="beginsWith" text="Séminaire d'intégration">
      <formula>LEFT(I71,LEN("Séminaire d'intégration"))="Séminaire d'intégration"</formula>
    </cfRule>
    <cfRule type="beginsWith" dxfId="14759" priority="17931" operator="beginsWith" text="Accueil">
      <formula>LEFT(I71,LEN("Accueil"))="Accueil"</formula>
    </cfRule>
    <cfRule type="beginsWith" dxfId="14758" priority="17932" operator="beginsWith" text="Stage">
      <formula>LEFT(I71,LEN("Stage"))="Stage"</formula>
    </cfRule>
    <cfRule type="beginsWith" dxfId="14757" priority="17933" operator="beginsWith" text="Entreprise">
      <formula>LEFT(I71,LEN("Entreprise"))="Entreprise"</formula>
    </cfRule>
    <cfRule type="beginsWith" dxfId="14756" priority="17934" operator="beginsWith" text="Voltaire">
      <formula>LEFT(I71,LEN("Voltaire"))="Voltaire"</formula>
    </cfRule>
  </conditionalFormatting>
  <conditionalFormatting sqref="I91">
    <cfRule type="beginsWith" dxfId="14755" priority="17897" operator="beginsWith" text="Projet professionnel : Séminaire PFI">
      <formula>LEFT(I91,LEN("Projet professionnel : Séminaire PFI"))="Projet professionnel : Séminaire PFI"</formula>
    </cfRule>
    <cfRule type="beginsWith" dxfId="14754" priority="17898" operator="beginsWith" text="Lancement Projet fil rouge">
      <formula>LEFT(I91,LEN("Lancement Projet fil rouge"))="Lancement Projet fil rouge"</formula>
    </cfRule>
    <cfRule type="beginsWith" dxfId="14753" priority="17899" operator="beginsWith" text="Vacances">
      <formula>LEFT(I91,LEN("Vacances"))="Vacances"</formula>
    </cfRule>
    <cfRule type="beginsWith" dxfId="14752" priority="17900" operator="beginsWith" text="Séminaire d'intégration">
      <formula>LEFT(I91,LEN("Séminaire d'intégration"))="Séminaire d'intégration"</formula>
    </cfRule>
    <cfRule type="beginsWith" dxfId="14751" priority="17901" operator="beginsWith" text="Accueil">
      <formula>LEFT(I91,LEN("Accueil"))="Accueil"</formula>
    </cfRule>
    <cfRule type="beginsWith" dxfId="14750" priority="17902" operator="beginsWith" text="Stage">
      <formula>LEFT(I91,LEN("Stage"))="Stage"</formula>
    </cfRule>
    <cfRule type="beginsWith" dxfId="14749" priority="17903" operator="beginsWith" text="Entreprise">
      <formula>LEFT(I91,LEN("Entreprise"))="Entreprise"</formula>
    </cfRule>
    <cfRule type="beginsWith" dxfId="14748" priority="17904" operator="beginsWith" text="Voltaire">
      <formula>LEFT(I91,LEN("Voltaire"))="Voltaire"</formula>
    </cfRule>
  </conditionalFormatting>
  <conditionalFormatting sqref="I126">
    <cfRule type="beginsWith" dxfId="14747" priority="17871" operator="beginsWith" text="Projet professionnel : Séminaire PFI">
      <formula>LEFT(I126,LEN("Projet professionnel : Séminaire PFI"))="Projet professionnel : Séminaire PFI"</formula>
    </cfRule>
    <cfRule type="beginsWith" dxfId="14746" priority="17872" operator="beginsWith" text="Lancement Projet fil rouge">
      <formula>LEFT(I126,LEN("Lancement Projet fil rouge"))="Lancement Projet fil rouge"</formula>
    </cfRule>
    <cfRule type="beginsWith" dxfId="14745" priority="17873" operator="beginsWith" text="Vacances">
      <formula>LEFT(I126,LEN("Vacances"))="Vacances"</formula>
    </cfRule>
    <cfRule type="beginsWith" dxfId="14744" priority="17874" operator="beginsWith" text="Séminaire d'intégration">
      <formula>LEFT(I126,LEN("Séminaire d'intégration"))="Séminaire d'intégration"</formula>
    </cfRule>
    <cfRule type="beginsWith" dxfId="14743" priority="17875" operator="beginsWith" text="Accueil">
      <formula>LEFT(I126,LEN("Accueil"))="Accueil"</formula>
    </cfRule>
    <cfRule type="beginsWith" dxfId="14742" priority="17876" operator="beginsWith" text="Stage">
      <formula>LEFT(I126,LEN("Stage"))="Stage"</formula>
    </cfRule>
    <cfRule type="beginsWith" dxfId="14741" priority="17877" operator="beginsWith" text="Entreprise">
      <formula>LEFT(I126,LEN("Entreprise"))="Entreprise"</formula>
    </cfRule>
    <cfRule type="beginsWith" dxfId="14740" priority="17878" operator="beginsWith" text="Voltaire">
      <formula>LEFT(I126,LEN("Voltaire"))="Voltaire"</formula>
    </cfRule>
  </conditionalFormatting>
  <conditionalFormatting sqref="I161">
    <cfRule type="beginsWith" dxfId="14739" priority="17781" operator="beginsWith" text="Projet professionnel : Séminaire PFI">
      <formula>LEFT(I161,LEN("Projet professionnel : Séminaire PFI"))="Projet professionnel : Séminaire PFI"</formula>
    </cfRule>
    <cfRule type="beginsWith" dxfId="14738" priority="17782" operator="beginsWith" text="Lancement Projet fil rouge">
      <formula>LEFT(I161,LEN("Lancement Projet fil rouge"))="Lancement Projet fil rouge"</formula>
    </cfRule>
    <cfRule type="beginsWith" dxfId="14737" priority="17783" operator="beginsWith" text="Vacances">
      <formula>LEFT(I161,LEN("Vacances"))="Vacances"</formula>
    </cfRule>
    <cfRule type="beginsWith" dxfId="14736" priority="17784" operator="beginsWith" text="Séminaire d'intégration">
      <formula>LEFT(I161,LEN("Séminaire d'intégration"))="Séminaire d'intégration"</formula>
    </cfRule>
    <cfRule type="beginsWith" dxfId="14735" priority="17785" operator="beginsWith" text="Accueil">
      <formula>LEFT(I161,LEN("Accueil"))="Accueil"</formula>
    </cfRule>
    <cfRule type="beginsWith" dxfId="14734" priority="17786" operator="beginsWith" text="Stage">
      <formula>LEFT(I161,LEN("Stage"))="Stage"</formula>
    </cfRule>
    <cfRule type="beginsWith" dxfId="14733" priority="17787" operator="beginsWith" text="Entreprise">
      <formula>LEFT(I161,LEN("Entreprise"))="Entreprise"</formula>
    </cfRule>
    <cfRule type="beginsWith" dxfId="14732" priority="17788" operator="beginsWith" text="Voltaire">
      <formula>LEFT(I161,LEN("Voltaire"))="Voltaire"</formula>
    </cfRule>
  </conditionalFormatting>
  <conditionalFormatting sqref="I166">
    <cfRule type="beginsWith" dxfId="14731" priority="17773" operator="beginsWith" text="Projet professionnel : Séminaire PFI">
      <formula>LEFT(I166,LEN("Projet professionnel : Séminaire PFI"))="Projet professionnel : Séminaire PFI"</formula>
    </cfRule>
    <cfRule type="beginsWith" dxfId="14730" priority="17774" operator="beginsWith" text="Lancement Projet fil rouge">
      <formula>LEFT(I166,LEN("Lancement Projet fil rouge"))="Lancement Projet fil rouge"</formula>
    </cfRule>
    <cfRule type="beginsWith" dxfId="14729" priority="17775" operator="beginsWith" text="Vacances">
      <formula>LEFT(I166,LEN("Vacances"))="Vacances"</formula>
    </cfRule>
    <cfRule type="beginsWith" dxfId="14728" priority="17776" operator="beginsWith" text="Séminaire d'intégration">
      <formula>LEFT(I166,LEN("Séminaire d'intégration"))="Séminaire d'intégration"</formula>
    </cfRule>
    <cfRule type="beginsWith" dxfId="14727" priority="17777" operator="beginsWith" text="Accueil">
      <formula>LEFT(I166,LEN("Accueil"))="Accueil"</formula>
    </cfRule>
    <cfRule type="beginsWith" dxfId="14726" priority="17778" operator="beginsWith" text="Stage">
      <formula>LEFT(I166,LEN("Stage"))="Stage"</formula>
    </cfRule>
    <cfRule type="beginsWith" dxfId="14725" priority="17779" operator="beginsWith" text="Entreprise">
      <formula>LEFT(I166,LEN("Entreprise"))="Entreprise"</formula>
    </cfRule>
    <cfRule type="beginsWith" dxfId="14724" priority="17780" operator="beginsWith" text="Voltaire">
      <formula>LEFT(I166,LEN("Voltaire"))="Voltaire"</formula>
    </cfRule>
  </conditionalFormatting>
  <conditionalFormatting sqref="I180:I181">
    <cfRule type="beginsWith" dxfId="14723" priority="17766" operator="beginsWith" text="Lancement Projet fil rouge">
      <formula>LEFT(I180,LEN("Lancement Projet fil rouge"))="Lancement Projet fil rouge"</formula>
    </cfRule>
    <cfRule type="beginsWith" dxfId="14722" priority="17767" operator="beginsWith" text="Vacances">
      <formula>LEFT(I180,LEN("Vacances"))="Vacances"</formula>
    </cfRule>
    <cfRule type="beginsWith" dxfId="14721" priority="17768" operator="beginsWith" text="Séminaire d'intégration">
      <formula>LEFT(I180,LEN("Séminaire d'intégration"))="Séminaire d'intégration"</formula>
    </cfRule>
    <cfRule type="beginsWith" dxfId="14720" priority="17769" operator="beginsWith" text="Accueil">
      <formula>LEFT(I180,LEN("Accueil"))="Accueil"</formula>
    </cfRule>
    <cfRule type="beginsWith" dxfId="14719" priority="17770" operator="beginsWith" text="Stage">
      <formula>LEFT(I180,LEN("Stage"))="Stage"</formula>
    </cfRule>
    <cfRule type="beginsWith" dxfId="14718" priority="17771" operator="beginsWith" text="Entreprise">
      <formula>LEFT(I180,LEN("Entreprise"))="Entreprise"</formula>
    </cfRule>
    <cfRule type="beginsWith" dxfId="14717" priority="17772" operator="beginsWith" text="Voltaire">
      <formula>LEFT(I180,LEN("Voltaire"))="Voltaire"</formula>
    </cfRule>
  </conditionalFormatting>
  <conditionalFormatting sqref="I188:I194">
    <cfRule type="beginsWith" dxfId="14716" priority="17701" operator="beginsWith" text="Lancement Projet fil rouge">
      <formula>LEFT(I188,LEN("Lancement Projet fil rouge"))="Lancement Projet fil rouge"</formula>
    </cfRule>
    <cfRule type="beginsWith" dxfId="14715" priority="17702" operator="beginsWith" text="Vacances">
      <formula>LEFT(I188,LEN("Vacances"))="Vacances"</formula>
    </cfRule>
    <cfRule type="beginsWith" dxfId="14714" priority="17703" operator="beginsWith" text="Séminaire d'intégration">
      <formula>LEFT(I188,LEN("Séminaire d'intégration"))="Séminaire d'intégration"</formula>
    </cfRule>
    <cfRule type="beginsWith" dxfId="14713" priority="17704" operator="beginsWith" text="Accueil">
      <formula>LEFT(I188,LEN("Accueil"))="Accueil"</formula>
    </cfRule>
    <cfRule type="beginsWith" dxfId="14712" priority="17705" operator="beginsWith" text="Stage">
      <formula>LEFT(I188,LEN("Stage"))="Stage"</formula>
    </cfRule>
    <cfRule type="beginsWith" dxfId="14711" priority="17706" operator="beginsWith" text="Entreprise">
      <formula>LEFT(I188,LEN("Entreprise"))="Entreprise"</formula>
    </cfRule>
    <cfRule type="beginsWith" dxfId="14710" priority="17707" operator="beginsWith" text="Voltaire">
      <formula>LEFT(I188,LEN("Voltaire"))="Voltaire"</formula>
    </cfRule>
  </conditionalFormatting>
  <conditionalFormatting sqref="I196">
    <cfRule type="beginsWith" dxfId="14709" priority="17693" operator="beginsWith" text="Projet professionnel : Séminaire PFI">
      <formula>LEFT(I196,LEN("Projet professionnel : Séminaire PFI"))="Projet professionnel : Séminaire PFI"</formula>
    </cfRule>
    <cfRule type="beginsWith" dxfId="14708" priority="17694" operator="beginsWith" text="Lancement Projet fil rouge">
      <formula>LEFT(I196,LEN("Lancement Projet fil rouge"))="Lancement Projet fil rouge"</formula>
    </cfRule>
    <cfRule type="beginsWith" dxfId="14707" priority="17695" operator="beginsWith" text="Vacances">
      <formula>LEFT(I196,LEN("Vacances"))="Vacances"</formula>
    </cfRule>
    <cfRule type="beginsWith" dxfId="14706" priority="17696" operator="beginsWith" text="Séminaire d'intégration">
      <formula>LEFT(I196,LEN("Séminaire d'intégration"))="Séminaire d'intégration"</formula>
    </cfRule>
    <cfRule type="beginsWith" dxfId="14705" priority="17697" operator="beginsWith" text="Accueil">
      <formula>LEFT(I196,LEN("Accueil"))="Accueil"</formula>
    </cfRule>
    <cfRule type="beginsWith" dxfId="14704" priority="17698" operator="beginsWith" text="Stage">
      <formula>LEFT(I196,LEN("Stage"))="Stage"</formula>
    </cfRule>
    <cfRule type="beginsWith" dxfId="14703" priority="17699" operator="beginsWith" text="Entreprise">
      <formula>LEFT(I196,LEN("Entreprise"))="Entreprise"</formula>
    </cfRule>
    <cfRule type="beginsWith" dxfId="14702" priority="17700" operator="beginsWith" text="Voltaire">
      <formula>LEFT(I196,LEN("Voltaire"))="Voltaire"</formula>
    </cfRule>
  </conditionalFormatting>
  <conditionalFormatting sqref="I206:I211">
    <cfRule type="beginsWith" dxfId="14701" priority="17686" operator="beginsWith" text="Lancement Projet fil rouge">
      <formula>LEFT(I206,LEN("Lancement Projet fil rouge"))="Lancement Projet fil rouge"</formula>
    </cfRule>
    <cfRule type="beginsWith" dxfId="14700" priority="17687" operator="beginsWith" text="Vacances">
      <formula>LEFT(I206,LEN("Vacances"))="Vacances"</formula>
    </cfRule>
    <cfRule type="beginsWith" dxfId="14699" priority="17688" operator="beginsWith" text="Séminaire d'intégration">
      <formula>LEFT(I206,LEN("Séminaire d'intégration"))="Séminaire d'intégration"</formula>
    </cfRule>
    <cfRule type="beginsWith" dxfId="14698" priority="17689" operator="beginsWith" text="Accueil">
      <formula>LEFT(I206,LEN("Accueil"))="Accueil"</formula>
    </cfRule>
    <cfRule type="beginsWith" dxfId="14697" priority="17690" operator="beginsWith" text="Stage">
      <formula>LEFT(I206,LEN("Stage"))="Stage"</formula>
    </cfRule>
    <cfRule type="beginsWith" dxfId="14696" priority="17691" operator="beginsWith" text="Entreprise">
      <formula>LEFT(I206,LEN("Entreprise"))="Entreprise"</formula>
    </cfRule>
    <cfRule type="beginsWith" dxfId="14695" priority="17692" operator="beginsWith" text="Voltaire">
      <formula>LEFT(I206,LEN("Voltaire"))="Voltaire"</formula>
    </cfRule>
  </conditionalFormatting>
  <conditionalFormatting sqref="I221">
    <cfRule type="beginsWith" dxfId="14694" priority="17725" operator="beginsWith" text="Projet professionnel : Séminaire PFI">
      <formula>LEFT(I221,LEN("Projet professionnel : Séminaire PFI"))="Projet professionnel : Séminaire PFI"</formula>
    </cfRule>
    <cfRule type="beginsWith" dxfId="14693" priority="17726" operator="beginsWith" text="Lancement Projet fil rouge">
      <formula>LEFT(I221,LEN("Lancement Projet fil rouge"))="Lancement Projet fil rouge"</formula>
    </cfRule>
    <cfRule type="beginsWith" dxfId="14692" priority="17727" operator="beginsWith" text="Vacances">
      <formula>LEFT(I221,LEN("Vacances"))="Vacances"</formula>
    </cfRule>
    <cfRule type="beginsWith" dxfId="14691" priority="17728" operator="beginsWith" text="Séminaire d'intégration">
      <formula>LEFT(I221,LEN("Séminaire d'intégration"))="Séminaire d'intégration"</formula>
    </cfRule>
    <cfRule type="beginsWith" dxfId="14690" priority="17729" operator="beginsWith" text="Accueil">
      <formula>LEFT(I221,LEN("Accueil"))="Accueil"</formula>
    </cfRule>
    <cfRule type="beginsWith" dxfId="14689" priority="17730" operator="beginsWith" text="Stage">
      <formula>LEFT(I221,LEN("Stage"))="Stage"</formula>
    </cfRule>
    <cfRule type="beginsWith" dxfId="14688" priority="17731" operator="beginsWith" text="Entreprise">
      <formula>LEFT(I221,LEN("Entreprise"))="Entreprise"</formula>
    </cfRule>
    <cfRule type="beginsWith" dxfId="14687" priority="17732" operator="beginsWith" text="Voltaire">
      <formula>LEFT(I221,LEN("Voltaire"))="Voltaire"</formula>
    </cfRule>
  </conditionalFormatting>
  <conditionalFormatting sqref="I36:J36">
    <cfRule type="beginsWith" dxfId="14686" priority="31009" operator="beginsWith" text="Lancement Projet fil rouge">
      <formula>LEFT(I36,LEN("Lancement Projet fil rouge"))="Lancement Projet fil rouge"</formula>
    </cfRule>
  </conditionalFormatting>
  <conditionalFormatting sqref="J6:J10">
    <cfRule type="beginsWith" dxfId="14685" priority="18301" operator="beginsWith" text="Lancement Projet fil rouge">
      <formula>LEFT(J6,LEN("Lancement Projet fil rouge"))="Lancement Projet fil rouge"</formula>
    </cfRule>
    <cfRule type="beginsWith" dxfId="14684" priority="18302" operator="beginsWith" text="Vacances">
      <formula>LEFT(J6,LEN("Vacances"))="Vacances"</formula>
    </cfRule>
    <cfRule type="beginsWith" dxfId="14683" priority="18303" operator="beginsWith" text="Séminaire d'intégration">
      <formula>LEFT(J6,LEN("Séminaire d'intégration"))="Séminaire d'intégration"</formula>
    </cfRule>
    <cfRule type="beginsWith" dxfId="14682" priority="18304" operator="beginsWith" text="Accueil">
      <formula>LEFT(J6,LEN("Accueil"))="Accueil"</formula>
    </cfRule>
    <cfRule type="beginsWith" dxfId="14681" priority="18305" operator="beginsWith" text="Stage">
      <formula>LEFT(J6,LEN("Stage"))="Stage"</formula>
    </cfRule>
    <cfRule type="beginsWith" dxfId="14680" priority="18306" operator="beginsWith" text="Entreprise">
      <formula>LEFT(J6,LEN("Entreprise"))="Entreprise"</formula>
    </cfRule>
    <cfRule type="beginsWith" dxfId="14679" priority="18307" operator="beginsWith" text="Voltaire">
      <formula>LEFT(J6,LEN("Voltaire"))="Voltaire"</formula>
    </cfRule>
  </conditionalFormatting>
  <conditionalFormatting sqref="J11:J15">
    <cfRule type="beginsWith" dxfId="14678" priority="9139" operator="beginsWith" text="Lancement Projet fil rouge">
      <formula>LEFT(J11,LEN("Lancement Projet fil rouge"))="Lancement Projet fil rouge"</formula>
    </cfRule>
    <cfRule type="beginsWith" dxfId="14677" priority="9140" operator="beginsWith" text="Vacances">
      <formula>LEFT(J11,LEN("Vacances"))="Vacances"</formula>
    </cfRule>
    <cfRule type="beginsWith" dxfId="14676" priority="9141" operator="beginsWith" text="Séminaire d'intégration">
      <formula>LEFT(J11,LEN("Séminaire d'intégration"))="Séminaire d'intégration"</formula>
    </cfRule>
    <cfRule type="beginsWith" dxfId="14675" priority="9142" operator="beginsWith" text="Accueil">
      <formula>LEFT(J11,LEN("Accueil"))="Accueil"</formula>
    </cfRule>
    <cfRule type="beginsWith" dxfId="14674" priority="9143" operator="beginsWith" text="Stage">
      <formula>LEFT(J11,LEN("Stage"))="Stage"</formula>
    </cfRule>
    <cfRule type="beginsWith" dxfId="14673" priority="9144" operator="beginsWith" text="Entreprise">
      <formula>LEFT(J11,LEN("Entreprise"))="Entreprise"</formula>
    </cfRule>
    <cfRule type="beginsWith" dxfId="14672" priority="9145" operator="beginsWith" text="Voltaire">
      <formula>LEFT(J11,LEN("Voltaire"))="Voltaire"</formula>
    </cfRule>
  </conditionalFormatting>
  <conditionalFormatting sqref="J16">
    <cfRule type="beginsWith" dxfId="14671" priority="31200" operator="beginsWith" text="Lancement Projet fil rouge">
      <formula>LEFT(J16,LEN("Lancement Projet fil rouge"))="Lancement Projet fil rouge"</formula>
    </cfRule>
    <cfRule type="beginsWith" dxfId="14670" priority="31201" operator="beginsWith" text="Vacances">
      <formula>LEFT(J16,LEN("Vacances"))="Vacances"</formula>
    </cfRule>
    <cfRule type="beginsWith" dxfId="14669" priority="31202" operator="beginsWith" text="Séminaire d'intégration">
      <formula>LEFT(J16,LEN("Séminaire d'intégration"))="Séminaire d'intégration"</formula>
    </cfRule>
    <cfRule type="beginsWith" dxfId="14668" priority="31203" operator="beginsWith" text="Accueil">
      <formula>LEFT(J16,LEN("Accueil"))="Accueil"</formula>
    </cfRule>
    <cfRule type="beginsWith" dxfId="14667" priority="31204" operator="beginsWith" text="Stage">
      <formula>LEFT(J16,LEN("Stage"))="Stage"</formula>
    </cfRule>
    <cfRule type="beginsWith" dxfId="14666" priority="31205" operator="beginsWith" text="Entreprise">
      <formula>LEFT(J16,LEN("Entreprise"))="Entreprise"</formula>
    </cfRule>
    <cfRule type="beginsWith" dxfId="14665" priority="31206" operator="beginsWith" text="Voltaire">
      <formula>LEFT(J16,LEN("Voltaire"))="Voltaire"</formula>
    </cfRule>
  </conditionalFormatting>
  <conditionalFormatting sqref="J21:J25">
    <cfRule type="beginsWith" dxfId="14664" priority="31208" operator="beginsWith" text="Vacances">
      <formula>LEFT(J21,LEN("Vacances"))="Vacances"</formula>
    </cfRule>
    <cfRule type="beginsWith" dxfId="14663" priority="31209" operator="beginsWith" text="Séminaire d'intégration">
      <formula>LEFT(J21,LEN("Séminaire d'intégration"))="Séminaire d'intégration"</formula>
    </cfRule>
    <cfRule type="beginsWith" dxfId="14662" priority="31210" operator="beginsWith" text="Accueil">
      <formula>LEFT(J21,LEN("Accueil"))="Accueil"</formula>
    </cfRule>
    <cfRule type="beginsWith" dxfId="14661" priority="31211" operator="beginsWith" text="Stage">
      <formula>LEFT(J21,LEN("Stage"))="Stage"</formula>
    </cfRule>
    <cfRule type="beginsWith" dxfId="14660" priority="31212" operator="beginsWith" text="Entreprise">
      <formula>LEFT(J21,LEN("Entreprise"))="Entreprise"</formula>
    </cfRule>
    <cfRule type="beginsWith" dxfId="14659" priority="31213" operator="beginsWith" text="Voltaire">
      <formula>LEFT(J21,LEN("Voltaire"))="Voltaire"</formula>
    </cfRule>
  </conditionalFormatting>
  <conditionalFormatting sqref="J66">
    <cfRule type="beginsWith" dxfId="14658" priority="31215" operator="beginsWith" text="Vacances">
      <formula>LEFT(J66,LEN("Vacances"))="Vacances"</formula>
    </cfRule>
    <cfRule type="beginsWith" dxfId="14657" priority="31216" operator="beginsWith" text="Séminaire d'intégration">
      <formula>LEFT(J66,LEN("Séminaire d'intégration"))="Séminaire d'intégration"</formula>
    </cfRule>
    <cfRule type="beginsWith" dxfId="14656" priority="31217" operator="beginsWith" text="Accueil">
      <formula>LEFT(J66,LEN("Accueil"))="Accueil"</formula>
    </cfRule>
    <cfRule type="beginsWith" dxfId="14655" priority="31218" operator="beginsWith" text="Stage">
      <formula>LEFT(J66,LEN("Stage"))="Stage"</formula>
    </cfRule>
    <cfRule type="beginsWith" dxfId="14654" priority="31219" operator="beginsWith" text="Entreprise">
      <formula>LEFT(J66,LEN("Entreprise"))="Entreprise"</formula>
    </cfRule>
    <cfRule type="beginsWith" dxfId="14653" priority="31220" operator="beginsWith" text="Voltaire">
      <formula>LEFT(J66,LEN("Voltaire"))="Voltaire"</formula>
    </cfRule>
  </conditionalFormatting>
  <conditionalFormatting sqref="J67">
    <cfRule type="beginsWith" dxfId="14652" priority="31187" operator="beginsWith" text="Vacances">
      <formula>LEFT(J67,LEN("Vacances"))="Vacances"</formula>
    </cfRule>
    <cfRule type="beginsWith" dxfId="14651" priority="31188" operator="beginsWith" text="Séminaire d'intégration">
      <formula>LEFT(J67,LEN("Séminaire d'intégration"))="Séminaire d'intégration"</formula>
    </cfRule>
    <cfRule type="beginsWith" dxfId="14650" priority="31189" operator="beginsWith" text="Accueil">
      <formula>LEFT(J67,LEN("Accueil"))="Accueil"</formula>
    </cfRule>
    <cfRule type="beginsWith" dxfId="14649" priority="31190" operator="beginsWith" text="Stage">
      <formula>LEFT(J67,LEN("Stage"))="Stage"</formula>
    </cfRule>
    <cfRule type="beginsWith" dxfId="14648" priority="31191" operator="beginsWith" text="Entreprise">
      <formula>LEFT(J67,LEN("Entreprise"))="Entreprise"</formula>
    </cfRule>
    <cfRule type="beginsWith" dxfId="14647" priority="31192" operator="beginsWith" text="Voltaire">
      <formula>LEFT(J67,LEN("Voltaire"))="Voltaire"</formula>
    </cfRule>
  </conditionalFormatting>
  <conditionalFormatting sqref="J68">
    <cfRule type="beginsWith" dxfId="14646" priority="17943" operator="beginsWith" text="Lancement Projet fil rouge">
      <formula>LEFT(J68,LEN("Lancement Projet fil rouge"))="Lancement Projet fil rouge"</formula>
    </cfRule>
    <cfRule type="beginsWith" dxfId="14645" priority="17944" operator="beginsWith" text="Vacances">
      <formula>LEFT(J68,LEN("Vacances"))="Vacances"</formula>
    </cfRule>
    <cfRule type="beginsWith" dxfId="14644" priority="17945" operator="beginsWith" text="Séminaire d'intégration">
      <formula>LEFT(J68,LEN("Séminaire d'intégration"))="Séminaire d'intégration"</formula>
    </cfRule>
    <cfRule type="beginsWith" dxfId="14643" priority="17946" operator="beginsWith" text="Accueil">
      <formula>LEFT(J68,LEN("Accueil"))="Accueil"</formula>
    </cfRule>
    <cfRule type="beginsWith" dxfId="14642" priority="17947" operator="beginsWith" text="Stage">
      <formula>LEFT(J68,LEN("Stage"))="Stage"</formula>
    </cfRule>
    <cfRule type="beginsWith" dxfId="14641" priority="17948" operator="beginsWith" text="Entreprise">
      <formula>LEFT(J68,LEN("Entreprise"))="Entreprise"</formula>
    </cfRule>
    <cfRule type="beginsWith" dxfId="14640" priority="17949" operator="beginsWith" text="Voltaire">
      <formula>LEFT(J68,LEN("Voltaire"))="Voltaire"</formula>
    </cfRule>
  </conditionalFormatting>
  <conditionalFormatting sqref="J91">
    <cfRule type="beginsWith" dxfId="14639" priority="17912" operator="beginsWith" text="Lancement Projet fil rouge">
      <formula>LEFT(J91,LEN("Lancement Projet fil rouge"))="Lancement Projet fil rouge"</formula>
    </cfRule>
    <cfRule type="beginsWith" dxfId="14638" priority="17913" operator="beginsWith" text="Vacances">
      <formula>LEFT(J91,LEN("Vacances"))="Vacances"</formula>
    </cfRule>
    <cfRule type="beginsWith" dxfId="14637" priority="17914" operator="beginsWith" text="Séminaire d'intégration">
      <formula>LEFT(J91,LEN("Séminaire d'intégration"))="Séminaire d'intégration"</formula>
    </cfRule>
    <cfRule type="beginsWith" dxfId="14636" priority="17915" operator="beginsWith" text="Accueil">
      <formula>LEFT(J91,LEN("Accueil"))="Accueil"</formula>
    </cfRule>
    <cfRule type="beginsWith" dxfId="14635" priority="17916" operator="beginsWith" text="Stage">
      <formula>LEFT(J91,LEN("Stage"))="Stage"</formula>
    </cfRule>
    <cfRule type="beginsWith" dxfId="14634" priority="17917" operator="beginsWith" text="Entreprise">
      <formula>LEFT(J91,LEN("Entreprise"))="Entreprise"</formula>
    </cfRule>
    <cfRule type="beginsWith" dxfId="14633" priority="17918" operator="beginsWith" text="Voltaire">
      <formula>LEFT(J91,LEN("Voltaire"))="Voltaire"</formula>
    </cfRule>
  </conditionalFormatting>
  <conditionalFormatting sqref="J126">
    <cfRule type="beginsWith" dxfId="14632" priority="17879" operator="beginsWith" text="Lancement Projet fil rouge">
      <formula>LEFT(J126,LEN("Lancement Projet fil rouge"))="Lancement Projet fil rouge"</formula>
    </cfRule>
    <cfRule type="beginsWith" dxfId="14631" priority="17880" operator="beginsWith" text="Vacances">
      <formula>LEFT(J126,LEN("Vacances"))="Vacances"</formula>
    </cfRule>
    <cfRule type="beginsWith" dxfId="14630" priority="17881" operator="beginsWith" text="Séminaire d'intégration">
      <formula>LEFT(J126,LEN("Séminaire d'intégration"))="Séminaire d'intégration"</formula>
    </cfRule>
    <cfRule type="beginsWith" dxfId="14629" priority="17882" operator="beginsWith" text="Accueil">
      <formula>LEFT(J126,LEN("Accueil"))="Accueil"</formula>
    </cfRule>
    <cfRule type="beginsWith" dxfId="14628" priority="17883" operator="beginsWith" text="Stage">
      <formula>LEFT(J126,LEN("Stage"))="Stage"</formula>
    </cfRule>
    <cfRule type="beginsWith" dxfId="14627" priority="17884" operator="beginsWith" text="Entreprise">
      <formula>LEFT(J126,LEN("Entreprise"))="Entreprise"</formula>
    </cfRule>
    <cfRule type="beginsWith" dxfId="14626" priority="17885" operator="beginsWith" text="Voltaire">
      <formula>LEFT(J126,LEN("Voltaire"))="Voltaire"</formula>
    </cfRule>
  </conditionalFormatting>
  <conditionalFormatting sqref="J161">
    <cfRule type="beginsWith" dxfId="14625" priority="17789" operator="beginsWith" text="Lancement Projet fil rouge">
      <formula>LEFT(J161,LEN("Lancement Projet fil rouge"))="Lancement Projet fil rouge"</formula>
    </cfRule>
    <cfRule type="beginsWith" dxfId="14624" priority="17790" operator="beginsWith" text="Vacances">
      <formula>LEFT(J161,LEN("Vacances"))="Vacances"</formula>
    </cfRule>
    <cfRule type="beginsWith" dxfId="14623" priority="17791" operator="beginsWith" text="Séminaire d'intégration">
      <formula>LEFT(J161,LEN("Séminaire d'intégration"))="Séminaire d'intégration"</formula>
    </cfRule>
    <cfRule type="beginsWith" dxfId="14622" priority="17792" operator="beginsWith" text="Accueil">
      <formula>LEFT(J161,LEN("Accueil"))="Accueil"</formula>
    </cfRule>
    <cfRule type="beginsWith" dxfId="14621" priority="17793" operator="beginsWith" text="Stage">
      <formula>LEFT(J161,LEN("Stage"))="Stage"</formula>
    </cfRule>
    <cfRule type="beginsWith" dxfId="14620" priority="17794" operator="beginsWith" text="Entreprise">
      <formula>LEFT(J161,LEN("Entreprise"))="Entreprise"</formula>
    </cfRule>
    <cfRule type="beginsWith" dxfId="14619" priority="17795" operator="beginsWith" text="Voltaire">
      <formula>LEFT(J161,LEN("Voltaire"))="Voltaire"</formula>
    </cfRule>
  </conditionalFormatting>
  <conditionalFormatting sqref="J172">
    <cfRule type="beginsWith" dxfId="14618" priority="19819" operator="beginsWith" text="Lancement Projet fil rouge">
      <formula>LEFT(J172,LEN("Lancement Projet fil rouge"))="Lancement Projet fil rouge"</formula>
    </cfRule>
    <cfRule type="beginsWith" dxfId="14617" priority="19820" operator="beginsWith" text="Vacances">
      <formula>LEFT(J172,LEN("Vacances"))="Vacances"</formula>
    </cfRule>
    <cfRule type="beginsWith" dxfId="14616" priority="19821" operator="beginsWith" text="Séminaire d'intégration">
      <formula>LEFT(J172,LEN("Séminaire d'intégration"))="Séminaire d'intégration"</formula>
    </cfRule>
    <cfRule type="beginsWith" dxfId="14615" priority="19822" operator="beginsWith" text="Accueil">
      <formula>LEFT(J172,LEN("Accueil"))="Accueil"</formula>
    </cfRule>
    <cfRule type="beginsWith" dxfId="14614" priority="19823" operator="beginsWith" text="Stage">
      <formula>LEFT(J172,LEN("Stage"))="Stage"</formula>
    </cfRule>
    <cfRule type="beginsWith" dxfId="14613" priority="19824" operator="beginsWith" text="Entreprise">
      <formula>LEFT(J172,LEN("Entreprise"))="Entreprise"</formula>
    </cfRule>
    <cfRule type="beginsWith" dxfId="14612" priority="19825" operator="beginsWith" text="Voltaire">
      <formula>LEFT(J172,LEN("Voltaire"))="Voltaire"</formula>
    </cfRule>
  </conditionalFormatting>
  <conditionalFormatting sqref="J196">
    <cfRule type="beginsWith" dxfId="14611" priority="19727" operator="beginsWith" text="Lancement Projet fil rouge">
      <formula>LEFT(J196,LEN("Lancement Projet fil rouge"))="Lancement Projet fil rouge"</formula>
    </cfRule>
    <cfRule type="beginsWith" dxfId="14610" priority="19728" operator="beginsWith" text="Vacances">
      <formula>LEFT(J196,LEN("Vacances"))="Vacances"</formula>
    </cfRule>
    <cfRule type="beginsWith" dxfId="14609" priority="19729" operator="beginsWith" text="Séminaire d'intégration">
      <formula>LEFT(J196,LEN("Séminaire d'intégration"))="Séminaire d'intégration"</formula>
    </cfRule>
    <cfRule type="beginsWith" dxfId="14608" priority="19730" operator="beginsWith" text="Accueil">
      <formula>LEFT(J196,LEN("Accueil"))="Accueil"</formula>
    </cfRule>
    <cfRule type="beginsWith" dxfId="14607" priority="19731" operator="beginsWith" text="Stage">
      <formula>LEFT(J196,LEN("Stage"))="Stage"</formula>
    </cfRule>
    <cfRule type="beginsWith" dxfId="14606" priority="19732" operator="beginsWith" text="Entreprise">
      <formula>LEFT(J196,LEN("Entreprise"))="Entreprise"</formula>
    </cfRule>
    <cfRule type="beginsWith" dxfId="14605" priority="19733" operator="beginsWith" text="Voltaire">
      <formula>LEFT(J196,LEN("Voltaire"))="Voltaire"</formula>
    </cfRule>
  </conditionalFormatting>
  <conditionalFormatting sqref="J197">
    <cfRule type="beginsWith" dxfId="14604" priority="14906" operator="beginsWith" text="Lancement Projet fil rouge">
      <formula>LEFT(J197,LEN("Lancement Projet fil rouge"))="Lancement Projet fil rouge"</formula>
    </cfRule>
    <cfRule type="beginsWith" dxfId="14603" priority="14907" operator="beginsWith" text="Vacances">
      <formula>LEFT(J197,LEN("Vacances"))="Vacances"</formula>
    </cfRule>
    <cfRule type="beginsWith" dxfId="14602" priority="14908" operator="beginsWith" text="Séminaire d'intégration">
      <formula>LEFT(J197,LEN("Séminaire d'intégration"))="Séminaire d'intégration"</formula>
    </cfRule>
    <cfRule type="beginsWith" dxfId="14601" priority="14909" operator="beginsWith" text="Accueil">
      <formula>LEFT(J197,LEN("Accueil"))="Accueil"</formula>
    </cfRule>
    <cfRule type="beginsWith" dxfId="14600" priority="14910" operator="beginsWith" text="Stage">
      <formula>LEFT(J197,LEN("Stage"))="Stage"</formula>
    </cfRule>
    <cfRule type="beginsWith" dxfId="14599" priority="14911" operator="beginsWith" text="Entreprise">
      <formula>LEFT(J197,LEN("Entreprise"))="Entreprise"</formula>
    </cfRule>
    <cfRule type="beginsWith" dxfId="14598" priority="14912" operator="beginsWith" text="Voltaire">
      <formula>LEFT(J197,LEN("Voltaire"))="Voltaire"</formula>
    </cfRule>
  </conditionalFormatting>
  <conditionalFormatting sqref="J201">
    <cfRule type="beginsWith" dxfId="14597" priority="31222" operator="beginsWith" text="Vacances">
      <formula>LEFT(J201,LEN("Vacances"))="Vacances"</formula>
    </cfRule>
    <cfRule type="beginsWith" dxfId="14596" priority="31223" operator="beginsWith" text="Séminaire d'intégration">
      <formula>LEFT(J201,LEN("Séminaire d'intégration"))="Séminaire d'intégration"</formula>
    </cfRule>
    <cfRule type="beginsWith" dxfId="14595" priority="31224" operator="beginsWith" text="Accueil">
      <formula>LEFT(J201,LEN("Accueil"))="Accueil"</formula>
    </cfRule>
    <cfRule type="beginsWith" dxfId="14594" priority="31225" operator="beginsWith" text="Stage">
      <formula>LEFT(J201,LEN("Stage"))="Stage"</formula>
    </cfRule>
    <cfRule type="beginsWith" dxfId="14593" priority="31226" operator="beginsWith" text="Entreprise">
      <formula>LEFT(J201,LEN("Entreprise"))="Entreprise"</formula>
    </cfRule>
    <cfRule type="beginsWith" dxfId="14592" priority="31227" operator="beginsWith" text="Voltaire">
      <formula>LEFT(J201,LEN("Voltaire"))="Voltaire"</formula>
    </cfRule>
  </conditionalFormatting>
  <conditionalFormatting sqref="J207">
    <cfRule type="beginsWith" dxfId="14591" priority="19682" operator="beginsWith" text="Lancement Projet fil rouge">
      <formula>LEFT(J207,LEN("Lancement Projet fil rouge"))="Lancement Projet fil rouge"</formula>
    </cfRule>
    <cfRule type="beginsWith" dxfId="14590" priority="19683" operator="beginsWith" text="Vacances">
      <formula>LEFT(J207,LEN("Vacances"))="Vacances"</formula>
    </cfRule>
    <cfRule type="beginsWith" dxfId="14589" priority="19684" operator="beginsWith" text="Séminaire d'intégration">
      <formula>LEFT(J207,LEN("Séminaire d'intégration"))="Séminaire d'intégration"</formula>
    </cfRule>
    <cfRule type="beginsWith" dxfId="14588" priority="19685" operator="beginsWith" text="Accueil">
      <formula>LEFT(J207,LEN("Accueil"))="Accueil"</formula>
    </cfRule>
    <cfRule type="beginsWith" dxfId="14587" priority="19686" operator="beginsWith" text="Stage">
      <formula>LEFT(J207,LEN("Stage"))="Stage"</formula>
    </cfRule>
    <cfRule type="beginsWith" dxfId="14586" priority="19687" operator="beginsWith" text="Entreprise">
      <formula>LEFT(J207,LEN("Entreprise"))="Entreprise"</formula>
    </cfRule>
    <cfRule type="beginsWith" dxfId="14585" priority="19688" operator="beginsWith" text="Voltaire">
      <formula>LEFT(J207,LEN("Voltaire"))="Voltaire"</formula>
    </cfRule>
  </conditionalFormatting>
  <conditionalFormatting sqref="J221">
    <cfRule type="beginsWith" dxfId="14584" priority="17733" operator="beginsWith" text="Lancement Projet fil rouge">
      <formula>LEFT(J221,LEN("Lancement Projet fil rouge"))="Lancement Projet fil rouge"</formula>
    </cfRule>
    <cfRule type="beginsWith" dxfId="14583" priority="17734" operator="beginsWith" text="Vacances">
      <formula>LEFT(J221,LEN("Vacances"))="Vacances"</formula>
    </cfRule>
    <cfRule type="beginsWith" dxfId="14582" priority="17735" operator="beginsWith" text="Séminaire d'intégration">
      <formula>LEFT(J221,LEN("Séminaire d'intégration"))="Séminaire d'intégration"</formula>
    </cfRule>
    <cfRule type="beginsWith" dxfId="14581" priority="17736" operator="beginsWith" text="Accueil">
      <formula>LEFT(J221,LEN("Accueil"))="Accueil"</formula>
    </cfRule>
    <cfRule type="beginsWith" dxfId="14580" priority="17737" operator="beginsWith" text="Stage">
      <formula>LEFT(J221,LEN("Stage"))="Stage"</formula>
    </cfRule>
    <cfRule type="beginsWith" dxfId="14579" priority="17738" operator="beginsWith" text="Entreprise">
      <formula>LEFT(J221,LEN("Entreprise"))="Entreprise"</formula>
    </cfRule>
    <cfRule type="beginsWith" dxfId="14578" priority="17739" operator="beginsWith" text="Voltaire">
      <formula>LEFT(J221,LEN("Voltaire"))="Voltaire"</formula>
    </cfRule>
  </conditionalFormatting>
  <conditionalFormatting sqref="J261:J262 J96:J106 J1:J5 J136:J146 J36 J26 J181:J191 BS31:BT125 BT166:BT168 BT171 BT173 BT175:BT178 BT211:BT213 BT215 BS221:BT223 BS225:BT225 BS1:BT2 BS5:BT5 BS241:BT1048576">
    <cfRule type="beginsWith" dxfId="14577" priority="31229" operator="beginsWith" text="Vacances">
      <formula>LEFT(J1,LEN("Vacances"))="Vacances"</formula>
    </cfRule>
  </conditionalFormatting>
  <conditionalFormatting sqref="J261:J262 J96:J106 J181:J191 J1:J5 J136:J146 J36 J26">
    <cfRule type="beginsWith" dxfId="14576" priority="31230" operator="beginsWith" text="Séminaire d'intégration">
      <formula>LEFT(J1,LEN("Séminaire d'intégration"))="Séminaire d'intégration"</formula>
    </cfRule>
    <cfRule type="beginsWith" dxfId="14575" priority="31231" operator="beginsWith" text="Accueil">
      <formula>LEFT(J1,LEN("Accueil"))="Accueil"</formula>
    </cfRule>
    <cfRule type="beginsWith" dxfId="14574" priority="31232" operator="beginsWith" text="Stage">
      <formula>LEFT(J1,LEN("Stage"))="Stage"</formula>
    </cfRule>
    <cfRule type="beginsWith" dxfId="14573" priority="31233" operator="beginsWith" text="Entreprise">
      <formula>LEFT(J1,LEN("Entreprise"))="Entreprise"</formula>
    </cfRule>
    <cfRule type="beginsWith" dxfId="14572" priority="31234" operator="beginsWith" text="Voltaire">
      <formula>LEFT(J1,LEN("Voltaire"))="Voltaire"</formula>
    </cfRule>
  </conditionalFormatting>
  <conditionalFormatting sqref="J26:L26">
    <cfRule type="beginsWith" dxfId="14571" priority="30895" operator="beginsWith" text="Lancement Projet fil rouge">
      <formula>LEFT(J26,LEN("Lancement Projet fil rouge"))="Lancement Projet fil rouge"</formula>
    </cfRule>
  </conditionalFormatting>
  <conditionalFormatting sqref="J21:M25">
    <cfRule type="beginsWith" dxfId="14570" priority="31207" operator="beginsWith" text="Lancement Projet fil rouge">
      <formula>LEFT(J21,LEN("Lancement Projet fil rouge"))="Lancement Projet fil rouge"</formula>
    </cfRule>
  </conditionalFormatting>
  <conditionalFormatting sqref="J201:N201">
    <cfRule type="beginsWith" dxfId="14569" priority="31221" operator="beginsWith" text="Lancement Projet fil rouge">
      <formula>LEFT(J201,LEN("Lancement Projet fil rouge"))="Lancement Projet fil rouge"</formula>
    </cfRule>
  </conditionalFormatting>
  <conditionalFormatting sqref="J1:O5 J96:J106 J136:J146 J181:J191 A261:J262">
    <cfRule type="beginsWith" dxfId="14568" priority="31228" operator="beginsWith" text="Lancement Projet fil rouge">
      <formula>LEFT(A1,LEN("Lancement Projet fil rouge"))="Lancement Projet fil rouge"</formula>
    </cfRule>
  </conditionalFormatting>
  <conditionalFormatting sqref="J66:O67">
    <cfRule type="beginsWith" dxfId="14567" priority="31186" operator="beginsWith" text="Lancement Projet fil rouge">
      <formula>LEFT(J66,LEN("Lancement Projet fil rouge"))="Lancement Projet fil rouge"</formula>
    </cfRule>
  </conditionalFormatting>
  <conditionalFormatting sqref="K6:K10 DD6:DD10 DW6:DW10 AJ6:AJ10 AX6:AX10">
    <cfRule type="notContainsBlanks" dxfId="14566" priority="18340">
      <formula>LEN(TRIM(K6))&gt;0</formula>
    </cfRule>
  </conditionalFormatting>
  <conditionalFormatting sqref="K11:K15">
    <cfRule type="notContainsBlanks" dxfId="14565" priority="9156">
      <formula>LEN(TRIM(K11))&gt;0</formula>
    </cfRule>
  </conditionalFormatting>
  <conditionalFormatting sqref="K16:K26 DD16:DD35 DW16:DW35 AJ16:AJ61 AX16:AX65 K31 K36:K60 DD46:DD54 DW46:DW95 DD56:DD86 AJ66:AJ67 K66:K68 K71:K120 AX71:AX180 AJ71:AJ260 DD89:DD95 DD106:DD140 DW106:DW235 K131:K160 DD146:DD172 K166 K171:K172 K176:K185 DD176:DD206 AX188:AX215 K196 K199:K201 DD209:DD216 K216 DD221:DD260 K226:K260 AX226:AX260 DW241:DW260 AX218:AX220">
    <cfRule type="notContainsBlanks" dxfId="14564" priority="32063">
      <formula>LEN(TRIM(K16))&gt;0</formula>
    </cfRule>
  </conditionalFormatting>
  <conditionalFormatting sqref="K55">
    <cfRule type="beginsWith" dxfId="14563" priority="31787" operator="beginsWith" text="TOPHYC">
      <formula>LEFT(K55,LEN("TOPHYC"))="TOPHYC"</formula>
    </cfRule>
    <cfRule type="beginsWith" dxfId="14562" priority="31788" operator="beginsWith" text="Global Exam">
      <formula>LEFT(K55,LEN("Global Exam"))="Global Exam"</formula>
    </cfRule>
    <cfRule type="beginsWith" dxfId="14561" priority="31789" operator="beginsWith" text="TOMIC">
      <formula>LEFT(K55,LEN("TOMIC"))="TOMIC"</formula>
    </cfRule>
  </conditionalFormatting>
  <conditionalFormatting sqref="K61:K65">
    <cfRule type="beginsWith" dxfId="14560" priority="17919" operator="beginsWith" text="Lancement Projet fil rouge">
      <formula>LEFT(K61,LEN("Lancement Projet fil rouge"))="Lancement Projet fil rouge"</formula>
    </cfRule>
    <cfRule type="beginsWith" dxfId="14559" priority="17920" operator="beginsWith" text="Vacances">
      <formula>LEFT(K61,LEN("Vacances"))="Vacances"</formula>
    </cfRule>
    <cfRule type="beginsWith" dxfId="14558" priority="17921" operator="beginsWith" text="Séminaire d'intégration">
      <formula>LEFT(K61,LEN("Séminaire d'intégration"))="Séminaire d'intégration"</formula>
    </cfRule>
    <cfRule type="beginsWith" dxfId="14557" priority="17922" operator="beginsWith" text="Accueil">
      <formula>LEFT(K61,LEN("Accueil"))="Accueil"</formula>
    </cfRule>
    <cfRule type="beginsWith" dxfId="14556" priority="17923" operator="beginsWith" text="Stage">
      <formula>LEFT(K61,LEN("Stage"))="Stage"</formula>
    </cfRule>
    <cfRule type="beginsWith" dxfId="14555" priority="17924" operator="beginsWith" text="Entreprise">
      <formula>LEFT(K61,LEN("Entreprise"))="Entreprise"</formula>
    </cfRule>
    <cfRule type="beginsWith" dxfId="14554" priority="17925" operator="beginsWith" text="Voltaire">
      <formula>LEFT(K61,LEN("Voltaire"))="Voltaire"</formula>
    </cfRule>
    <cfRule type="notContainsBlanks" dxfId="14553" priority="17926">
      <formula>LEN(TRIM(K61))&gt;0</formula>
    </cfRule>
  </conditionalFormatting>
  <conditionalFormatting sqref="K121:K125">
    <cfRule type="beginsWith" dxfId="14552" priority="10519" operator="beginsWith" text="Lancement Projet fil rouge">
      <formula>LEFT(K121,LEN("Lancement Projet fil rouge"))="Lancement Projet fil rouge"</formula>
    </cfRule>
    <cfRule type="beginsWith" dxfId="14551" priority="10520" operator="beginsWith" text="Vacances">
      <formula>LEFT(K121,LEN("Vacances"))="Vacances"</formula>
    </cfRule>
    <cfRule type="beginsWith" dxfId="14550" priority="10521" operator="beginsWith" text="Séminaire d'intégration">
      <formula>LEFT(K121,LEN("Séminaire d'intégration"))="Séminaire d'intégration"</formula>
    </cfRule>
    <cfRule type="beginsWith" dxfId="14549" priority="10522" operator="beginsWith" text="Accueil">
      <formula>LEFT(K121,LEN("Accueil"))="Accueil"</formula>
    </cfRule>
    <cfRule type="beginsWith" dxfId="14548" priority="10523" operator="beginsWith" text="Stage">
      <formula>LEFT(K121,LEN("Stage"))="Stage"</formula>
    </cfRule>
    <cfRule type="beginsWith" dxfId="14547" priority="10524" operator="beginsWith" text="Entreprise">
      <formula>LEFT(K121,LEN("Entreprise"))="Entreprise"</formula>
    </cfRule>
    <cfRule type="beginsWith" dxfId="14546" priority="10525" operator="beginsWith" text="Voltaire">
      <formula>LEFT(K121,LEN("Voltaire"))="Voltaire"</formula>
    </cfRule>
    <cfRule type="notContainsBlanks" dxfId="14545" priority="10526">
      <formula>LEN(TRIM(K121))&gt;0</formula>
    </cfRule>
  </conditionalFormatting>
  <conditionalFormatting sqref="K126:K130">
    <cfRule type="notContainsBlanks" dxfId="14544" priority="17896">
      <formula>LEN(TRIM(K126))&gt;0</formula>
    </cfRule>
  </conditionalFormatting>
  <conditionalFormatting sqref="K161">
    <cfRule type="beginsWith" dxfId="14543" priority="17828" operator="beginsWith" text="Lancement Projet fil rouge">
      <formula>LEFT(K161,LEN("Lancement Projet fil rouge"))="Lancement Projet fil rouge"</formula>
    </cfRule>
    <cfRule type="beginsWith" dxfId="14542" priority="17829" operator="beginsWith" text="Vacances">
      <formula>LEFT(K161,LEN("Vacances"))="Vacances"</formula>
    </cfRule>
    <cfRule type="beginsWith" dxfId="14541" priority="17830" operator="beginsWith" text="Séminaire d'intégration">
      <formula>LEFT(K161,LEN("Séminaire d'intégration"))="Séminaire d'intégration"</formula>
    </cfRule>
    <cfRule type="beginsWith" dxfId="14540" priority="17831" operator="beginsWith" text="Accueil">
      <formula>LEFT(K161,LEN("Accueil"))="Accueil"</formula>
    </cfRule>
    <cfRule type="beginsWith" dxfId="14539" priority="17832" operator="beginsWith" text="Stage">
      <formula>LEFT(K161,LEN("Stage"))="Stage"</formula>
    </cfRule>
    <cfRule type="beginsWith" dxfId="14538" priority="17833" operator="beginsWith" text="Entreprise">
      <formula>LEFT(K161,LEN("Entreprise"))="Entreprise"</formula>
    </cfRule>
    <cfRule type="beginsWith" dxfId="14537" priority="17834" operator="beginsWith" text="Voltaire">
      <formula>LEFT(K161,LEN("Voltaire"))="Voltaire"</formula>
    </cfRule>
    <cfRule type="notContainsBlanks" dxfId="14536" priority="17835">
      <formula>LEN(TRIM(K161))&gt;0</formula>
    </cfRule>
  </conditionalFormatting>
  <conditionalFormatting sqref="K191:K194">
    <cfRule type="beginsWith" dxfId="14535" priority="17820" operator="beginsWith" text="Lancement Projet fil rouge">
      <formula>LEFT(K191,LEN("Lancement Projet fil rouge"))="Lancement Projet fil rouge"</formula>
    </cfRule>
    <cfRule type="beginsWith" dxfId="14534" priority="17821" operator="beginsWith" text="Vacances">
      <formula>LEFT(K191,LEN("Vacances"))="Vacances"</formula>
    </cfRule>
    <cfRule type="beginsWith" dxfId="14533" priority="17822" operator="beginsWith" text="Séminaire d'intégration">
      <formula>LEFT(K191,LEN("Séminaire d'intégration"))="Séminaire d'intégration"</formula>
    </cfRule>
    <cfRule type="beginsWith" dxfId="14532" priority="17823" operator="beginsWith" text="Accueil">
      <formula>LEFT(K191,LEN("Accueil"))="Accueil"</formula>
    </cfRule>
    <cfRule type="beginsWith" dxfId="14531" priority="17824" operator="beginsWith" text="Stage">
      <formula>LEFT(K191,LEN("Stage"))="Stage"</formula>
    </cfRule>
    <cfRule type="beginsWith" dxfId="14530" priority="17825" operator="beginsWith" text="Entreprise">
      <formula>LEFT(K191,LEN("Entreprise"))="Entreprise"</formula>
    </cfRule>
    <cfRule type="beginsWith" dxfId="14529" priority="17826" operator="beginsWith" text="Voltaire">
      <formula>LEFT(K191,LEN("Voltaire"))="Voltaire"</formula>
    </cfRule>
    <cfRule type="notContainsBlanks" dxfId="14528" priority="17827">
      <formula>LEN(TRIM(K191))&gt;0</formula>
    </cfRule>
  </conditionalFormatting>
  <conditionalFormatting sqref="K195 K186:K190">
    <cfRule type="notContainsBlanks" dxfId="14527" priority="32065">
      <formula>LEN(TRIM(K186))&gt;0</formula>
    </cfRule>
  </conditionalFormatting>
  <conditionalFormatting sqref="K195">
    <cfRule type="notContainsBlanks" dxfId="14526" priority="31833">
      <formula>LEN(TRIM(K195))&gt;0</formula>
    </cfRule>
  </conditionalFormatting>
  <conditionalFormatting sqref="K206:K207">
    <cfRule type="beginsWith" dxfId="14525" priority="31235" operator="beginsWith" text="Lancement Projet fil rouge">
      <formula>LEFT(K206,LEN("Lancement Projet fil rouge"))="Lancement Projet fil rouge"</formula>
    </cfRule>
    <cfRule type="beginsWith" dxfId="14524" priority="31236" operator="beginsWith" text="Vacances">
      <formula>LEFT(K206,LEN("Vacances"))="Vacances"</formula>
    </cfRule>
    <cfRule type="beginsWith" dxfId="14523" priority="31237" operator="beginsWith" text="Séminaire d'intégration">
      <formula>LEFT(K206,LEN("Séminaire d'intégration"))="Séminaire d'intégration"</formula>
    </cfRule>
    <cfRule type="beginsWith" dxfId="14522" priority="31238" operator="beginsWith" text="Accueil">
      <formula>LEFT(K206,LEN("Accueil"))="Accueil"</formula>
    </cfRule>
    <cfRule type="beginsWith" dxfId="14521" priority="31239" operator="beginsWith" text="Stage">
      <formula>LEFT(K206,LEN("Stage"))="Stage"</formula>
    </cfRule>
    <cfRule type="beginsWith" dxfId="14520" priority="31240" operator="beginsWith" text="Entreprise">
      <formula>LEFT(K206,LEN("Entreprise"))="Entreprise"</formula>
    </cfRule>
    <cfRule type="beginsWith" dxfId="14519" priority="31241" operator="beginsWith" text="Voltaire">
      <formula>LEFT(K206,LEN("Voltaire"))="Voltaire"</formula>
    </cfRule>
    <cfRule type="notContainsBlanks" dxfId="14518" priority="31242">
      <formula>LEN(TRIM(K206))&gt;0</formula>
    </cfRule>
  </conditionalFormatting>
  <conditionalFormatting sqref="K211">
    <cfRule type="beginsWith" dxfId="14517" priority="17758" operator="beginsWith" text="Lancement Projet fil rouge">
      <formula>LEFT(K211,LEN("Lancement Projet fil rouge"))="Lancement Projet fil rouge"</formula>
    </cfRule>
    <cfRule type="beginsWith" dxfId="14516" priority="17759" operator="beginsWith" text="Vacances">
      <formula>LEFT(K211,LEN("Vacances"))="Vacances"</formula>
    </cfRule>
    <cfRule type="beginsWith" dxfId="14515" priority="17760" operator="beginsWith" text="Séminaire d'intégration">
      <formula>LEFT(K211,LEN("Séminaire d'intégration"))="Séminaire d'intégration"</formula>
    </cfRule>
    <cfRule type="beginsWith" dxfId="14514" priority="17761" operator="beginsWith" text="Accueil">
      <formula>LEFT(K211,LEN("Accueil"))="Accueil"</formula>
    </cfRule>
    <cfRule type="beginsWith" dxfId="14513" priority="17762" operator="beginsWith" text="Stage">
      <formula>LEFT(K211,LEN("Stage"))="Stage"</formula>
    </cfRule>
    <cfRule type="beginsWith" dxfId="14512" priority="17763" operator="beginsWith" text="Entreprise">
      <formula>LEFT(K211,LEN("Entreprise"))="Entreprise"</formula>
    </cfRule>
    <cfRule type="beginsWith" dxfId="14511" priority="17764" operator="beginsWith" text="Voltaire">
      <formula>LEFT(K211,LEN("Voltaire"))="Voltaire"</formula>
    </cfRule>
    <cfRule type="notContainsBlanks" dxfId="14510" priority="17765">
      <formula>LEN(TRIM(K211))&gt;0</formula>
    </cfRule>
  </conditionalFormatting>
  <conditionalFormatting sqref="K212:K215">
    <cfRule type="beginsWith" dxfId="14509" priority="17750" operator="beginsWith" text="Lancement Projet fil rouge">
      <formula>LEFT(K212,LEN("Lancement Projet fil rouge"))="Lancement Projet fil rouge"</formula>
    </cfRule>
    <cfRule type="beginsWith" dxfId="14508" priority="17751" operator="beginsWith" text="Vacances">
      <formula>LEFT(K212,LEN("Vacances"))="Vacances"</formula>
    </cfRule>
    <cfRule type="beginsWith" dxfId="14507" priority="17752" operator="beginsWith" text="Séminaire d'intégration">
      <formula>LEFT(K212,LEN("Séminaire d'intégration"))="Séminaire d'intégration"</formula>
    </cfRule>
    <cfRule type="beginsWith" dxfId="14506" priority="17753" operator="beginsWith" text="Accueil">
      <formula>LEFT(K212,LEN("Accueil"))="Accueil"</formula>
    </cfRule>
    <cfRule type="beginsWith" dxfId="14505" priority="17754" operator="beginsWith" text="Stage">
      <formula>LEFT(K212,LEN("Stage"))="Stage"</formula>
    </cfRule>
    <cfRule type="beginsWith" dxfId="14504" priority="17755" operator="beginsWith" text="Entreprise">
      <formula>LEFT(K212,LEN("Entreprise"))="Entreprise"</formula>
    </cfRule>
    <cfRule type="beginsWith" dxfId="14503" priority="17756" operator="beginsWith" text="Voltaire">
      <formula>LEFT(K212,LEN("Voltaire"))="Voltaire"</formula>
    </cfRule>
    <cfRule type="notContainsBlanks" dxfId="14502" priority="17757">
      <formula>LEN(TRIM(K212))&gt;0</formula>
    </cfRule>
  </conditionalFormatting>
  <conditionalFormatting sqref="K216:K220">
    <cfRule type="beginsWith" dxfId="14501" priority="31251" operator="beginsWith" text="Lancement Projet fil rouge">
      <formula>LEFT(K216,LEN("Lancement Projet fil rouge"))="Lancement Projet fil rouge"</formula>
    </cfRule>
  </conditionalFormatting>
  <conditionalFormatting sqref="K217:K220">
    <cfRule type="beginsWith" dxfId="14500" priority="31252" operator="beginsWith" text="Vacances">
      <formula>LEFT(K217,LEN("Vacances"))="Vacances"</formula>
    </cfRule>
    <cfRule type="beginsWith" dxfId="14499" priority="31253" operator="beginsWith" text="Séminaire d'intégration">
      <formula>LEFT(K217,LEN("Séminaire d'intégration"))="Séminaire d'intégration"</formula>
    </cfRule>
    <cfRule type="beginsWith" dxfId="14498" priority="31254" operator="beginsWith" text="Accueil">
      <formula>LEFT(K217,LEN("Accueil"))="Accueil"</formula>
    </cfRule>
    <cfRule type="beginsWith" dxfId="14497" priority="31255" operator="beginsWith" text="Stage">
      <formula>LEFT(K217,LEN("Stage"))="Stage"</formula>
    </cfRule>
    <cfRule type="beginsWith" dxfId="14496" priority="31256" operator="beginsWith" text="Entreprise">
      <formula>LEFT(K217,LEN("Entreprise"))="Entreprise"</formula>
    </cfRule>
    <cfRule type="beginsWith" dxfId="14495" priority="31257" operator="beginsWith" text="Voltaire">
      <formula>LEFT(K217,LEN("Voltaire"))="Voltaire"</formula>
    </cfRule>
    <cfRule type="notContainsBlanks" dxfId="14494" priority="31258">
      <formula>LEN(TRIM(K217))&gt;0</formula>
    </cfRule>
  </conditionalFormatting>
  <conditionalFormatting sqref="K221">
    <cfRule type="notContainsBlanks" dxfId="14493" priority="10351">
      <formula>LEN(TRIM(K221))&gt;0</formula>
    </cfRule>
  </conditionalFormatting>
  <conditionalFormatting sqref="K222:K225">
    <cfRule type="notContainsBlanks" dxfId="14492" priority="10389">
      <formula>LEN(TRIM(K222))&gt;0</formula>
    </cfRule>
  </conditionalFormatting>
  <conditionalFormatting sqref="K261:K265">
    <cfRule type="notContainsBlanks" dxfId="14491" priority="31841">
      <formula>LEN(TRIM(K261))&gt;0</formula>
    </cfRule>
  </conditionalFormatting>
  <conditionalFormatting sqref="K31:L31">
    <cfRule type="beginsWith" dxfId="14490" priority="30902" operator="beginsWith" text="Lancement Projet fil rouge">
      <formula>LEFT(K31,LEN("Lancement Projet fil rouge"))="Lancement Projet fil rouge"</formula>
    </cfRule>
  </conditionalFormatting>
  <conditionalFormatting sqref="K36:L45">
    <cfRule type="beginsWith" dxfId="14489" priority="30909" operator="beginsWith" text="Lancement Projet fil rouge">
      <formula>LEFT(K36,LEN("Lancement Projet fil rouge"))="Lancement Projet fil rouge"</formula>
    </cfRule>
  </conditionalFormatting>
  <conditionalFormatting sqref="K166:L166">
    <cfRule type="beginsWith" dxfId="14488" priority="31101" operator="beginsWith" text="Lancement Projet fil rouge">
      <formula>LEFT(K166,LEN("Lancement Projet fil rouge"))="Lancement Projet fil rouge"</formula>
    </cfRule>
  </conditionalFormatting>
  <conditionalFormatting sqref="K222:L225">
    <cfRule type="beginsWith" dxfId="14487" priority="10382" operator="beginsWith" text="Lancement Projet fil rouge">
      <formula>LEFT(K222,LEN("Lancement Projet fil rouge"))="Lancement Projet fil rouge"</formula>
    </cfRule>
    <cfRule type="beginsWith" dxfId="14486" priority="10383" operator="beginsWith" text="Vacances">
      <formula>LEFT(K222,LEN("Vacances"))="Vacances"</formula>
    </cfRule>
    <cfRule type="beginsWith" dxfId="14485" priority="10384" operator="beginsWith" text="Séminaire d'intégration">
      <formula>LEFT(K222,LEN("Séminaire d'intégration"))="Séminaire d'intégration"</formula>
    </cfRule>
    <cfRule type="beginsWith" dxfId="14484" priority="10385" operator="beginsWith" text="Accueil">
      <formula>LEFT(K222,LEN("Accueil"))="Accueil"</formula>
    </cfRule>
    <cfRule type="beginsWith" dxfId="14483" priority="10386" operator="beginsWith" text="Stage">
      <formula>LEFT(K222,LEN("Stage"))="Stage"</formula>
    </cfRule>
    <cfRule type="beginsWith" dxfId="14482" priority="10387" operator="beginsWith" text="Entreprise">
      <formula>LEFT(K222,LEN("Entreprise"))="Entreprise"</formula>
    </cfRule>
    <cfRule type="beginsWith" dxfId="14481" priority="10388" operator="beginsWith" text="Voltaire">
      <formula>LEFT(K222,LEN("Voltaire"))="Voltaire"</formula>
    </cfRule>
  </conditionalFormatting>
  <conditionalFormatting sqref="K11:N15">
    <cfRule type="beginsWith" dxfId="14480" priority="9146" operator="beginsWith" text="Lancement Projet fil rouge">
      <formula>LEFT(K11,LEN("Lancement Projet fil rouge"))="Lancement Projet fil rouge"</formula>
    </cfRule>
    <cfRule type="beginsWith" dxfId="14479" priority="9147" operator="beginsWith" text="Vacances">
      <formula>LEFT(K11,LEN("Vacances"))="Vacances"</formula>
    </cfRule>
    <cfRule type="beginsWith" dxfId="14478" priority="9148" operator="beginsWith" text="Séminaire d'intégration">
      <formula>LEFT(K11,LEN("Séminaire d'intégration"))="Séminaire d'intégration"</formula>
    </cfRule>
    <cfRule type="beginsWith" dxfId="14477" priority="9149" operator="beginsWith" text="Accueil">
      <formula>LEFT(K11,LEN("Accueil"))="Accueil"</formula>
    </cfRule>
    <cfRule type="beginsWith" dxfId="14476" priority="9152" operator="beginsWith" text="Stage">
      <formula>LEFT(K11,LEN("Stage"))="Stage"</formula>
    </cfRule>
    <cfRule type="beginsWith" dxfId="14475" priority="9153" operator="beginsWith" text="Entreprise">
      <formula>LEFT(K11,LEN("Entreprise"))="Entreprise"</formula>
    </cfRule>
    <cfRule type="beginsWith" dxfId="14474" priority="9155" operator="beginsWith" text="Voltaire">
      <formula>LEFT(K11,LEN("Voltaire"))="Voltaire"</formula>
    </cfRule>
  </conditionalFormatting>
  <conditionalFormatting sqref="K126:N128 K130:N130 K129:L129 N129">
    <cfRule type="beginsWith" dxfId="14473" priority="17886" operator="beginsWith" text="Lancement Projet fil rouge">
      <formula>LEFT(K126,LEN("Lancement Projet fil rouge"))="Lancement Projet fil rouge"</formula>
    </cfRule>
    <cfRule type="beginsWith" dxfId="14472" priority="17887" operator="beginsWith" text="Vacances">
      <formula>LEFT(K126,LEN("Vacances"))="Vacances"</formula>
    </cfRule>
    <cfRule type="beginsWith" dxfId="14471" priority="17888" operator="beginsWith" text="Séminaire d'intégration">
      <formula>LEFT(K126,LEN("Séminaire d'intégration"))="Séminaire d'intégration"</formula>
    </cfRule>
    <cfRule type="beginsWith" dxfId="14470" priority="17889" operator="beginsWith" text="Accueil">
      <formula>LEFT(K126,LEN("Accueil"))="Accueil"</formula>
    </cfRule>
    <cfRule type="beginsWith" dxfId="14469" priority="17892" operator="beginsWith" text="Stage">
      <formula>LEFT(K126,LEN("Stage"))="Stage"</formula>
    </cfRule>
    <cfRule type="beginsWith" dxfId="14468" priority="17893" operator="beginsWith" text="Entreprise">
      <formula>LEFT(K126,LEN("Entreprise"))="Entreprise"</formula>
    </cfRule>
    <cfRule type="beginsWith" dxfId="14467" priority="17895" operator="beginsWith" text="Voltaire">
      <formula>LEFT(K126,LEN("Voltaire"))="Voltaire"</formula>
    </cfRule>
  </conditionalFormatting>
  <conditionalFormatting sqref="K181:N185">
    <cfRule type="beginsWith" dxfId="14466" priority="32018" operator="beginsWith" text="Séminaire d'intégration">
      <formula>LEFT(K181,LEN("Séminaire d'intégration"))="Séminaire d'intégration"</formula>
    </cfRule>
    <cfRule type="beginsWith" dxfId="14465" priority="32019" operator="beginsWith" text="Accueil">
      <formula>LEFT(K181,LEN("Accueil"))="Accueil"</formula>
    </cfRule>
    <cfRule type="beginsWith" dxfId="14464" priority="32022" operator="beginsWith" text="Stage">
      <formula>LEFT(K181,LEN("Stage"))="Stage"</formula>
    </cfRule>
    <cfRule type="beginsWith" dxfId="14463" priority="32023" operator="beginsWith" text="Entreprise">
      <formula>LEFT(K181,LEN("Entreprise"))="Entreprise"</formula>
    </cfRule>
    <cfRule type="beginsWith" dxfId="14462" priority="32025" operator="beginsWith" text="Voltaire">
      <formula>LEFT(K181,LEN("Voltaire"))="Voltaire"</formula>
    </cfRule>
  </conditionalFormatting>
  <conditionalFormatting sqref="K186:N190">
    <cfRule type="beginsWith" dxfId="14461" priority="32009" operator="beginsWith" text="Séminaire d'intégration">
      <formula>LEFT(K186,LEN("Séminaire d'intégration"))="Séminaire d'intégration"</formula>
    </cfRule>
    <cfRule type="beginsWith" dxfId="14460" priority="32010" operator="beginsWith" text="Accueil">
      <formula>LEFT(K186,LEN("Accueil"))="Accueil"</formula>
    </cfRule>
    <cfRule type="beginsWith" dxfId="14459" priority="32013" operator="beginsWith" text="Stage">
      <formula>LEFT(K186,LEN("Stage"))="Stage"</formula>
    </cfRule>
    <cfRule type="beginsWith" dxfId="14458" priority="32014" operator="beginsWith" text="Entreprise">
      <formula>LEFT(K186,LEN("Entreprise"))="Entreprise"</formula>
    </cfRule>
    <cfRule type="beginsWith" dxfId="14457" priority="32016" operator="beginsWith" text="Voltaire">
      <formula>LEFT(K186,LEN("Voltaire"))="Voltaire"</formula>
    </cfRule>
  </conditionalFormatting>
  <conditionalFormatting sqref="K221:N221">
    <cfRule type="beginsWith" dxfId="14456" priority="10341" operator="beginsWith" text="Lancement Projet fil rouge">
      <formula>LEFT(K221,LEN("Lancement Projet fil rouge"))="Lancement Projet fil rouge"</formula>
    </cfRule>
    <cfRule type="beginsWith" dxfId="14455" priority="10342" operator="beginsWith" text="Vacances">
      <formula>LEFT(K221,LEN("Vacances"))="Vacances"</formula>
    </cfRule>
    <cfRule type="beginsWith" dxfId="14454" priority="10343" operator="beginsWith" text="Séminaire d'intégration">
      <formula>LEFT(K221,LEN("Séminaire d'intégration"))="Séminaire d'intégration"</formula>
    </cfRule>
    <cfRule type="beginsWith" dxfId="14453" priority="10344" operator="beginsWith" text="Accueil">
      <formula>LEFT(K221,LEN("Accueil"))="Accueil"</formula>
    </cfRule>
    <cfRule type="beginsWith" dxfId="14452" priority="10347" operator="beginsWith" text="Stage">
      <formula>LEFT(K221,LEN("Stage"))="Stage"</formula>
    </cfRule>
    <cfRule type="beginsWith" dxfId="14451" priority="10348" operator="beginsWith" text="Entreprise">
      <formula>LEFT(K221,LEN("Entreprise"))="Entreprise"</formula>
    </cfRule>
    <cfRule type="beginsWith" dxfId="14450" priority="10350" operator="beginsWith" text="Voltaire">
      <formula>LEFT(K221,LEN("Voltaire"))="Voltaire"</formula>
    </cfRule>
  </conditionalFormatting>
  <conditionalFormatting sqref="L26">
    <cfRule type="beginsWith" dxfId="14449" priority="30896" operator="beginsWith" text="Vacances">
      <formula>LEFT(L26,LEN("Vacances"))="Vacances"</formula>
    </cfRule>
    <cfRule type="beginsWith" dxfId="14448" priority="30897" operator="beginsWith" text="Séminaire d'intégration">
      <formula>LEFT(L26,LEN("Séminaire d'intégration"))="Séminaire d'intégration"</formula>
    </cfRule>
    <cfRule type="beginsWith" dxfId="14447" priority="30898" operator="beginsWith" text="Accueil">
      <formula>LEFT(L26,LEN("Accueil"))="Accueil"</formula>
    </cfRule>
    <cfRule type="beginsWith" dxfId="14446" priority="30899" operator="beginsWith" text="Stage">
      <formula>LEFT(L26,LEN("Stage"))="Stage"</formula>
    </cfRule>
    <cfRule type="beginsWith" dxfId="14445" priority="30900" operator="beginsWith" text="Entreprise">
      <formula>LEFT(L26,LEN("Entreprise"))="Entreprise"</formula>
    </cfRule>
    <cfRule type="beginsWith" dxfId="14444" priority="30901" operator="beginsWith" text="Voltaire">
      <formula>LEFT(L26,LEN("Voltaire"))="Voltaire"</formula>
    </cfRule>
  </conditionalFormatting>
  <conditionalFormatting sqref="L31">
    <cfRule type="beginsWith" dxfId="14443" priority="30903" operator="beginsWith" text="Vacances">
      <formula>LEFT(L31,LEN("Vacances"))="Vacances"</formula>
    </cfRule>
    <cfRule type="beginsWith" dxfId="14442" priority="30904" operator="beginsWith" text="Séminaire d'intégration">
      <formula>LEFT(L31,LEN("Séminaire d'intégration"))="Séminaire d'intégration"</formula>
    </cfRule>
    <cfRule type="beginsWith" dxfId="14441" priority="30905" operator="beginsWith" text="Accueil">
      <formula>LEFT(L31,LEN("Accueil"))="Accueil"</formula>
    </cfRule>
    <cfRule type="beginsWith" dxfId="14440" priority="30906" operator="beginsWith" text="Stage">
      <formula>LEFT(L31,LEN("Stage"))="Stage"</formula>
    </cfRule>
    <cfRule type="beginsWith" dxfId="14439" priority="30907" operator="beginsWith" text="Entreprise">
      <formula>LEFT(L31,LEN("Entreprise"))="Entreprise"</formula>
    </cfRule>
    <cfRule type="beginsWith" dxfId="14438" priority="30908" operator="beginsWith" text="Voltaire">
      <formula>LEFT(L31,LEN("Voltaire"))="Voltaire"</formula>
    </cfRule>
  </conditionalFormatting>
  <conditionalFormatting sqref="L36:L40">
    <cfRule type="beginsWith" dxfId="14437" priority="30910" operator="beginsWith" text="Vacances">
      <formula>LEFT(L36,LEN("Vacances"))="Vacances"</formula>
    </cfRule>
    <cfRule type="beginsWith" dxfId="14436" priority="30911" operator="beginsWith" text="Séminaire d'intégration">
      <formula>LEFT(L36,LEN("Séminaire d'intégration"))="Séminaire d'intégration"</formula>
    </cfRule>
    <cfRule type="beginsWith" dxfId="14435" priority="30912" operator="beginsWith" text="Accueil">
      <formula>LEFT(L36,LEN("Accueil"))="Accueil"</formula>
    </cfRule>
    <cfRule type="beginsWith" dxfId="14434" priority="30913" operator="beginsWith" text="Stage">
      <formula>LEFT(L36,LEN("Stage"))="Stage"</formula>
    </cfRule>
    <cfRule type="beginsWith" dxfId="14433" priority="30914" operator="beginsWith" text="Entreprise">
      <formula>LEFT(L36,LEN("Entreprise"))="Entreprise"</formula>
    </cfRule>
    <cfRule type="beginsWith" dxfId="14432" priority="30915" operator="beginsWith" text="Voltaire">
      <formula>LEFT(L36,LEN("Voltaire"))="Voltaire"</formula>
    </cfRule>
  </conditionalFormatting>
  <conditionalFormatting sqref="L41:L45">
    <cfRule type="beginsWith" dxfId="14431" priority="30917" operator="beginsWith" text="Vacances">
      <formula>LEFT(L41,LEN("Vacances"))="Vacances"</formula>
    </cfRule>
    <cfRule type="beginsWith" dxfId="14430" priority="30918" operator="beginsWith" text="Séminaire d'intégration">
      <formula>LEFT(L41,LEN("Séminaire d'intégration"))="Séminaire d'intégration"</formula>
    </cfRule>
    <cfRule type="beginsWith" dxfId="14429" priority="30919" operator="beginsWith" text="Accueil">
      <formula>LEFT(L41,LEN("Accueil"))="Accueil"</formula>
    </cfRule>
    <cfRule type="beginsWith" dxfId="14428" priority="30920" operator="beginsWith" text="Stage">
      <formula>LEFT(L41,LEN("Stage"))="Stage"</formula>
    </cfRule>
    <cfRule type="beginsWith" dxfId="14427" priority="30921" operator="beginsWith" text="Entreprise">
      <formula>LEFT(L41,LEN("Entreprise"))="Entreprise"</formula>
    </cfRule>
    <cfRule type="beginsWith" dxfId="14426" priority="30922" operator="beginsWith" text="Voltaire">
      <formula>LEFT(L41,LEN("Voltaire"))="Voltaire"</formula>
    </cfRule>
  </conditionalFormatting>
  <conditionalFormatting sqref="L51:L55">
    <cfRule type="beginsWith" dxfId="14425" priority="30923" operator="beginsWith" text="Lancement Projet fil rouge">
      <formula>LEFT(L51,LEN("Lancement Projet fil rouge"))="Lancement Projet fil rouge"</formula>
    </cfRule>
    <cfRule type="beginsWith" dxfId="14424" priority="30924" operator="beginsWith" text="Vacances">
      <formula>LEFT(L51,LEN("Vacances"))="Vacances"</formula>
    </cfRule>
    <cfRule type="beginsWith" dxfId="14423" priority="30925" operator="beginsWith" text="Séminaire d'intégration">
      <formula>LEFT(L51,LEN("Séminaire d'intégration"))="Séminaire d'intégration"</formula>
    </cfRule>
    <cfRule type="beginsWith" dxfId="14422" priority="30926" operator="beginsWith" text="Accueil">
      <formula>LEFT(L51,LEN("Accueil"))="Accueil"</formula>
    </cfRule>
    <cfRule type="beginsWith" dxfId="14421" priority="30927" operator="beginsWith" text="Stage">
      <formula>LEFT(L51,LEN("Stage"))="Stage"</formula>
    </cfRule>
    <cfRule type="beginsWith" dxfId="14420" priority="30928" operator="beginsWith" text="Entreprise">
      <formula>LEFT(L51,LEN("Entreprise"))="Entreprise"</formula>
    </cfRule>
    <cfRule type="beginsWith" dxfId="14419" priority="30929" operator="beginsWith" text="Voltaire">
      <formula>LEFT(L51,LEN("Voltaire"))="Voltaire"</formula>
    </cfRule>
  </conditionalFormatting>
  <conditionalFormatting sqref="L61:L65">
    <cfRule type="beginsWith" dxfId="14418" priority="17991" operator="beginsWith" text="Lancement Projet fil rouge">
      <formula>LEFT(L61,LEN("Lancement Projet fil rouge"))="Lancement Projet fil rouge"</formula>
    </cfRule>
    <cfRule type="beginsWith" dxfId="14417" priority="17992" operator="beginsWith" text="Vacances">
      <formula>LEFT(L61,LEN("Vacances"))="Vacances"</formula>
    </cfRule>
    <cfRule type="beginsWith" dxfId="14416" priority="17993" operator="beginsWith" text="Séminaire d'intégration">
      <formula>LEFT(L61,LEN("Séminaire d'intégration"))="Séminaire d'intégration"</formula>
    </cfRule>
    <cfRule type="beginsWith" dxfId="14415" priority="17994" operator="beginsWith" text="Accueil">
      <formula>LEFT(L61,LEN("Accueil"))="Accueil"</formula>
    </cfRule>
    <cfRule type="beginsWith" dxfId="14414" priority="17995" operator="beginsWith" text="Stage">
      <formula>LEFT(L61,LEN("Stage"))="Stage"</formula>
    </cfRule>
    <cfRule type="beginsWith" dxfId="14413" priority="17996" operator="beginsWith" text="Entreprise">
      <formula>LEFT(L61,LEN("Entreprise"))="Entreprise"</formula>
    </cfRule>
    <cfRule type="beginsWith" dxfId="14412" priority="17997" operator="beginsWith" text="Voltaire">
      <formula>LEFT(L61,LEN("Voltaire"))="Voltaire"</formula>
    </cfRule>
  </conditionalFormatting>
  <conditionalFormatting sqref="L68">
    <cfRule type="beginsWith" dxfId="14411" priority="20103" operator="beginsWith" text="Lancement Projet fil rouge">
      <formula>LEFT(L68,LEN("Lancement Projet fil rouge"))="Lancement Projet fil rouge"</formula>
    </cfRule>
    <cfRule type="beginsWith" dxfId="14410" priority="20104" operator="beginsWith" text="Vacances">
      <formula>LEFT(L68,LEN("Vacances"))="Vacances"</formula>
    </cfRule>
    <cfRule type="beginsWith" dxfId="14409" priority="20105" operator="beginsWith" text="Séminaire d'intégration">
      <formula>LEFT(L68,LEN("Séminaire d'intégration"))="Séminaire d'intégration"</formula>
    </cfRule>
    <cfRule type="beginsWith" dxfId="14408" priority="20106" operator="beginsWith" text="Accueil">
      <formula>LEFT(L68,LEN("Accueil"))="Accueil"</formula>
    </cfRule>
    <cfRule type="beginsWith" dxfId="14407" priority="20107" operator="beginsWith" text="Stage">
      <formula>LEFT(L68,LEN("Stage"))="Stage"</formula>
    </cfRule>
    <cfRule type="beginsWith" dxfId="14406" priority="20108" operator="beginsWith" text="Entreprise">
      <formula>LEFT(L68,LEN("Entreprise"))="Entreprise"</formula>
    </cfRule>
    <cfRule type="beginsWith" dxfId="14405" priority="20109" operator="beginsWith" text="Voltaire">
      <formula>LEFT(L68,LEN("Voltaire"))="Voltaire"</formula>
    </cfRule>
  </conditionalFormatting>
  <conditionalFormatting sqref="L81:L85">
    <cfRule type="beginsWith" dxfId="14404" priority="17957" operator="beginsWith" text="Lancement Projet fil rouge">
      <formula>LEFT(L81,LEN("Lancement Projet fil rouge"))="Lancement Projet fil rouge"</formula>
    </cfRule>
    <cfRule type="beginsWith" dxfId="14403" priority="17958" operator="beginsWith" text="Vacances">
      <formula>LEFT(L81,LEN("Vacances"))="Vacances"</formula>
    </cfRule>
    <cfRule type="beginsWith" dxfId="14402" priority="17959" operator="beginsWith" text="Séminaire d'intégration">
      <formula>LEFT(L81,LEN("Séminaire d'intégration"))="Séminaire d'intégration"</formula>
    </cfRule>
    <cfRule type="beginsWith" dxfId="14401" priority="17960" operator="beginsWith" text="Accueil">
      <formula>LEFT(L81,LEN("Accueil"))="Accueil"</formula>
    </cfRule>
    <cfRule type="beginsWith" dxfId="14400" priority="17961" operator="beginsWith" text="Stage">
      <formula>LEFT(L81,LEN("Stage"))="Stage"</formula>
    </cfRule>
    <cfRule type="beginsWith" dxfId="14399" priority="17962" operator="beginsWith" text="Entreprise">
      <formula>LEFT(L81,LEN("Entreprise"))="Entreprise"</formula>
    </cfRule>
    <cfRule type="beginsWith" dxfId="14398" priority="17963" operator="beginsWith" text="Voltaire">
      <formula>LEFT(L81,LEN("Voltaire"))="Voltaire"</formula>
    </cfRule>
  </conditionalFormatting>
  <conditionalFormatting sqref="L86:L90">
    <cfRule type="beginsWith" dxfId="14397" priority="17950" operator="beginsWith" text="Lancement Projet fil rouge">
      <formula>LEFT(L86,LEN("Lancement Projet fil rouge"))="Lancement Projet fil rouge"</formula>
    </cfRule>
    <cfRule type="beginsWith" dxfId="14396" priority="17951" operator="beginsWith" text="Vacances">
      <formula>LEFT(L86,LEN("Vacances"))="Vacances"</formula>
    </cfRule>
    <cfRule type="beginsWith" dxfId="14395" priority="17952" operator="beginsWith" text="Séminaire d'intégration">
      <formula>LEFT(L86,LEN("Séminaire d'intégration"))="Séminaire d'intégration"</formula>
    </cfRule>
    <cfRule type="beginsWith" dxfId="14394" priority="17953" operator="beginsWith" text="Accueil">
      <formula>LEFT(L86,LEN("Accueil"))="Accueil"</formula>
    </cfRule>
    <cfRule type="beginsWith" dxfId="14393" priority="17954" operator="beginsWith" text="Stage">
      <formula>LEFT(L86,LEN("Stage"))="Stage"</formula>
    </cfRule>
    <cfRule type="beginsWith" dxfId="14392" priority="17955" operator="beginsWith" text="Entreprise">
      <formula>LEFT(L86,LEN("Entreprise"))="Entreprise"</formula>
    </cfRule>
    <cfRule type="beginsWith" dxfId="14391" priority="17956" operator="beginsWith" text="Voltaire">
      <formula>LEFT(L86,LEN("Voltaire"))="Voltaire"</formula>
    </cfRule>
  </conditionalFormatting>
  <conditionalFormatting sqref="L91:L95">
    <cfRule type="beginsWith" dxfId="14390" priority="17905" operator="beginsWith" text="Lancement Projet fil rouge">
      <formula>LEFT(L91,LEN("Lancement Projet fil rouge"))="Lancement Projet fil rouge"</formula>
    </cfRule>
    <cfRule type="beginsWith" dxfId="14389" priority="17906" operator="beginsWith" text="Vacances">
      <formula>LEFT(L91,LEN("Vacances"))="Vacances"</formula>
    </cfRule>
    <cfRule type="beginsWith" dxfId="14388" priority="17907" operator="beginsWith" text="Séminaire d'intégration">
      <formula>LEFT(L91,LEN("Séminaire d'intégration"))="Séminaire d'intégration"</formula>
    </cfRule>
    <cfRule type="beginsWith" dxfId="14387" priority="17908" operator="beginsWith" text="Accueil">
      <formula>LEFT(L91,LEN("Accueil"))="Accueil"</formula>
    </cfRule>
    <cfRule type="beginsWith" dxfId="14386" priority="17909" operator="beginsWith" text="Stage">
      <formula>LEFT(L91,LEN("Stage"))="Stage"</formula>
    </cfRule>
    <cfRule type="beginsWith" dxfId="14385" priority="17910" operator="beginsWith" text="Entreprise">
      <formula>LEFT(L91,LEN("Entreprise"))="Entreprise"</formula>
    </cfRule>
    <cfRule type="beginsWith" dxfId="14384" priority="17911" operator="beginsWith" text="Voltaire">
      <formula>LEFT(L91,LEN("Voltaire"))="Voltaire"</formula>
    </cfRule>
  </conditionalFormatting>
  <conditionalFormatting sqref="L131:L135">
    <cfRule type="beginsWith" dxfId="14383" priority="17864" operator="beginsWith" text="Lancement Projet fil rouge">
      <formula>LEFT(L131,LEN("Lancement Projet fil rouge"))="Lancement Projet fil rouge"</formula>
    </cfRule>
    <cfRule type="beginsWith" dxfId="14382" priority="17865" operator="beginsWith" text="Vacances">
      <formula>LEFT(L131,LEN("Vacances"))="Vacances"</formula>
    </cfRule>
    <cfRule type="beginsWith" dxfId="14381" priority="17866" operator="beginsWith" text="Séminaire d'intégration">
      <formula>LEFT(L131,LEN("Séminaire d'intégration"))="Séminaire d'intégration"</formula>
    </cfRule>
    <cfRule type="beginsWith" dxfId="14380" priority="17867" operator="beginsWith" text="Accueil">
      <formula>LEFT(L131,LEN("Accueil"))="Accueil"</formula>
    </cfRule>
    <cfRule type="beginsWith" dxfId="14379" priority="17868" operator="beginsWith" text="Stage">
      <formula>LEFT(L131,LEN("Stage"))="Stage"</formula>
    </cfRule>
    <cfRule type="beginsWith" dxfId="14378" priority="17869" operator="beginsWith" text="Entreprise">
      <formula>LEFT(L131,LEN("Entreprise"))="Entreprise"</formula>
    </cfRule>
    <cfRule type="beginsWith" dxfId="14377" priority="17870" operator="beginsWith" text="Voltaire">
      <formula>LEFT(L131,LEN("Voltaire"))="Voltaire"</formula>
    </cfRule>
  </conditionalFormatting>
  <conditionalFormatting sqref="L146:L150">
    <cfRule type="beginsWith" dxfId="14376" priority="17857" operator="beginsWith" text="Lancement Projet fil rouge">
      <formula>LEFT(L146,LEN("Lancement Projet fil rouge"))="Lancement Projet fil rouge"</formula>
    </cfRule>
    <cfRule type="beginsWith" dxfId="14375" priority="17858" operator="beginsWith" text="Vacances">
      <formula>LEFT(L146,LEN("Vacances"))="Vacances"</formula>
    </cfRule>
    <cfRule type="beginsWith" dxfId="14374" priority="17859" operator="beginsWith" text="Séminaire d'intégration">
      <formula>LEFT(L146,LEN("Séminaire d'intégration"))="Séminaire d'intégration"</formula>
    </cfRule>
    <cfRule type="beginsWith" dxfId="14373" priority="17860" operator="beginsWith" text="Accueil">
      <formula>LEFT(L146,LEN("Accueil"))="Accueil"</formula>
    </cfRule>
    <cfRule type="beginsWith" dxfId="14372" priority="17861" operator="beginsWith" text="Stage">
      <formula>LEFT(L146,LEN("Stage"))="Stage"</formula>
    </cfRule>
    <cfRule type="beginsWith" dxfId="14371" priority="17862" operator="beginsWith" text="Entreprise">
      <formula>LEFT(L146,LEN("Entreprise"))="Entreprise"</formula>
    </cfRule>
    <cfRule type="beginsWith" dxfId="14370" priority="17863" operator="beginsWith" text="Voltaire">
      <formula>LEFT(L146,LEN("Voltaire"))="Voltaire"</formula>
    </cfRule>
  </conditionalFormatting>
  <conditionalFormatting sqref="L151:L155">
    <cfRule type="beginsWith" dxfId="14369" priority="17850" operator="beginsWith" text="Lancement Projet fil rouge">
      <formula>LEFT(L151,LEN("Lancement Projet fil rouge"))="Lancement Projet fil rouge"</formula>
    </cfRule>
    <cfRule type="beginsWith" dxfId="14368" priority="17851" operator="beginsWith" text="Vacances">
      <formula>LEFT(L151,LEN("Vacances"))="Vacances"</formula>
    </cfRule>
    <cfRule type="beginsWith" dxfId="14367" priority="17852" operator="beginsWith" text="Séminaire d'intégration">
      <formula>LEFT(L151,LEN("Séminaire d'intégration"))="Séminaire d'intégration"</formula>
    </cfRule>
    <cfRule type="beginsWith" dxfId="14366" priority="17853" operator="beginsWith" text="Accueil">
      <formula>LEFT(L151,LEN("Accueil"))="Accueil"</formula>
    </cfRule>
    <cfRule type="beginsWith" dxfId="14365" priority="17854" operator="beginsWith" text="Stage">
      <formula>LEFT(L151,LEN("Stage"))="Stage"</formula>
    </cfRule>
    <cfRule type="beginsWith" dxfId="14364" priority="17855" operator="beginsWith" text="Entreprise">
      <formula>LEFT(L151,LEN("Entreprise"))="Entreprise"</formula>
    </cfRule>
    <cfRule type="beginsWith" dxfId="14363" priority="17856" operator="beginsWith" text="Voltaire">
      <formula>LEFT(L151,LEN("Voltaire"))="Voltaire"</formula>
    </cfRule>
  </conditionalFormatting>
  <conditionalFormatting sqref="L156:L160">
    <cfRule type="beginsWith" dxfId="14362" priority="17843" operator="beginsWith" text="Lancement Projet fil rouge">
      <formula>LEFT(L156,LEN("Lancement Projet fil rouge"))="Lancement Projet fil rouge"</formula>
    </cfRule>
    <cfRule type="beginsWith" dxfId="14361" priority="17844" operator="beginsWith" text="Vacances">
      <formula>LEFT(L156,LEN("Vacances"))="Vacances"</formula>
    </cfRule>
    <cfRule type="beginsWith" dxfId="14360" priority="17845" operator="beginsWith" text="Séminaire d'intégration">
      <formula>LEFT(L156,LEN("Séminaire d'intégration"))="Séminaire d'intégration"</formula>
    </cfRule>
    <cfRule type="beginsWith" dxfId="14359" priority="17846" operator="beginsWith" text="Accueil">
      <formula>LEFT(L156,LEN("Accueil"))="Accueil"</formula>
    </cfRule>
    <cfRule type="beginsWith" dxfId="14358" priority="17847" operator="beginsWith" text="Stage">
      <formula>LEFT(L156,LEN("Stage"))="Stage"</formula>
    </cfRule>
    <cfRule type="beginsWith" dxfId="14357" priority="17848" operator="beginsWith" text="Entreprise">
      <formula>LEFT(L156,LEN("Entreprise"))="Entreprise"</formula>
    </cfRule>
    <cfRule type="beginsWith" dxfId="14356" priority="17849" operator="beginsWith" text="Voltaire">
      <formula>LEFT(L156,LEN("Voltaire"))="Voltaire"</formula>
    </cfRule>
  </conditionalFormatting>
  <conditionalFormatting sqref="L161">
    <cfRule type="beginsWith" dxfId="14355" priority="17836" operator="beginsWith" text="Lancement Projet fil rouge">
      <formula>LEFT(L161,LEN("Lancement Projet fil rouge"))="Lancement Projet fil rouge"</formula>
    </cfRule>
    <cfRule type="beginsWith" dxfId="14354" priority="17837" operator="beginsWith" text="Vacances">
      <formula>LEFT(L161,LEN("Vacances"))="Vacances"</formula>
    </cfRule>
    <cfRule type="beginsWith" dxfId="14353" priority="17838" operator="beginsWith" text="Séminaire d'intégration">
      <formula>LEFT(L161,LEN("Séminaire d'intégration"))="Séminaire d'intégration"</formula>
    </cfRule>
    <cfRule type="beginsWith" dxfId="14352" priority="17839" operator="beginsWith" text="Accueil">
      <formula>LEFT(L161,LEN("Accueil"))="Accueil"</formula>
    </cfRule>
    <cfRule type="beginsWith" dxfId="14351" priority="17840" operator="beginsWith" text="Stage">
      <formula>LEFT(L161,LEN("Stage"))="Stage"</formula>
    </cfRule>
    <cfRule type="beginsWith" dxfId="14350" priority="17841" operator="beginsWith" text="Entreprise">
      <formula>LEFT(L161,LEN("Entreprise"))="Entreprise"</formula>
    </cfRule>
    <cfRule type="beginsWith" dxfId="14349" priority="17842" operator="beginsWith" text="Voltaire">
      <formula>LEFT(L161,LEN("Voltaire"))="Voltaire"</formula>
    </cfRule>
  </conditionalFormatting>
  <conditionalFormatting sqref="L166">
    <cfRule type="beginsWith" dxfId="14348" priority="31102" operator="beginsWith" text="Vacances">
      <formula>LEFT(L166,LEN("Vacances"))="Vacances"</formula>
    </cfRule>
    <cfRule type="beginsWith" dxfId="14347" priority="31103" operator="beginsWith" text="Séminaire d'intégration">
      <formula>LEFT(L166,LEN("Séminaire d'intégration"))="Séminaire d'intégration"</formula>
    </cfRule>
    <cfRule type="beginsWith" dxfId="14346" priority="31104" operator="beginsWith" text="Accueil">
      <formula>LEFT(L166,LEN("Accueil"))="Accueil"</formula>
    </cfRule>
    <cfRule type="beginsWith" dxfId="14345" priority="31105" operator="beginsWith" text="Stage">
      <formula>LEFT(L166,LEN("Stage"))="Stage"</formula>
    </cfRule>
    <cfRule type="beginsWith" dxfId="14344" priority="31106" operator="beginsWith" text="Entreprise">
      <formula>LEFT(L166,LEN("Entreprise"))="Entreprise"</formula>
    </cfRule>
    <cfRule type="beginsWith" dxfId="14343" priority="31107" operator="beginsWith" text="Voltaire">
      <formula>LEFT(L166,LEN("Voltaire"))="Voltaire"</formula>
    </cfRule>
  </conditionalFormatting>
  <conditionalFormatting sqref="L171">
    <cfRule type="beginsWith" dxfId="14342" priority="31108" operator="beginsWith" text="Lancement Projet fil rouge">
      <formula>LEFT(L171,LEN("Lancement Projet fil rouge"))="Lancement Projet fil rouge"</formula>
    </cfRule>
    <cfRule type="beginsWith" dxfId="14341" priority="31109" operator="beginsWith" text="Vacances">
      <formula>LEFT(L171,LEN("Vacances"))="Vacances"</formula>
    </cfRule>
    <cfRule type="beginsWith" dxfId="14340" priority="31110" operator="beginsWith" text="Séminaire d'intégration">
      <formula>LEFT(L171,LEN("Séminaire d'intégration"))="Séminaire d'intégration"</formula>
    </cfRule>
    <cfRule type="beginsWith" dxfId="14339" priority="31111" operator="beginsWith" text="Accueil">
      <formula>LEFT(L171,LEN("Accueil"))="Accueil"</formula>
    </cfRule>
    <cfRule type="beginsWith" dxfId="14338" priority="31112" operator="beginsWith" text="Stage">
      <formula>LEFT(L171,LEN("Stage"))="Stage"</formula>
    </cfRule>
    <cfRule type="beginsWith" dxfId="14337" priority="31113" operator="beginsWith" text="Entreprise">
      <formula>LEFT(L171,LEN("Entreprise"))="Entreprise"</formula>
    </cfRule>
    <cfRule type="beginsWith" dxfId="14336" priority="31114" operator="beginsWith" text="Voltaire">
      <formula>LEFT(L171,LEN("Voltaire"))="Voltaire"</formula>
    </cfRule>
  </conditionalFormatting>
  <conditionalFormatting sqref="L172">
    <cfRule type="beginsWith" dxfId="14335" priority="19812" operator="beginsWith" text="Lancement Projet fil rouge">
      <formula>LEFT(L172,LEN("Lancement Projet fil rouge"))="Lancement Projet fil rouge"</formula>
    </cfRule>
    <cfRule type="beginsWith" dxfId="14334" priority="19813" operator="beginsWith" text="Vacances">
      <formula>LEFT(L172,LEN("Vacances"))="Vacances"</formula>
    </cfRule>
    <cfRule type="beginsWith" dxfId="14333" priority="19814" operator="beginsWith" text="Séminaire d'intégration">
      <formula>LEFT(L172,LEN("Séminaire d'intégration"))="Séminaire d'intégration"</formula>
    </cfRule>
    <cfRule type="beginsWith" dxfId="14332" priority="19815" operator="beginsWith" text="Accueil">
      <formula>LEFT(L172,LEN("Accueil"))="Accueil"</formula>
    </cfRule>
    <cfRule type="beginsWith" dxfId="14331" priority="19816" operator="beginsWith" text="Stage">
      <formula>LEFT(L172,LEN("Stage"))="Stage"</formula>
    </cfRule>
    <cfRule type="beginsWith" dxfId="14330" priority="19817" operator="beginsWith" text="Entreprise">
      <formula>LEFT(L172,LEN("Entreprise"))="Entreprise"</formula>
    </cfRule>
    <cfRule type="beginsWith" dxfId="14329" priority="19818" operator="beginsWith" text="Voltaire">
      <formula>LEFT(L172,LEN("Voltaire"))="Voltaire"</formula>
    </cfRule>
  </conditionalFormatting>
  <conditionalFormatting sqref="L199:L200 BT156:BT158 BT206 BT218">
    <cfRule type="beginsWith" dxfId="14328" priority="9115" operator="beginsWith" text="Lancement Projet fil rouge">
      <formula>LEFT(L156,LEN("Lancement Projet fil rouge"))="Lancement Projet fil rouge"</formula>
    </cfRule>
    <cfRule type="beginsWith" dxfId="14327" priority="9116" operator="beginsWith" text="Vacances">
      <formula>LEFT(L156,LEN("Vacances"))="Vacances"</formula>
    </cfRule>
    <cfRule type="beginsWith" dxfId="14326" priority="9117" operator="beginsWith" text="Séminaire d'intégration">
      <formula>LEFT(L156,LEN("Séminaire d'intégration"))="Séminaire d'intégration"</formula>
    </cfRule>
    <cfRule type="beginsWith" dxfId="14325" priority="9118" operator="beginsWith" text="Accueil">
      <formula>LEFT(L156,LEN("Accueil"))="Accueil"</formula>
    </cfRule>
    <cfRule type="beginsWith" dxfId="14324" priority="9119" operator="beginsWith" text="TOPHYC">
      <formula>LEFT(L156,LEN("TOPHYC"))="TOPHYC"</formula>
    </cfRule>
    <cfRule type="beginsWith" dxfId="14323" priority="9120" operator="beginsWith" text="Global Exam">
      <formula>LEFT(L156,LEN("Global Exam"))="Global Exam"</formula>
    </cfRule>
    <cfRule type="beginsWith" dxfId="14322" priority="9121" operator="beginsWith" text="Stage">
      <formula>LEFT(L156,LEN("Stage"))="Stage"</formula>
    </cfRule>
    <cfRule type="beginsWith" dxfId="14321" priority="9122" operator="beginsWith" text="Entreprise">
      <formula>LEFT(L156,LEN("Entreprise"))="Entreprise"</formula>
    </cfRule>
    <cfRule type="beginsWith" dxfId="14320" priority="9123" operator="beginsWith" text="TOMIC">
      <formula>LEFT(L156,LEN("TOMIC"))="TOMIC"</formula>
    </cfRule>
    <cfRule type="beginsWith" dxfId="14319" priority="9124" operator="beginsWith" text="Voltaire">
      <formula>LEFT(L156,LEN("Voltaire"))="Voltaire"</formula>
    </cfRule>
  </conditionalFormatting>
  <conditionalFormatting sqref="L207">
    <cfRule type="beginsWith" dxfId="14318" priority="19675" operator="beginsWith" text="Lancement Projet fil rouge">
      <formula>LEFT(L207,LEN("Lancement Projet fil rouge"))="Lancement Projet fil rouge"</formula>
    </cfRule>
    <cfRule type="beginsWith" dxfId="14317" priority="19676" operator="beginsWith" text="Vacances">
      <formula>LEFT(L207,LEN("Vacances"))="Vacances"</formula>
    </cfRule>
    <cfRule type="beginsWith" dxfId="14316" priority="19677" operator="beginsWith" text="Séminaire d'intégration">
      <formula>LEFT(L207,LEN("Séminaire d'intégration"))="Séminaire d'intégration"</formula>
    </cfRule>
    <cfRule type="beginsWith" dxfId="14315" priority="19678" operator="beginsWith" text="Accueil">
      <formula>LEFT(L207,LEN("Accueil"))="Accueil"</formula>
    </cfRule>
    <cfRule type="beginsWith" dxfId="14314" priority="19679" operator="beginsWith" text="Stage">
      <formula>LEFT(L207,LEN("Stage"))="Stage"</formula>
    </cfRule>
    <cfRule type="beginsWith" dxfId="14313" priority="19680" operator="beginsWith" text="Entreprise">
      <formula>LEFT(L207,LEN("Entreprise"))="Entreprise"</formula>
    </cfRule>
    <cfRule type="beginsWith" dxfId="14312" priority="19681" operator="beginsWith" text="Voltaire">
      <formula>LEFT(L207,LEN("Voltaire"))="Voltaire"</formula>
    </cfRule>
  </conditionalFormatting>
  <conditionalFormatting sqref="L211">
    <cfRule type="beginsWith" dxfId="14311" priority="17813" operator="beginsWith" text="Lancement Projet fil rouge">
      <formula>LEFT(L211,LEN("Lancement Projet fil rouge"))="Lancement Projet fil rouge"</formula>
    </cfRule>
    <cfRule type="beginsWith" dxfId="14310" priority="17814" operator="beginsWith" text="Vacances">
      <formula>LEFT(L211,LEN("Vacances"))="Vacances"</formula>
    </cfRule>
    <cfRule type="beginsWith" dxfId="14309" priority="17815" operator="beginsWith" text="Séminaire d'intégration">
      <formula>LEFT(L211,LEN("Séminaire d'intégration"))="Séminaire d'intégration"</formula>
    </cfRule>
    <cfRule type="beginsWith" dxfId="14308" priority="17816" operator="beginsWith" text="Accueil">
      <formula>LEFT(L211,LEN("Accueil"))="Accueil"</formula>
    </cfRule>
    <cfRule type="beginsWith" dxfId="14307" priority="17817" operator="beginsWith" text="Stage">
      <formula>LEFT(L211,LEN("Stage"))="Stage"</formula>
    </cfRule>
    <cfRule type="beginsWith" dxfId="14306" priority="17818" operator="beginsWith" text="Entreprise">
      <formula>LEFT(L211,LEN("Entreprise"))="Entreprise"</formula>
    </cfRule>
    <cfRule type="beginsWith" dxfId="14305" priority="17819" operator="beginsWith" text="Voltaire">
      <formula>LEFT(L211,LEN("Voltaire"))="Voltaire"</formula>
    </cfRule>
  </conditionalFormatting>
  <conditionalFormatting sqref="L216:L220">
    <cfRule type="beginsWith" dxfId="14304" priority="17806" operator="beginsWith" text="Lancement Projet fil rouge">
      <formula>LEFT(L216,LEN("Lancement Projet fil rouge"))="Lancement Projet fil rouge"</formula>
    </cfRule>
    <cfRule type="beginsWith" dxfId="14303" priority="17807" operator="beginsWith" text="Vacances">
      <formula>LEFT(L216,LEN("Vacances"))="Vacances"</formula>
    </cfRule>
    <cfRule type="beginsWith" dxfId="14302" priority="17808" operator="beginsWith" text="Séminaire d'intégration">
      <formula>LEFT(L216,LEN("Séminaire d'intégration"))="Séminaire d'intégration"</formula>
    </cfRule>
    <cfRule type="beginsWith" dxfId="14301" priority="17809" operator="beginsWith" text="Accueil">
      <formula>LEFT(L216,LEN("Accueil"))="Accueil"</formula>
    </cfRule>
    <cfRule type="beginsWith" dxfId="14300" priority="17810" operator="beginsWith" text="Stage">
      <formula>LEFT(L216,LEN("Stage"))="Stage"</formula>
    </cfRule>
    <cfRule type="beginsWith" dxfId="14299" priority="17811" operator="beginsWith" text="Entreprise">
      <formula>LEFT(L216,LEN("Entreprise"))="Entreprise"</formula>
    </cfRule>
    <cfRule type="beginsWith" dxfId="14298" priority="17812" operator="beginsWith" text="Voltaire">
      <formula>LEFT(L216,LEN("Voltaire"))="Voltaire"</formula>
    </cfRule>
  </conditionalFormatting>
  <conditionalFormatting sqref="M54">
    <cfRule type="beginsWith" dxfId="14297" priority="10567" operator="beginsWith" text="Lancement Projet fil rouge">
      <formula>LEFT(M54,LEN("Lancement Projet fil rouge"))="Lancement Projet fil rouge"</formula>
    </cfRule>
    <cfRule type="beginsWith" dxfId="14296" priority="10568" operator="beginsWith" text="Vacances">
      <formula>LEFT(M54,LEN("Vacances"))="Vacances"</formula>
    </cfRule>
    <cfRule type="beginsWith" dxfId="14295" priority="10569" operator="beginsWith" text="Séminaire d'intégration">
      <formula>LEFT(M54,LEN("Séminaire d'intégration"))="Séminaire d'intégration"</formula>
    </cfRule>
    <cfRule type="beginsWith" dxfId="14294" priority="10570" operator="beginsWith" text="Accueil">
      <formula>LEFT(M54,LEN("Accueil"))="Accueil"</formula>
    </cfRule>
    <cfRule type="beginsWith" dxfId="14293" priority="10571" operator="beginsWith" text="TOPHYC">
      <formula>LEFT(M54,LEN("TOPHYC"))="TOPHYC"</formula>
    </cfRule>
    <cfRule type="beginsWith" dxfId="14292" priority="10572" operator="beginsWith" text="Global Exam">
      <formula>LEFT(M54,LEN("Global Exam"))="Global Exam"</formula>
    </cfRule>
    <cfRule type="beginsWith" dxfId="14291" priority="10573" operator="beginsWith" text="Stage">
      <formula>LEFT(M54,LEN("Stage"))="Stage"</formula>
    </cfRule>
    <cfRule type="beginsWith" dxfId="14290" priority="10574" operator="beginsWith" text="Entreprise">
      <formula>LEFT(M54,LEN("Entreprise"))="Entreprise"</formula>
    </cfRule>
    <cfRule type="beginsWith" dxfId="14289" priority="10575" operator="beginsWith" text="TOMIC">
      <formula>LEFT(M54,LEN("TOMIC"))="TOMIC"</formula>
    </cfRule>
    <cfRule type="beginsWith" dxfId="14288" priority="10576" operator="beginsWith" text="Voltaire">
      <formula>LEFT(M54,LEN("Voltaire"))="Voltaire"</formula>
    </cfRule>
  </conditionalFormatting>
  <conditionalFormatting sqref="M61:M63 J61">
    <cfRule type="beginsWith" dxfId="14287" priority="18001" operator="beginsWith" text="Lancement Projet fil rouge">
      <formula>LEFT(J61,LEN("Lancement Projet fil rouge"))="Lancement Projet fil rouge"</formula>
    </cfRule>
    <cfRule type="beginsWith" dxfId="14286" priority="18002" operator="beginsWith" text="Vacances">
      <formula>LEFT(J61,LEN("Vacances"))="Vacances"</formula>
    </cfRule>
    <cfRule type="beginsWith" dxfId="14285" priority="18003" operator="beginsWith" text="Séminaire d'intégration">
      <formula>LEFT(J61,LEN("Séminaire d'intégration"))="Séminaire d'intégration"</formula>
    </cfRule>
    <cfRule type="beginsWith" dxfId="14284" priority="18004" operator="beginsWith" text="Accueil">
      <formula>LEFT(J61,LEN("Accueil"))="Accueil"</formula>
    </cfRule>
    <cfRule type="beginsWith" dxfId="14283" priority="18007" operator="beginsWith" text="Stage">
      <formula>LEFT(J61,LEN("Stage"))="Stage"</formula>
    </cfRule>
    <cfRule type="beginsWith" dxfId="14282" priority="18008" operator="beginsWith" text="Entreprise">
      <formula>LEFT(J61,LEN("Entreprise"))="Entreprise"</formula>
    </cfRule>
    <cfRule type="beginsWith" dxfId="14281" priority="18010" operator="beginsWith" text="Voltaire">
      <formula>LEFT(J61,LEN("Voltaire"))="Voltaire"</formula>
    </cfRule>
  </conditionalFormatting>
  <conditionalFormatting sqref="M61:M63">
    <cfRule type="beginsWith" dxfId="14280" priority="18005" operator="beginsWith" text="TOPHYC">
      <formula>LEFT(M61,LEN("TOPHYC"))="TOPHYC"</formula>
    </cfRule>
    <cfRule type="beginsWith" dxfId="14279" priority="18006" operator="beginsWith" text="Global Exam">
      <formula>LEFT(M61,LEN("Global Exam"))="Global Exam"</formula>
    </cfRule>
    <cfRule type="beginsWith" dxfId="14278" priority="18009" operator="beginsWith" text="TOMIC">
      <formula>LEFT(M61,LEN("TOMIC"))="TOMIC"</formula>
    </cfRule>
  </conditionalFormatting>
  <conditionalFormatting sqref="M64">
    <cfRule type="beginsWith" dxfId="14277" priority="10527" operator="beginsWith" text="Lancement Projet fil rouge">
      <formula>LEFT(M64,LEN("Lancement Projet fil rouge"))="Lancement Projet fil rouge"</formula>
    </cfRule>
    <cfRule type="beginsWith" dxfId="14276" priority="10528" operator="beginsWith" text="Vacances">
      <formula>LEFT(M64,LEN("Vacances"))="Vacances"</formula>
    </cfRule>
    <cfRule type="beginsWith" dxfId="14275" priority="10529" operator="beginsWith" text="Séminaire d'intégration">
      <formula>LEFT(M64,LEN("Séminaire d'intégration"))="Séminaire d'intégration"</formula>
    </cfRule>
    <cfRule type="beginsWith" dxfId="14274" priority="10530" operator="beginsWith" text="Accueil">
      <formula>LEFT(M64,LEN("Accueil"))="Accueil"</formula>
    </cfRule>
    <cfRule type="beginsWith" dxfId="14273" priority="10531" operator="beginsWith" text="TOPHYC">
      <formula>LEFT(M64,LEN("TOPHYC"))="TOPHYC"</formula>
    </cfRule>
    <cfRule type="beginsWith" dxfId="14272" priority="10532" operator="beginsWith" text="Global Exam">
      <formula>LEFT(M64,LEN("Global Exam"))="Global Exam"</formula>
    </cfRule>
    <cfRule type="beginsWith" dxfId="14271" priority="10533" operator="beginsWith" text="Stage">
      <formula>LEFT(M64,LEN("Stage"))="Stage"</formula>
    </cfRule>
    <cfRule type="beginsWith" dxfId="14270" priority="10534" operator="beginsWith" text="Entreprise">
      <formula>LEFT(M64,LEN("Entreprise"))="Entreprise"</formula>
    </cfRule>
    <cfRule type="beginsWith" dxfId="14269" priority="10535" operator="beginsWith" text="TOMIC">
      <formula>LEFT(M64,LEN("TOMIC"))="TOMIC"</formula>
    </cfRule>
    <cfRule type="beginsWith" dxfId="14268" priority="10536" operator="beginsWith" text="Voltaire">
      <formula>LEFT(M64,LEN("Voltaire"))="Voltaire"</formula>
    </cfRule>
  </conditionalFormatting>
  <conditionalFormatting sqref="M65">
    <cfRule type="beginsWith" dxfId="14267" priority="17964" operator="beginsWith" text="Lancement Projet fil rouge">
      <formula>LEFT(M65,LEN("Lancement Projet fil rouge"))="Lancement Projet fil rouge"</formula>
    </cfRule>
    <cfRule type="beginsWith" dxfId="14266" priority="17965" operator="beginsWith" text="Vacances">
      <formula>LEFT(M65,LEN("Vacances"))="Vacances"</formula>
    </cfRule>
    <cfRule type="beginsWith" dxfId="14265" priority="17966" operator="beginsWith" text="Séminaire d'intégration">
      <formula>LEFT(M65,LEN("Séminaire d'intégration"))="Séminaire d'intégration"</formula>
    </cfRule>
    <cfRule type="beginsWith" dxfId="14264" priority="17967" operator="beginsWith" text="Accueil">
      <formula>LEFT(M65,LEN("Accueil"))="Accueil"</formula>
    </cfRule>
    <cfRule type="beginsWith" dxfId="14263" priority="17968" operator="beginsWith" text="TOPHYC">
      <formula>LEFT(M65,LEN("TOPHYC"))="TOPHYC"</formula>
    </cfRule>
    <cfRule type="beginsWith" dxfId="14262" priority="17969" operator="beginsWith" text="Global Exam">
      <formula>LEFT(M65,LEN("Global Exam"))="Global Exam"</formula>
    </cfRule>
    <cfRule type="beginsWith" dxfId="14261" priority="17970" operator="beginsWith" text="Stage">
      <formula>LEFT(M65,LEN("Stage"))="Stage"</formula>
    </cfRule>
    <cfRule type="beginsWith" dxfId="14260" priority="17971" operator="beginsWith" text="Entreprise">
      <formula>LEFT(M65,LEN("Entreprise"))="Entreprise"</formula>
    </cfRule>
    <cfRule type="beginsWith" dxfId="14259" priority="17972" operator="beginsWith" text="TOMIC">
      <formula>LEFT(M65,LEN("TOMIC"))="TOMIC"</formula>
    </cfRule>
    <cfRule type="beginsWith" dxfId="14258" priority="17973" operator="beginsWith" text="Voltaire">
      <formula>LEFT(M65,LEN("Voltaire"))="Voltaire"</formula>
    </cfRule>
  </conditionalFormatting>
  <conditionalFormatting sqref="M69">
    <cfRule type="beginsWith" dxfId="14257" priority="14856" operator="beginsWith" text="Lancement Projet fil rouge">
      <formula>LEFT(M69,LEN("Lancement Projet fil rouge"))="Lancement Projet fil rouge"</formula>
    </cfRule>
    <cfRule type="beginsWith" dxfId="14256" priority="14857" operator="beginsWith" text="Vacances">
      <formula>LEFT(M69,LEN("Vacances"))="Vacances"</formula>
    </cfRule>
    <cfRule type="beginsWith" dxfId="14255" priority="14858" operator="beginsWith" text="Séminaire d'intégration">
      <formula>LEFT(M69,LEN("Séminaire d'intégration"))="Séminaire d'intégration"</formula>
    </cfRule>
    <cfRule type="beginsWith" dxfId="14254" priority="14859" operator="beginsWith" text="Accueil">
      <formula>LEFT(M69,LEN("Accueil"))="Accueil"</formula>
    </cfRule>
    <cfRule type="beginsWith" dxfId="14253" priority="14860" operator="beginsWith" text="TOPHYC">
      <formula>LEFT(M69,LEN("TOPHYC"))="TOPHYC"</formula>
    </cfRule>
    <cfRule type="beginsWith" dxfId="14252" priority="14861" operator="beginsWith" text="Global Exam">
      <formula>LEFT(M69,LEN("Global Exam"))="Global Exam"</formula>
    </cfRule>
    <cfRule type="beginsWith" dxfId="14251" priority="14862" operator="beginsWith" text="Stage">
      <formula>LEFT(M69,LEN("Stage"))="Stage"</formula>
    </cfRule>
    <cfRule type="beginsWith" dxfId="14250" priority="14863" operator="beginsWith" text="Entreprise">
      <formula>LEFT(M69,LEN("Entreprise"))="Entreprise"</formula>
    </cfRule>
    <cfRule type="beginsWith" dxfId="14249" priority="14864" operator="beginsWith" text="TOMIC">
      <formula>LEFT(M69,LEN("TOMIC"))="TOMIC"</formula>
    </cfRule>
    <cfRule type="beginsWith" dxfId="14248" priority="14865" operator="beginsWith" text="Voltaire">
      <formula>LEFT(M69,LEN("Voltaire"))="Voltaire"</formula>
    </cfRule>
  </conditionalFormatting>
  <conditionalFormatting sqref="M109">
    <cfRule type="beginsWith" dxfId="14247" priority="10557" operator="beginsWith" text="Lancement Projet fil rouge">
      <formula>LEFT(M109,LEN("Lancement Projet fil rouge"))="Lancement Projet fil rouge"</formula>
    </cfRule>
    <cfRule type="beginsWith" dxfId="14246" priority="10558" operator="beginsWith" text="Vacances">
      <formula>LEFT(M109,LEN("Vacances"))="Vacances"</formula>
    </cfRule>
    <cfRule type="beginsWith" dxfId="14245" priority="10559" operator="beginsWith" text="Séminaire d'intégration">
      <formula>LEFT(M109,LEN("Séminaire d'intégration"))="Séminaire d'intégration"</formula>
    </cfRule>
    <cfRule type="beginsWith" dxfId="14244" priority="10560" operator="beginsWith" text="Accueil">
      <formula>LEFT(M109,LEN("Accueil"))="Accueil"</formula>
    </cfRule>
    <cfRule type="beginsWith" dxfId="14243" priority="10561" operator="beginsWith" text="TOPHYC">
      <formula>LEFT(M109,LEN("TOPHYC"))="TOPHYC"</formula>
    </cfRule>
    <cfRule type="beginsWith" dxfId="14242" priority="10562" operator="beginsWith" text="Global Exam">
      <formula>LEFT(M109,LEN("Global Exam"))="Global Exam"</formula>
    </cfRule>
    <cfRule type="beginsWith" dxfId="14241" priority="10563" operator="beginsWith" text="Stage">
      <formula>LEFT(M109,LEN("Stage"))="Stage"</formula>
    </cfRule>
    <cfRule type="beginsWith" dxfId="14240" priority="10564" operator="beginsWith" text="Entreprise">
      <formula>LEFT(M109,LEN("Entreprise"))="Entreprise"</formula>
    </cfRule>
    <cfRule type="beginsWith" dxfId="14239" priority="10565" operator="beginsWith" text="TOMIC">
      <formula>LEFT(M109,LEN("TOMIC"))="TOMIC"</formula>
    </cfRule>
    <cfRule type="beginsWith" dxfId="14238" priority="10566" operator="beginsWith" text="Voltaire">
      <formula>LEFT(M109,LEN("Voltaire"))="Voltaire"</formula>
    </cfRule>
  </conditionalFormatting>
  <conditionalFormatting sqref="M129">
    <cfRule type="beginsWith" dxfId="14237" priority="10547" operator="beginsWith" text="Lancement Projet fil rouge">
      <formula>LEFT(M129,LEN("Lancement Projet fil rouge"))="Lancement Projet fil rouge"</formula>
    </cfRule>
    <cfRule type="beginsWith" dxfId="14236" priority="10548" operator="beginsWith" text="Vacances">
      <formula>LEFT(M129,LEN("Vacances"))="Vacances"</formula>
    </cfRule>
    <cfRule type="beginsWith" dxfId="14235" priority="10549" operator="beginsWith" text="Séminaire d'intégration">
      <formula>LEFT(M129,LEN("Séminaire d'intégration"))="Séminaire d'intégration"</formula>
    </cfRule>
    <cfRule type="beginsWith" dxfId="14234" priority="10550" operator="beginsWith" text="Accueil">
      <formula>LEFT(M129,LEN("Accueil"))="Accueil"</formula>
    </cfRule>
    <cfRule type="beginsWith" dxfId="14233" priority="10551" operator="beginsWith" text="TOPHYC">
      <formula>LEFT(M129,LEN("TOPHYC"))="TOPHYC"</formula>
    </cfRule>
    <cfRule type="beginsWith" dxfId="14232" priority="10552" operator="beginsWith" text="Global Exam">
      <formula>LEFT(M129,LEN("Global Exam"))="Global Exam"</formula>
    </cfRule>
    <cfRule type="beginsWith" dxfId="14231" priority="10553" operator="beginsWith" text="Stage">
      <formula>LEFT(M129,LEN("Stage"))="Stage"</formula>
    </cfRule>
    <cfRule type="beginsWith" dxfId="14230" priority="10554" operator="beginsWith" text="Entreprise">
      <formula>LEFT(M129,LEN("Entreprise"))="Entreprise"</formula>
    </cfRule>
    <cfRule type="beginsWith" dxfId="14229" priority="10555" operator="beginsWith" text="TOMIC">
      <formula>LEFT(M129,LEN("TOMIC"))="TOMIC"</formula>
    </cfRule>
    <cfRule type="beginsWith" dxfId="14228" priority="10556" operator="beginsWith" text="Voltaire">
      <formula>LEFT(M129,LEN("Voltaire"))="Voltaire"</formula>
    </cfRule>
  </conditionalFormatting>
  <conditionalFormatting sqref="M134">
    <cfRule type="beginsWith" dxfId="14227" priority="10537" operator="beginsWith" text="Lancement Projet fil rouge">
      <formula>LEFT(M134,LEN("Lancement Projet fil rouge"))="Lancement Projet fil rouge"</formula>
    </cfRule>
    <cfRule type="beginsWith" dxfId="14226" priority="10538" operator="beginsWith" text="Vacances">
      <formula>LEFT(M134,LEN("Vacances"))="Vacances"</formula>
    </cfRule>
    <cfRule type="beginsWith" dxfId="14225" priority="10539" operator="beginsWith" text="Séminaire d'intégration">
      <formula>LEFT(M134,LEN("Séminaire d'intégration"))="Séminaire d'intégration"</formula>
    </cfRule>
    <cfRule type="beginsWith" dxfId="14224" priority="10540" operator="beginsWith" text="Accueil">
      <formula>LEFT(M134,LEN("Accueil"))="Accueil"</formula>
    </cfRule>
    <cfRule type="beginsWith" dxfId="14223" priority="10541" operator="beginsWith" text="TOPHYC">
      <formula>LEFT(M134,LEN("TOPHYC"))="TOPHYC"</formula>
    </cfRule>
    <cfRule type="beginsWith" dxfId="14222" priority="10542" operator="beginsWith" text="Global Exam">
      <formula>LEFT(M134,LEN("Global Exam"))="Global Exam"</formula>
    </cfRule>
    <cfRule type="beginsWith" dxfId="14221" priority="10543" operator="beginsWith" text="Stage">
      <formula>LEFT(M134,LEN("Stage"))="Stage"</formula>
    </cfRule>
    <cfRule type="beginsWith" dxfId="14220" priority="10544" operator="beginsWith" text="Entreprise">
      <formula>LEFT(M134,LEN("Entreprise"))="Entreprise"</formula>
    </cfRule>
    <cfRule type="beginsWith" dxfId="14219" priority="10545" operator="beginsWith" text="TOMIC">
      <formula>LEFT(M134,LEN("TOMIC"))="TOMIC"</formula>
    </cfRule>
    <cfRule type="beginsWith" dxfId="14218" priority="10546" operator="beginsWith" text="Voltaire">
      <formula>LEFT(M134,LEN("Voltaire"))="Voltaire"</formula>
    </cfRule>
  </conditionalFormatting>
  <conditionalFormatting sqref="M146">
    <cfRule type="beginsWith" dxfId="14217" priority="22103" operator="beginsWith" text="Lancement Projet fil rouge">
      <formula>LEFT(M146,LEN("Lancement Projet fil rouge"))="Lancement Projet fil rouge"</formula>
    </cfRule>
    <cfRule type="beginsWith" dxfId="14216" priority="22104" operator="beginsWith" text="Vacances">
      <formula>LEFT(M146,LEN("Vacances"))="Vacances"</formula>
    </cfRule>
    <cfRule type="beginsWith" dxfId="14215" priority="22105" operator="beginsWith" text="Séminaire d'intégration">
      <formula>LEFT(M146,LEN("Séminaire d'intégration"))="Séminaire d'intégration"</formula>
    </cfRule>
    <cfRule type="beginsWith" dxfId="14214" priority="22106" operator="beginsWith" text="Accueil">
      <formula>LEFT(M146,LEN("Accueil"))="Accueil"</formula>
    </cfRule>
    <cfRule type="beginsWith" dxfId="14213" priority="22107" operator="beginsWith" text="TOPHYC">
      <formula>LEFT(M146,LEN("TOPHYC"))="TOPHYC"</formula>
    </cfRule>
    <cfRule type="beginsWith" dxfId="14212" priority="22108" operator="beginsWith" text="Global Exam">
      <formula>LEFT(M146,LEN("Global Exam"))="Global Exam"</formula>
    </cfRule>
    <cfRule type="beginsWith" dxfId="14211" priority="22109" operator="beginsWith" text="Stage">
      <formula>LEFT(M146,LEN("Stage"))="Stage"</formula>
    </cfRule>
    <cfRule type="beginsWith" dxfId="14210" priority="22110" operator="beginsWith" text="Entreprise">
      <formula>LEFT(M146,LEN("Entreprise"))="Entreprise"</formula>
    </cfRule>
    <cfRule type="beginsWith" dxfId="14209" priority="22111" operator="beginsWith" text="TOMIC">
      <formula>LEFT(M146,LEN("TOMIC"))="TOMIC"</formula>
    </cfRule>
    <cfRule type="beginsWith" dxfId="14208" priority="22112" operator="beginsWith" text="Voltaire">
      <formula>LEFT(M146,LEN("Voltaire"))="Voltaire"</formula>
    </cfRule>
  </conditionalFormatting>
  <conditionalFormatting sqref="M169">
    <cfRule type="beginsWith" dxfId="14207" priority="10509" operator="beginsWith" text="Lancement Projet fil rouge">
      <formula>LEFT(M169,LEN("Lancement Projet fil rouge"))="Lancement Projet fil rouge"</formula>
    </cfRule>
    <cfRule type="beginsWith" dxfId="14206" priority="10510" operator="beginsWith" text="Vacances">
      <formula>LEFT(M169,LEN("Vacances"))="Vacances"</formula>
    </cfRule>
    <cfRule type="beginsWith" dxfId="14205" priority="10511" operator="beginsWith" text="Séminaire d'intégration">
      <formula>LEFT(M169,LEN("Séminaire d'intégration"))="Séminaire d'intégration"</formula>
    </cfRule>
    <cfRule type="beginsWith" dxfId="14204" priority="10512" operator="beginsWith" text="Accueil">
      <formula>LEFT(M169,LEN("Accueil"))="Accueil"</formula>
    </cfRule>
    <cfRule type="beginsWith" dxfId="14203" priority="10513" operator="beginsWith" text="TOPHYC">
      <formula>LEFT(M169,LEN("TOPHYC"))="TOPHYC"</formula>
    </cfRule>
    <cfRule type="beginsWith" dxfId="14202" priority="10514" operator="beginsWith" text="Global Exam">
      <formula>LEFT(M169,LEN("Global Exam"))="Global Exam"</formula>
    </cfRule>
    <cfRule type="beginsWith" dxfId="14201" priority="10515" operator="beginsWith" text="Stage">
      <formula>LEFT(M169,LEN("Stage"))="Stage"</formula>
    </cfRule>
    <cfRule type="beginsWith" dxfId="14200" priority="10516" operator="beginsWith" text="Entreprise">
      <formula>LEFT(M169,LEN("Entreprise"))="Entreprise"</formula>
    </cfRule>
    <cfRule type="beginsWith" dxfId="14199" priority="10517" operator="beginsWith" text="TOMIC">
      <formula>LEFT(M169,LEN("TOMIC"))="TOMIC"</formula>
    </cfRule>
    <cfRule type="beginsWith" dxfId="14198" priority="10518" operator="beginsWith" text="Voltaire">
      <formula>LEFT(M169,LEN("Voltaire"))="Voltaire"</formula>
    </cfRule>
  </conditionalFormatting>
  <conditionalFormatting sqref="M174">
    <cfRule type="beginsWith" dxfId="14197" priority="10499" operator="beginsWith" text="Lancement Projet fil rouge">
      <formula>LEFT(M174,LEN("Lancement Projet fil rouge"))="Lancement Projet fil rouge"</formula>
    </cfRule>
    <cfRule type="beginsWith" dxfId="14196" priority="10500" operator="beginsWith" text="Vacances">
      <formula>LEFT(M174,LEN("Vacances"))="Vacances"</formula>
    </cfRule>
    <cfRule type="beginsWith" dxfId="14195" priority="10501" operator="beginsWith" text="Séminaire d'intégration">
      <formula>LEFT(M174,LEN("Séminaire d'intégration"))="Séminaire d'intégration"</formula>
    </cfRule>
    <cfRule type="beginsWith" dxfId="14194" priority="10502" operator="beginsWith" text="Accueil">
      <formula>LEFT(M174,LEN("Accueil"))="Accueil"</formula>
    </cfRule>
    <cfRule type="beginsWith" dxfId="14193" priority="10503" operator="beginsWith" text="TOPHYC">
      <formula>LEFT(M174,LEN("TOPHYC"))="TOPHYC"</formula>
    </cfRule>
    <cfRule type="beginsWith" dxfId="14192" priority="10504" operator="beginsWith" text="Global Exam">
      <formula>LEFT(M174,LEN("Global Exam"))="Global Exam"</formula>
    </cfRule>
    <cfRule type="beginsWith" dxfId="14191" priority="10505" operator="beginsWith" text="Stage">
      <formula>LEFT(M174,LEN("Stage"))="Stage"</formula>
    </cfRule>
    <cfRule type="beginsWith" dxfId="14190" priority="10506" operator="beginsWith" text="Entreprise">
      <formula>LEFT(M174,LEN("Entreprise"))="Entreprise"</formula>
    </cfRule>
    <cfRule type="beginsWith" dxfId="14189" priority="10507" operator="beginsWith" text="TOMIC">
      <formula>LEFT(M174,LEN("TOMIC"))="TOMIC"</formula>
    </cfRule>
    <cfRule type="beginsWith" dxfId="14188" priority="10508" operator="beginsWith" text="Voltaire">
      <formula>LEFT(M174,LEN("Voltaire"))="Voltaire"</formula>
    </cfRule>
  </conditionalFormatting>
  <conditionalFormatting sqref="M204">
    <cfRule type="beginsWith" dxfId="14187" priority="9762" operator="beginsWith" text="Lancement Projet fil rouge">
      <formula>LEFT(M204,LEN("Lancement Projet fil rouge"))="Lancement Projet fil rouge"</formula>
    </cfRule>
    <cfRule type="beginsWith" dxfId="14186" priority="9763" operator="beginsWith" text="Vacances">
      <formula>LEFT(M204,LEN("Vacances"))="Vacances"</formula>
    </cfRule>
    <cfRule type="beginsWith" dxfId="14185" priority="9764" operator="beginsWith" text="Séminaire d'intégration">
      <formula>LEFT(M204,LEN("Séminaire d'intégration"))="Séminaire d'intégration"</formula>
    </cfRule>
    <cfRule type="beginsWith" dxfId="14184" priority="9765" operator="beginsWith" text="Accueil">
      <formula>LEFT(M204,LEN("Accueil"))="Accueil"</formula>
    </cfRule>
    <cfRule type="beginsWith" dxfId="14183" priority="9766" operator="beginsWith" text="TOPHYC">
      <formula>LEFT(M204,LEN("TOPHYC"))="TOPHYC"</formula>
    </cfRule>
    <cfRule type="beginsWith" dxfId="14182" priority="9767" operator="beginsWith" text="Global Exam">
      <formula>LEFT(M204,LEN("Global Exam"))="Global Exam"</formula>
    </cfRule>
    <cfRule type="beginsWith" dxfId="14181" priority="9768" operator="beginsWith" text="Stage">
      <formula>LEFT(M204,LEN("Stage"))="Stage"</formula>
    </cfRule>
    <cfRule type="beginsWith" dxfId="14180" priority="9769" operator="beginsWith" text="Entreprise">
      <formula>LEFT(M204,LEN("Entreprise"))="Entreprise"</formula>
    </cfRule>
    <cfRule type="beginsWith" dxfId="14179" priority="9770" operator="beginsWith" text="TOMIC">
      <formula>LEFT(M204,LEN("TOMIC"))="TOMIC"</formula>
    </cfRule>
    <cfRule type="beginsWith" dxfId="14178" priority="9771" operator="beginsWith" text="Voltaire">
      <formula>LEFT(M204,LEN("Voltaire"))="Voltaire"</formula>
    </cfRule>
  </conditionalFormatting>
  <conditionalFormatting sqref="M222">
    <cfRule type="beginsWith" dxfId="14177" priority="10352" operator="beginsWith" text="Lancement Projet fil rouge">
      <formula>LEFT(M222,LEN("Lancement Projet fil rouge"))="Lancement Projet fil rouge"</formula>
    </cfRule>
    <cfRule type="beginsWith" dxfId="14176" priority="10353" operator="beginsWith" text="Vacances">
      <formula>LEFT(M222,LEN("Vacances"))="Vacances"</formula>
    </cfRule>
    <cfRule type="beginsWith" dxfId="14175" priority="10354" operator="beginsWith" text="Séminaire d'intégration">
      <formula>LEFT(M222,LEN("Séminaire d'intégration"))="Séminaire d'intégration"</formula>
    </cfRule>
    <cfRule type="beginsWith" dxfId="14174" priority="10355" operator="beginsWith" text="Accueil">
      <formula>LEFT(M222,LEN("Accueil"))="Accueil"</formula>
    </cfRule>
    <cfRule type="beginsWith" dxfId="14173" priority="10356" operator="beginsWith" text="TOPHYC">
      <formula>LEFT(M222,LEN("TOPHYC"))="TOPHYC"</formula>
    </cfRule>
    <cfRule type="beginsWith" dxfId="14172" priority="10357" operator="beginsWith" text="Global Exam">
      <formula>LEFT(M222,LEN("Global Exam"))="Global Exam"</formula>
    </cfRule>
    <cfRule type="beginsWith" dxfId="14171" priority="10358" operator="beginsWith" text="Stage">
      <formula>LEFT(M222,LEN("Stage"))="Stage"</formula>
    </cfRule>
    <cfRule type="beginsWith" dxfId="14170" priority="10359" operator="beginsWith" text="Entreprise">
      <formula>LEFT(M222,LEN("Entreprise"))="Entreprise"</formula>
    </cfRule>
    <cfRule type="beginsWith" dxfId="14169" priority="10360" operator="beginsWith" text="TOMIC">
      <formula>LEFT(M222,LEN("TOMIC"))="TOMIC"</formula>
    </cfRule>
    <cfRule type="beginsWith" dxfId="14168" priority="10361" operator="beginsWith" text="Voltaire">
      <formula>LEFT(M222,LEN("Voltaire"))="Voltaire"</formula>
    </cfRule>
  </conditionalFormatting>
  <conditionalFormatting sqref="M223">
    <cfRule type="beginsWith" dxfId="14167" priority="9752" operator="beginsWith" text="Lancement Projet fil rouge">
      <formula>LEFT(M223,LEN("Lancement Projet fil rouge"))="Lancement Projet fil rouge"</formula>
    </cfRule>
    <cfRule type="beginsWith" dxfId="14166" priority="9753" operator="beginsWith" text="Vacances">
      <formula>LEFT(M223,LEN("Vacances"))="Vacances"</formula>
    </cfRule>
    <cfRule type="beginsWith" dxfId="14165" priority="9754" operator="beginsWith" text="Séminaire d'intégration">
      <formula>LEFT(M223,LEN("Séminaire d'intégration"))="Séminaire d'intégration"</formula>
    </cfRule>
    <cfRule type="beginsWith" dxfId="14164" priority="9755" operator="beginsWith" text="Accueil">
      <formula>LEFT(M223,LEN("Accueil"))="Accueil"</formula>
    </cfRule>
    <cfRule type="beginsWith" dxfId="14163" priority="9756" operator="beginsWith" text="TOPHYC">
      <formula>LEFT(M223,LEN("TOPHYC"))="TOPHYC"</formula>
    </cfRule>
    <cfRule type="beginsWith" dxfId="14162" priority="9757" operator="beginsWith" text="Global Exam">
      <formula>LEFT(M223,LEN("Global Exam"))="Global Exam"</formula>
    </cfRule>
    <cfRule type="beginsWith" dxfId="14161" priority="9758" operator="beginsWith" text="Stage">
      <formula>LEFT(M223,LEN("Stage"))="Stage"</formula>
    </cfRule>
    <cfRule type="beginsWith" dxfId="14160" priority="9759" operator="beginsWith" text="Entreprise">
      <formula>LEFT(M223,LEN("Entreprise"))="Entreprise"</formula>
    </cfRule>
    <cfRule type="beginsWith" dxfId="14159" priority="9760" operator="beginsWith" text="TOMIC">
      <formula>LEFT(M223,LEN("TOMIC"))="TOMIC"</formula>
    </cfRule>
    <cfRule type="beginsWith" dxfId="14158" priority="9761" operator="beginsWith" text="Voltaire">
      <formula>LEFT(M223,LEN("Voltaire"))="Voltaire"</formula>
    </cfRule>
  </conditionalFormatting>
  <conditionalFormatting sqref="M224">
    <cfRule type="beginsWith" dxfId="14157" priority="10925" operator="beginsWith" text="Lancement Projet fil rouge">
      <formula>LEFT(M224,LEN("Lancement Projet fil rouge"))="Lancement Projet fil rouge"</formula>
    </cfRule>
    <cfRule type="beginsWith" dxfId="14156" priority="10926" operator="beginsWith" text="Vacances">
      <formula>LEFT(M224,LEN("Vacances"))="Vacances"</formula>
    </cfRule>
    <cfRule type="beginsWith" dxfId="14155" priority="10927" operator="beginsWith" text="Séminaire d'intégration">
      <formula>LEFT(M224,LEN("Séminaire d'intégration"))="Séminaire d'intégration"</formula>
    </cfRule>
    <cfRule type="beginsWith" dxfId="14154" priority="10928" operator="beginsWith" text="Accueil">
      <formula>LEFT(M224,LEN("Accueil"))="Accueil"</formula>
    </cfRule>
    <cfRule type="beginsWith" dxfId="14153" priority="10929" operator="beginsWith" text="TOPHYC">
      <formula>LEFT(M224,LEN("TOPHYC"))="TOPHYC"</formula>
    </cfRule>
    <cfRule type="beginsWith" dxfId="14152" priority="10930" operator="beginsWith" text="Global Exam">
      <formula>LEFT(M224,LEN("Global Exam"))="Global Exam"</formula>
    </cfRule>
    <cfRule type="beginsWith" dxfId="14151" priority="10931" operator="beginsWith" text="Stage">
      <formula>LEFT(M224,LEN("Stage"))="Stage"</formula>
    </cfRule>
    <cfRule type="beginsWith" dxfId="14150" priority="10932" operator="beginsWith" text="Entreprise">
      <formula>LEFT(M224,LEN("Entreprise"))="Entreprise"</formula>
    </cfRule>
    <cfRule type="beginsWith" dxfId="14149" priority="10933" operator="beginsWith" text="TOMIC">
      <formula>LEFT(M224,LEN("TOMIC"))="TOMIC"</formula>
    </cfRule>
    <cfRule type="beginsWith" dxfId="14148" priority="10934" operator="beginsWith" text="Voltaire">
      <formula>LEFT(M224,LEN("Voltaire"))="Voltaire"</formula>
    </cfRule>
  </conditionalFormatting>
  <conditionalFormatting sqref="M225">
    <cfRule type="beginsWith" dxfId="14147" priority="10362" operator="beginsWith" text="Lancement Projet fil rouge">
      <formula>LEFT(M225,LEN("Lancement Projet fil rouge"))="Lancement Projet fil rouge"</formula>
    </cfRule>
    <cfRule type="beginsWith" dxfId="14146" priority="10363" operator="beginsWith" text="Vacances">
      <formula>LEFT(M225,LEN("Vacances"))="Vacances"</formula>
    </cfRule>
    <cfRule type="beginsWith" dxfId="14145" priority="10364" operator="beginsWith" text="Séminaire d'intégration">
      <formula>LEFT(M225,LEN("Séminaire d'intégration"))="Séminaire d'intégration"</formula>
    </cfRule>
    <cfRule type="beginsWith" dxfId="14144" priority="10365" operator="beginsWith" text="Accueil">
      <formula>LEFT(M225,LEN("Accueil"))="Accueil"</formula>
    </cfRule>
    <cfRule type="beginsWith" dxfId="14143" priority="10366" operator="beginsWith" text="TOPHYC">
      <formula>LEFT(M225,LEN("TOPHYC"))="TOPHYC"</formula>
    </cfRule>
    <cfRule type="beginsWith" dxfId="14142" priority="10367" operator="beginsWith" text="Global Exam">
      <formula>LEFT(M225,LEN("Global Exam"))="Global Exam"</formula>
    </cfRule>
    <cfRule type="beginsWith" dxfId="14141" priority="10368" operator="beginsWith" text="Stage">
      <formula>LEFT(M225,LEN("Stage"))="Stage"</formula>
    </cfRule>
    <cfRule type="beginsWith" dxfId="14140" priority="10369" operator="beginsWith" text="Entreprise">
      <formula>LEFT(M225,LEN("Entreprise"))="Entreprise"</formula>
    </cfRule>
    <cfRule type="beginsWith" dxfId="14139" priority="10370" operator="beginsWith" text="TOMIC">
      <formula>LEFT(M225,LEN("TOMIC"))="TOMIC"</formula>
    </cfRule>
    <cfRule type="beginsWith" dxfId="14138" priority="10371" operator="beginsWith" text="Voltaire">
      <formula>LEFT(M225,LEN("Voltaire"))="Voltaire"</formula>
    </cfRule>
  </conditionalFormatting>
  <conditionalFormatting sqref="M229">
    <cfRule type="beginsWith" dxfId="14137" priority="10915" operator="beginsWith" text="Lancement Projet fil rouge">
      <formula>LEFT(M229,LEN("Lancement Projet fil rouge"))="Lancement Projet fil rouge"</formula>
    </cfRule>
    <cfRule type="beginsWith" dxfId="14136" priority="10916" operator="beginsWith" text="Vacances">
      <formula>LEFT(M229,LEN("Vacances"))="Vacances"</formula>
    </cfRule>
    <cfRule type="beginsWith" dxfId="14135" priority="10917" operator="beginsWith" text="Séminaire d'intégration">
      <formula>LEFT(M229,LEN("Séminaire d'intégration"))="Séminaire d'intégration"</formula>
    </cfRule>
    <cfRule type="beginsWith" dxfId="14134" priority="10918" operator="beginsWith" text="Accueil">
      <formula>LEFT(M229,LEN("Accueil"))="Accueil"</formula>
    </cfRule>
    <cfRule type="beginsWith" dxfId="14133" priority="10919" operator="beginsWith" text="TOPHYC">
      <formula>LEFT(M229,LEN("TOPHYC"))="TOPHYC"</formula>
    </cfRule>
    <cfRule type="beginsWith" dxfId="14132" priority="10920" operator="beginsWith" text="Global Exam">
      <formula>LEFT(M229,LEN("Global Exam"))="Global Exam"</formula>
    </cfRule>
    <cfRule type="beginsWith" dxfId="14131" priority="10921" operator="beginsWith" text="Stage">
      <formula>LEFT(M229,LEN("Stage"))="Stage"</formula>
    </cfRule>
    <cfRule type="beginsWith" dxfId="14130" priority="10922" operator="beginsWith" text="Entreprise">
      <formula>LEFT(M229,LEN("Entreprise"))="Entreprise"</formula>
    </cfRule>
    <cfRule type="beginsWith" dxfId="14129" priority="10923" operator="beginsWith" text="TOMIC">
      <formula>LEFT(M229,LEN("TOMIC"))="TOMIC"</formula>
    </cfRule>
    <cfRule type="beginsWith" dxfId="14128" priority="10924" operator="beginsWith" text="Voltaire">
      <formula>LEFT(M229,LEN("Voltaire"))="Voltaire"</formula>
    </cfRule>
  </conditionalFormatting>
  <conditionalFormatting sqref="M11:N15">
    <cfRule type="beginsWith" dxfId="14127" priority="9150" operator="beginsWith" text="TOPHYC">
      <formula>LEFT(M11,LEN("TOPHYC"))="TOPHYC"</formula>
    </cfRule>
    <cfRule type="beginsWith" dxfId="14126" priority="9151" operator="beginsWith" text="Global Exam">
      <formula>LEFT(M11,LEN("Global Exam"))="Global Exam"</formula>
    </cfRule>
    <cfRule type="beginsWith" dxfId="14125" priority="9154" operator="beginsWith" text="TOMIC">
      <formula>LEFT(M11,LEN("TOMIC"))="TOMIC"</formula>
    </cfRule>
  </conditionalFormatting>
  <conditionalFormatting sqref="M126:N128 M130:N130 N129">
    <cfRule type="beginsWith" dxfId="14124" priority="17890" operator="beginsWith" text="TOPHYC">
      <formula>LEFT(M126,LEN("TOPHYC"))="TOPHYC"</formula>
    </cfRule>
    <cfRule type="beginsWith" dxfId="14123" priority="17891" operator="beginsWith" text="Global Exam">
      <formula>LEFT(M126,LEN("Global Exam"))="Global Exam"</formula>
    </cfRule>
    <cfRule type="beginsWith" dxfId="14122" priority="17894" operator="beginsWith" text="TOMIC">
      <formula>LEFT(M126,LEN("TOMIC"))="TOMIC"</formula>
    </cfRule>
  </conditionalFormatting>
  <conditionalFormatting sqref="M181:N185">
    <cfRule type="beginsWith" dxfId="14121" priority="32020" operator="beginsWith" text="TOPHYC">
      <formula>LEFT(M181,LEN("TOPHYC"))="TOPHYC"</formula>
    </cfRule>
    <cfRule type="beginsWith" dxfId="14120" priority="32021" operator="beginsWith" text="Global Exam">
      <formula>LEFT(M181,LEN("Global Exam"))="Global Exam"</formula>
    </cfRule>
    <cfRule type="beginsWith" dxfId="14119" priority="32024" operator="beginsWith" text="TOMIC">
      <formula>LEFT(M181,LEN("TOMIC"))="TOMIC"</formula>
    </cfRule>
  </conditionalFormatting>
  <conditionalFormatting sqref="M186:N190">
    <cfRule type="beginsWith" dxfId="14118" priority="32011" operator="beginsWith" text="TOPHYC">
      <formula>LEFT(M186,LEN("TOPHYC"))="TOPHYC"</formula>
    </cfRule>
    <cfRule type="beginsWith" dxfId="14117" priority="32012" operator="beginsWith" text="Global Exam">
      <formula>LEFT(M186,LEN("Global Exam"))="Global Exam"</formula>
    </cfRule>
    <cfRule type="beginsWith" dxfId="14116" priority="32015" operator="beginsWith" text="TOMIC">
      <formula>LEFT(M186,LEN("TOMIC"))="TOMIC"</formula>
    </cfRule>
  </conditionalFormatting>
  <conditionalFormatting sqref="M221:N221">
    <cfRule type="beginsWith" dxfId="14115" priority="10345" operator="beginsWith" text="TOPHYC">
      <formula>LEFT(M221,LEN("TOPHYC"))="TOPHYC"</formula>
    </cfRule>
    <cfRule type="beginsWith" dxfId="14114" priority="10346" operator="beginsWith" text="Global Exam">
      <formula>LEFT(M221,LEN("Global Exam"))="Global Exam"</formula>
    </cfRule>
    <cfRule type="beginsWith" dxfId="14113" priority="10349" operator="beginsWith" text="TOMIC">
      <formula>LEFT(M221,LEN("TOMIC"))="TOMIC"</formula>
    </cfRule>
  </conditionalFormatting>
  <conditionalFormatting sqref="N21:N25">
    <cfRule type="beginsWith" dxfId="14112" priority="10741" operator="beginsWith" text="Lancement Projet fil rouge">
      <formula>LEFT(N21,LEN("Lancement Projet fil rouge"))="Lancement Projet fil rouge"</formula>
    </cfRule>
    <cfRule type="beginsWith" dxfId="14111" priority="10742" operator="beginsWith" text="Vacances">
      <formula>LEFT(N21,LEN("Vacances"))="Vacances"</formula>
    </cfRule>
    <cfRule type="beginsWith" dxfId="14110" priority="10743" operator="beginsWith" text="Séminaire d'intégration">
      <formula>LEFT(N21,LEN("Séminaire d'intégration"))="Séminaire d'intégration"</formula>
    </cfRule>
    <cfRule type="beginsWith" dxfId="14109" priority="10744" operator="beginsWith" text="Accueil">
      <formula>LEFT(N21,LEN("Accueil"))="Accueil"</formula>
    </cfRule>
    <cfRule type="beginsWith" dxfId="14108" priority="10745" operator="beginsWith" text="TOPHYC">
      <formula>LEFT(N21,LEN("TOPHYC"))="TOPHYC"</formula>
    </cfRule>
    <cfRule type="beginsWith" dxfId="14107" priority="10746" operator="beginsWith" text="Global Exam">
      <formula>LEFT(N21,LEN("Global Exam"))="Global Exam"</formula>
    </cfRule>
    <cfRule type="beginsWith" dxfId="14106" priority="10747" operator="beginsWith" text="Stage">
      <formula>LEFT(N21,LEN("Stage"))="Stage"</formula>
    </cfRule>
    <cfRule type="beginsWith" dxfId="14105" priority="10748" operator="beginsWith" text="Entreprise">
      <formula>LEFT(N21,LEN("Entreprise"))="Entreprise"</formula>
    </cfRule>
    <cfRule type="beginsWith" dxfId="14104" priority="10749" operator="beginsWith" text="TOMIC">
      <formula>LEFT(N21,LEN("TOMIC"))="TOMIC"</formula>
    </cfRule>
    <cfRule type="beginsWith" dxfId="14103" priority="10750" operator="beginsWith" text="Voltaire">
      <formula>LEFT(N21,LEN("Voltaire"))="Voltaire"</formula>
    </cfRule>
  </conditionalFormatting>
  <conditionalFormatting sqref="N51:N55">
    <cfRule type="beginsWith" dxfId="14102" priority="21230" operator="beginsWith" text="Lancement Projet fil rouge">
      <formula>LEFT(N51,LEN("Lancement Projet fil rouge"))="Lancement Projet fil rouge"</formula>
    </cfRule>
    <cfRule type="beginsWith" dxfId="14101" priority="21231" operator="beginsWith" text="Vacances">
      <formula>LEFT(N51,LEN("Vacances"))="Vacances"</formula>
    </cfRule>
    <cfRule type="beginsWith" dxfId="14100" priority="21232" operator="beginsWith" text="Séminaire d'intégration">
      <formula>LEFT(N51,LEN("Séminaire d'intégration"))="Séminaire d'intégration"</formula>
    </cfRule>
    <cfRule type="beginsWith" dxfId="14099" priority="21233" operator="beginsWith" text="Accueil">
      <formula>LEFT(N51,LEN("Accueil"))="Accueil"</formula>
    </cfRule>
    <cfRule type="beginsWith" dxfId="14098" priority="21234" operator="beginsWith" text="TOPHYC">
      <formula>LEFT(N51,LEN("TOPHYC"))="TOPHYC"</formula>
    </cfRule>
    <cfRule type="beginsWith" dxfId="14097" priority="21235" operator="beginsWith" text="Global Exam">
      <formula>LEFT(N51,LEN("Global Exam"))="Global Exam"</formula>
    </cfRule>
    <cfRule type="beginsWith" dxfId="14096" priority="21236" operator="beginsWith" text="Stage">
      <formula>LEFT(N51,LEN("Stage"))="Stage"</formula>
    </cfRule>
    <cfRule type="beginsWith" dxfId="14095" priority="21237" operator="beginsWith" text="Entreprise">
      <formula>LEFT(N51,LEN("Entreprise"))="Entreprise"</formula>
    </cfRule>
    <cfRule type="beginsWith" dxfId="14094" priority="21238" operator="beginsWith" text="TOMIC">
      <formula>LEFT(N51,LEN("TOMIC"))="TOMIC"</formula>
    </cfRule>
    <cfRule type="beginsWith" dxfId="14093" priority="21239" operator="beginsWith" text="Voltaire">
      <formula>LEFT(N51,LEN("Voltaire"))="Voltaire"</formula>
    </cfRule>
  </conditionalFormatting>
  <conditionalFormatting sqref="N61:N65">
    <cfRule type="beginsWith" dxfId="14092" priority="17981" operator="beginsWith" text="Lancement Projet fil rouge">
      <formula>LEFT(N61,LEN("Lancement Projet fil rouge"))="Lancement Projet fil rouge"</formula>
    </cfRule>
    <cfRule type="beginsWith" dxfId="14091" priority="17982" operator="beginsWith" text="Vacances">
      <formula>LEFT(N61,LEN("Vacances"))="Vacances"</formula>
    </cfRule>
    <cfRule type="beginsWith" dxfId="14090" priority="17983" operator="beginsWith" text="Séminaire d'intégration">
      <formula>LEFT(N61,LEN("Séminaire d'intégration"))="Séminaire d'intégration"</formula>
    </cfRule>
    <cfRule type="beginsWith" dxfId="14089" priority="17984" operator="beginsWith" text="Accueil">
      <formula>LEFT(N61,LEN("Accueil"))="Accueil"</formula>
    </cfRule>
    <cfRule type="beginsWith" dxfId="14088" priority="17985" operator="beginsWith" text="TOPHYC">
      <formula>LEFT(N61,LEN("TOPHYC"))="TOPHYC"</formula>
    </cfRule>
    <cfRule type="beginsWith" dxfId="14087" priority="17986" operator="beginsWith" text="Global Exam">
      <formula>LEFT(N61,LEN("Global Exam"))="Global Exam"</formula>
    </cfRule>
    <cfRule type="beginsWith" dxfId="14086" priority="17987" operator="beginsWith" text="Stage">
      <formula>LEFT(N61,LEN("Stage"))="Stage"</formula>
    </cfRule>
    <cfRule type="beginsWith" dxfId="14085" priority="17988" operator="beginsWith" text="Entreprise">
      <formula>LEFT(N61,LEN("Entreprise"))="Entreprise"</formula>
    </cfRule>
    <cfRule type="beginsWith" dxfId="14084" priority="17989" operator="beginsWith" text="TOMIC">
      <formula>LEFT(N61,LEN("TOMIC"))="TOMIC"</formula>
    </cfRule>
    <cfRule type="beginsWith" dxfId="14083" priority="17990" operator="beginsWith" text="Voltaire">
      <formula>LEFT(N61,LEN("Voltaire"))="Voltaire"</formula>
    </cfRule>
  </conditionalFormatting>
  <conditionalFormatting sqref="N146:N150">
    <cfRule type="beginsWith" dxfId="14082" priority="21220" operator="beginsWith" text="Lancement Projet fil rouge">
      <formula>LEFT(N146,LEN("Lancement Projet fil rouge"))="Lancement Projet fil rouge"</formula>
    </cfRule>
    <cfRule type="beginsWith" dxfId="14081" priority="21221" operator="beginsWith" text="Vacances">
      <formula>LEFT(N146,LEN("Vacances"))="Vacances"</formula>
    </cfRule>
    <cfRule type="beginsWith" dxfId="14080" priority="21222" operator="beginsWith" text="Séminaire d'intégration">
      <formula>LEFT(N146,LEN("Séminaire d'intégration"))="Séminaire d'intégration"</formula>
    </cfRule>
    <cfRule type="beginsWith" dxfId="14079" priority="21223" operator="beginsWith" text="Accueil">
      <formula>LEFT(N146,LEN("Accueil"))="Accueil"</formula>
    </cfRule>
    <cfRule type="beginsWith" dxfId="14078" priority="21224" operator="beginsWith" text="TOPHYC">
      <formula>LEFT(N146,LEN("TOPHYC"))="TOPHYC"</formula>
    </cfRule>
    <cfRule type="beginsWith" dxfId="14077" priority="21225" operator="beginsWith" text="Global Exam">
      <formula>LEFT(N146,LEN("Global Exam"))="Global Exam"</formula>
    </cfRule>
    <cfRule type="beginsWith" dxfId="14076" priority="21226" operator="beginsWith" text="Stage">
      <formula>LEFT(N146,LEN("Stage"))="Stage"</formula>
    </cfRule>
    <cfRule type="beginsWith" dxfId="14075" priority="21227" operator="beginsWith" text="Entreprise">
      <formula>LEFT(N146,LEN("Entreprise"))="Entreprise"</formula>
    </cfRule>
    <cfRule type="beginsWith" dxfId="14074" priority="21228" operator="beginsWith" text="TOMIC">
      <formula>LEFT(N146,LEN("TOMIC"))="TOMIC"</formula>
    </cfRule>
    <cfRule type="beginsWith" dxfId="14073" priority="21229" operator="beginsWith" text="Voltaire">
      <formula>LEFT(N146,LEN("Voltaire"))="Voltaire"</formula>
    </cfRule>
  </conditionalFormatting>
  <conditionalFormatting sqref="N222:N225">
    <cfRule type="beginsWith" dxfId="14072" priority="10372" operator="beginsWith" text="Lancement Projet fil rouge">
      <formula>LEFT(N222,LEN("Lancement Projet fil rouge"))="Lancement Projet fil rouge"</formula>
    </cfRule>
    <cfRule type="beginsWith" dxfId="14071" priority="10373" operator="beginsWith" text="Vacances">
      <formula>LEFT(N222,LEN("Vacances"))="Vacances"</formula>
    </cfRule>
    <cfRule type="beginsWith" dxfId="14070" priority="10374" operator="beginsWith" text="Séminaire d'intégration">
      <formula>LEFT(N222,LEN("Séminaire d'intégration"))="Séminaire d'intégration"</formula>
    </cfRule>
    <cfRule type="beginsWith" dxfId="14069" priority="10375" operator="beginsWith" text="Accueil">
      <formula>LEFT(N222,LEN("Accueil"))="Accueil"</formula>
    </cfRule>
    <cfRule type="beginsWith" dxfId="14068" priority="10376" operator="beginsWith" text="TOPHYC">
      <formula>LEFT(N222,LEN("TOPHYC"))="TOPHYC"</formula>
    </cfRule>
    <cfRule type="beginsWith" dxfId="14067" priority="10377" operator="beginsWith" text="Global Exam">
      <formula>LEFT(N222,LEN("Global Exam"))="Global Exam"</formula>
    </cfRule>
    <cfRule type="beginsWith" dxfId="14066" priority="10378" operator="beginsWith" text="Stage">
      <formula>LEFT(N222,LEN("Stage"))="Stage"</formula>
    </cfRule>
    <cfRule type="beginsWith" dxfId="14065" priority="10379" operator="beginsWith" text="Entreprise">
      <formula>LEFT(N222,LEN("Entreprise"))="Entreprise"</formula>
    </cfRule>
    <cfRule type="beginsWith" dxfId="14064" priority="10380" operator="beginsWith" text="TOMIC">
      <formula>LEFT(N222,LEN("TOMIC"))="TOMIC"</formula>
    </cfRule>
    <cfRule type="beginsWith" dxfId="14063" priority="10381" operator="beginsWith" text="Voltaire">
      <formula>LEFT(N222,LEN("Voltaire"))="Voltaire"</formula>
    </cfRule>
  </conditionalFormatting>
  <conditionalFormatting sqref="W16:W190">
    <cfRule type="beginsWith" dxfId="14062" priority="22972" operator="beginsWith" text="Lancement Projet fil rouge">
      <formula>LEFT(W16,LEN("Lancement Projet fil rouge"))="Lancement Projet fil rouge"</formula>
    </cfRule>
    <cfRule type="beginsWith" dxfId="14061" priority="22973" operator="beginsWith" text="Vacances">
      <formula>LEFT(W16,LEN("Vacances"))="Vacances"</formula>
    </cfRule>
  </conditionalFormatting>
  <conditionalFormatting sqref="W16:W180">
    <cfRule type="beginsWith" dxfId="14060" priority="22990" operator="beginsWith" text="Séminaire d'intégration">
      <formula>LEFT(W16,LEN("Séminaire d'intégration"))="Séminaire d'intégration"</formula>
    </cfRule>
    <cfRule type="beginsWith" dxfId="14059" priority="22991" operator="beginsWith" text="Accueil">
      <formula>LEFT(W16,LEN("Accueil"))="Accueil"</formula>
    </cfRule>
    <cfRule type="beginsWith" dxfId="14058" priority="22994" operator="beginsWith" text="Stage">
      <formula>LEFT(W16,LEN("Stage"))="Stage"</formula>
    </cfRule>
    <cfRule type="beginsWith" dxfId="14057" priority="22995" operator="beginsWith" text="Entreprise">
      <formula>LEFT(W16,LEN("Entreprise"))="Entreprise"</formula>
    </cfRule>
    <cfRule type="beginsWith" dxfId="14056" priority="22997" operator="beginsWith" text="Voltaire">
      <formula>LEFT(W16,LEN("Voltaire"))="Voltaire"</formula>
    </cfRule>
  </conditionalFormatting>
  <conditionalFormatting sqref="Q6:Q10">
    <cfRule type="beginsWith" dxfId="14055" priority="18246" operator="beginsWith" text="Lancement Projet fil rouge">
      <formula>LEFT(Q6,LEN("Lancement Projet fil rouge"))="Lancement Projet fil rouge"</formula>
    </cfRule>
    <cfRule type="beginsWith" dxfId="14054" priority="18247" operator="beginsWith" text="Vacances">
      <formula>LEFT(Q6,LEN("Vacances"))="Vacances"</formula>
    </cfRule>
    <cfRule type="beginsWith" dxfId="14053" priority="18248" operator="beginsWith" text="Séminaire d'intégration">
      <formula>LEFT(Q6,LEN("Séminaire d'intégration"))="Séminaire d'intégration"</formula>
    </cfRule>
    <cfRule type="beginsWith" dxfId="14052" priority="18249" operator="beginsWith" text="Accueil">
      <formula>LEFT(Q6,LEN("Accueil"))="Accueil"</formula>
    </cfRule>
    <cfRule type="beginsWith" dxfId="14051" priority="18250" operator="beginsWith" text="Stage">
      <formula>LEFT(Q6,LEN("Stage"))="Stage"</formula>
    </cfRule>
    <cfRule type="beginsWith" dxfId="14050" priority="18251" operator="beginsWith" text="Entreprise">
      <formula>LEFT(Q6,LEN("Entreprise"))="Entreprise"</formula>
    </cfRule>
    <cfRule type="beginsWith" dxfId="14049" priority="18252" operator="beginsWith" text="Voltaire">
      <formula>LEFT(Q6,LEN("Voltaire"))="Voltaire"</formula>
    </cfRule>
  </conditionalFormatting>
  <conditionalFormatting sqref="Q11:Q15">
    <cfRule type="beginsWith" dxfId="14048" priority="22697" operator="beginsWith" text="Lancement Projet fil rouge">
      <formula>LEFT(Q11,LEN("Lancement Projet fil rouge"))="Lancement Projet fil rouge"</formula>
    </cfRule>
    <cfRule type="beginsWith" dxfId="14047" priority="22698" operator="beginsWith" text="Vacances">
      <formula>LEFT(Q11,LEN("Vacances"))="Vacances"</formula>
    </cfRule>
    <cfRule type="beginsWith" dxfId="14046" priority="22699" operator="beginsWith" text="Séminaire d'intégration">
      <formula>LEFT(Q11,LEN("Séminaire d'intégration"))="Séminaire d'intégration"</formula>
    </cfRule>
    <cfRule type="beginsWith" dxfId="14045" priority="22700" operator="beginsWith" text="Accueil">
      <formula>LEFT(Q11,LEN("Accueil"))="Accueil"</formula>
    </cfRule>
    <cfRule type="beginsWith" dxfId="14044" priority="22701" operator="beginsWith" text="Stage">
      <formula>LEFT(Q11,LEN("Stage"))="Stage"</formula>
    </cfRule>
    <cfRule type="beginsWith" dxfId="14043" priority="22702" operator="beginsWith" text="Entreprise">
      <formula>LEFT(Q11,LEN("Entreprise"))="Entreprise"</formula>
    </cfRule>
    <cfRule type="beginsWith" dxfId="14042" priority="22703" operator="beginsWith" text="Voltaire">
      <formula>LEFT(Q11,LEN("Voltaire"))="Voltaire"</formula>
    </cfRule>
  </conditionalFormatting>
  <conditionalFormatting sqref="Q16">
    <cfRule type="beginsWith" dxfId="14041" priority="14150" operator="beginsWith" text="Lancement Projet fil rouge">
      <formula>LEFT(Q16,LEN("Lancement Projet fil rouge"))="Lancement Projet fil rouge"</formula>
    </cfRule>
    <cfRule type="beginsWith" dxfId="14040" priority="14151" operator="beginsWith" text="Vacances">
      <formula>LEFT(Q16,LEN("Vacances"))="Vacances"</formula>
    </cfRule>
    <cfRule type="beginsWith" dxfId="14039" priority="14152" operator="beginsWith" text="Séminaire d'intégration">
      <formula>LEFT(Q16,LEN("Séminaire d'intégration"))="Séminaire d'intégration"</formula>
    </cfRule>
    <cfRule type="beginsWith" dxfId="14038" priority="14153" operator="beginsWith" text="Accueil">
      <formula>LEFT(Q16,LEN("Accueil"))="Accueil"</formula>
    </cfRule>
    <cfRule type="beginsWith" dxfId="14037" priority="14154" operator="beginsWith" text="Stage">
      <formula>LEFT(Q16,LEN("Stage"))="Stage"</formula>
    </cfRule>
    <cfRule type="beginsWith" dxfId="14036" priority="14155" operator="beginsWith" text="Entreprise">
      <formula>LEFT(Q16,LEN("Entreprise"))="Entreprise"</formula>
    </cfRule>
    <cfRule type="beginsWith" dxfId="14035" priority="14156" operator="beginsWith" text="Voltaire">
      <formula>LEFT(Q16,LEN("Voltaire"))="Voltaire"</formula>
    </cfRule>
  </conditionalFormatting>
  <conditionalFormatting sqref="Q21:Q25">
    <cfRule type="beginsWith" dxfId="14034" priority="9132" operator="beginsWith" text="Lancement Projet fil rouge">
      <formula>LEFT(Q21,LEN("Lancement Projet fil rouge"))="Lancement Projet fil rouge"</formula>
    </cfRule>
    <cfRule type="beginsWith" dxfId="14033" priority="9133" operator="beginsWith" text="Vacances">
      <formula>LEFT(Q21,LEN("Vacances"))="Vacances"</formula>
    </cfRule>
    <cfRule type="beginsWith" dxfId="14032" priority="9134" operator="beginsWith" text="Séminaire d'intégration">
      <formula>LEFT(Q21,LEN("Séminaire d'intégration"))="Séminaire d'intégration"</formula>
    </cfRule>
    <cfRule type="beginsWith" dxfId="14031" priority="9135" operator="beginsWith" text="Accueil">
      <formula>LEFT(Q21,LEN("Accueil"))="Accueil"</formula>
    </cfRule>
    <cfRule type="beginsWith" dxfId="14030" priority="9136" operator="beginsWith" text="Stage">
      <formula>LEFT(Q21,LEN("Stage"))="Stage"</formula>
    </cfRule>
    <cfRule type="beginsWith" dxfId="14029" priority="9137" operator="beginsWith" text="Entreprise">
      <formula>LEFT(Q21,LEN("Entreprise"))="Entreprise"</formula>
    </cfRule>
    <cfRule type="beginsWith" dxfId="14028" priority="9138" operator="beginsWith" text="Voltaire">
      <formula>LEFT(Q21,LEN("Voltaire"))="Voltaire"</formula>
    </cfRule>
  </conditionalFormatting>
  <conditionalFormatting sqref="Q61">
    <cfRule type="beginsWith" dxfId="14027" priority="14012" operator="beginsWith" text="Lancement Projet fil rouge">
      <formula>LEFT(Q61,LEN("Lancement Projet fil rouge"))="Lancement Projet fil rouge"</formula>
    </cfRule>
    <cfRule type="beginsWith" dxfId="14026" priority="14013" operator="beginsWith" text="Vacances">
      <formula>LEFT(Q61,LEN("Vacances"))="Vacances"</formula>
    </cfRule>
    <cfRule type="beginsWith" dxfId="14025" priority="14014" operator="beginsWith" text="Séminaire d'intégration">
      <formula>LEFT(Q61,LEN("Séminaire d'intégration"))="Séminaire d'intégration"</formula>
    </cfRule>
    <cfRule type="beginsWith" dxfId="14024" priority="14015" operator="beginsWith" text="Accueil">
      <formula>LEFT(Q61,LEN("Accueil"))="Accueil"</formula>
    </cfRule>
    <cfRule type="beginsWith" dxfId="14023" priority="14018" operator="beginsWith" text="Stage">
      <formula>LEFT(Q61,LEN("Stage"))="Stage"</formula>
    </cfRule>
    <cfRule type="beginsWith" dxfId="14022" priority="14019" operator="beginsWith" text="Entreprise">
      <formula>LEFT(Q61,LEN("Entreprise"))="Entreprise"</formula>
    </cfRule>
    <cfRule type="beginsWith" dxfId="14021" priority="14021" operator="beginsWith" text="Voltaire">
      <formula>LEFT(Q61,LEN("Voltaire"))="Voltaire"</formula>
    </cfRule>
  </conditionalFormatting>
  <conditionalFormatting sqref="Q66">
    <cfRule type="beginsWith" dxfId="14020" priority="14164" operator="beginsWith" text="Lancement Projet fil rouge">
      <formula>LEFT(Q66,LEN("Lancement Projet fil rouge"))="Lancement Projet fil rouge"</formula>
    </cfRule>
    <cfRule type="beginsWith" dxfId="14019" priority="14165" operator="beginsWith" text="Vacances">
      <formula>LEFT(Q66,LEN("Vacances"))="Vacances"</formula>
    </cfRule>
    <cfRule type="beginsWith" dxfId="14018" priority="14166" operator="beginsWith" text="Séminaire d'intégration">
      <formula>LEFT(Q66,LEN("Séminaire d'intégration"))="Séminaire d'intégration"</formula>
    </cfRule>
    <cfRule type="beginsWith" dxfId="14017" priority="14167" operator="beginsWith" text="Accueil">
      <formula>LEFT(Q66,LEN("Accueil"))="Accueil"</formula>
    </cfRule>
    <cfRule type="beginsWith" dxfId="14016" priority="14168" operator="beginsWith" text="Stage">
      <formula>LEFT(Q66,LEN("Stage"))="Stage"</formula>
    </cfRule>
    <cfRule type="beginsWith" dxfId="14015" priority="14169" operator="beginsWith" text="Entreprise">
      <formula>LEFT(Q66,LEN("Entreprise"))="Entreprise"</formula>
    </cfRule>
    <cfRule type="beginsWith" dxfId="14014" priority="14170" operator="beginsWith" text="Voltaire">
      <formula>LEFT(Q66,LEN("Voltaire"))="Voltaire"</formula>
    </cfRule>
  </conditionalFormatting>
  <conditionalFormatting sqref="Q67">
    <cfRule type="beginsWith" dxfId="14013" priority="14143" operator="beginsWith" text="Lancement Projet fil rouge">
      <formula>LEFT(Q67,LEN("Lancement Projet fil rouge"))="Lancement Projet fil rouge"</formula>
    </cfRule>
    <cfRule type="beginsWith" dxfId="14012" priority="14144" operator="beginsWith" text="Vacances">
      <formula>LEFT(Q67,LEN("Vacances"))="Vacances"</formula>
    </cfRule>
    <cfRule type="beginsWith" dxfId="14011" priority="14145" operator="beginsWith" text="Séminaire d'intégration">
      <formula>LEFT(Q67,LEN("Séminaire d'intégration"))="Séminaire d'intégration"</formula>
    </cfRule>
    <cfRule type="beginsWith" dxfId="14010" priority="14146" operator="beginsWith" text="Accueil">
      <formula>LEFT(Q67,LEN("Accueil"))="Accueil"</formula>
    </cfRule>
    <cfRule type="beginsWith" dxfId="14009" priority="14147" operator="beginsWith" text="Stage">
      <formula>LEFT(Q67,LEN("Stage"))="Stage"</formula>
    </cfRule>
    <cfRule type="beginsWith" dxfId="14008" priority="14148" operator="beginsWith" text="Entreprise">
      <formula>LEFT(Q67,LEN("Entreprise"))="Entreprise"</formula>
    </cfRule>
    <cfRule type="beginsWith" dxfId="14007" priority="14149" operator="beginsWith" text="Voltaire">
      <formula>LEFT(Q67,LEN("Voltaire"))="Voltaire"</formula>
    </cfRule>
  </conditionalFormatting>
  <conditionalFormatting sqref="Q68">
    <cfRule type="beginsWith" dxfId="14006" priority="13964" operator="beginsWith" text="Lancement Projet fil rouge">
      <formula>LEFT(Q68,LEN("Lancement Projet fil rouge"))="Lancement Projet fil rouge"</formula>
    </cfRule>
    <cfRule type="beginsWith" dxfId="14005" priority="13965" operator="beginsWith" text="Vacances">
      <formula>LEFT(Q68,LEN("Vacances"))="Vacances"</formula>
    </cfRule>
    <cfRule type="beginsWith" dxfId="14004" priority="13966" operator="beginsWith" text="Séminaire d'intégration">
      <formula>LEFT(Q68,LEN("Séminaire d'intégration"))="Séminaire d'intégration"</formula>
    </cfRule>
    <cfRule type="beginsWith" dxfId="14003" priority="13967" operator="beginsWith" text="Accueil">
      <formula>LEFT(Q68,LEN("Accueil"))="Accueil"</formula>
    </cfRule>
    <cfRule type="beginsWith" dxfId="14002" priority="13968" operator="beginsWith" text="Stage">
      <formula>LEFT(Q68,LEN("Stage"))="Stage"</formula>
    </cfRule>
    <cfRule type="beginsWith" dxfId="14001" priority="13969" operator="beginsWith" text="Entreprise">
      <formula>LEFT(Q68,LEN("Entreprise"))="Entreprise"</formula>
    </cfRule>
    <cfRule type="beginsWith" dxfId="14000" priority="13970" operator="beginsWith" text="Voltaire">
      <formula>LEFT(Q68,LEN("Voltaire"))="Voltaire"</formula>
    </cfRule>
  </conditionalFormatting>
  <conditionalFormatting sqref="Q91">
    <cfRule type="beginsWith" dxfId="13999" priority="13949" operator="beginsWith" text="Lancement Projet fil rouge">
      <formula>LEFT(Q91,LEN("Lancement Projet fil rouge"))="Lancement Projet fil rouge"</formula>
    </cfRule>
    <cfRule type="beginsWith" dxfId="13998" priority="13950" operator="beginsWith" text="Vacances">
      <formula>LEFT(Q91,LEN("Vacances"))="Vacances"</formula>
    </cfRule>
    <cfRule type="beginsWith" dxfId="13997" priority="13951" operator="beginsWith" text="Séminaire d'intégration">
      <formula>LEFT(Q91,LEN("Séminaire d'intégration"))="Séminaire d'intégration"</formula>
    </cfRule>
    <cfRule type="beginsWith" dxfId="13996" priority="13952" operator="beginsWith" text="Accueil">
      <formula>LEFT(Q91,LEN("Accueil"))="Accueil"</formula>
    </cfRule>
    <cfRule type="beginsWith" dxfId="13995" priority="13953" operator="beginsWith" text="Stage">
      <formula>LEFT(Q91,LEN("Stage"))="Stage"</formula>
    </cfRule>
    <cfRule type="beginsWith" dxfId="13994" priority="13954" operator="beginsWith" text="Entreprise">
      <formula>LEFT(Q91,LEN("Entreprise"))="Entreprise"</formula>
    </cfRule>
    <cfRule type="beginsWith" dxfId="13993" priority="13955" operator="beginsWith" text="Voltaire">
      <formula>LEFT(Q91,LEN("Voltaire"))="Voltaire"</formula>
    </cfRule>
  </conditionalFormatting>
  <conditionalFormatting sqref="Q96:Q106 Q136:Q146 Q36 Q26 Q181:Q191">
    <cfRule type="beginsWith" dxfId="13992" priority="14178" operator="beginsWith" text="Lancement Projet fil rouge">
      <formula>LEFT(Q26,LEN("Lancement Projet fil rouge"))="Lancement Projet fil rouge"</formula>
    </cfRule>
    <cfRule type="beginsWith" dxfId="13991" priority="14179" operator="beginsWith" text="Vacances">
      <formula>LEFT(Q26,LEN("Vacances"))="Vacances"</formula>
    </cfRule>
  </conditionalFormatting>
  <conditionalFormatting sqref="Q96:Q106 Q181:Q191 Q136:Q146 Q36 Q26">
    <cfRule type="beginsWith" dxfId="13990" priority="14180" operator="beginsWith" text="Séminaire d'intégration">
      <formula>LEFT(Q26,LEN("Séminaire d'intégration"))="Séminaire d'intégration"</formula>
    </cfRule>
    <cfRule type="beginsWith" dxfId="13989" priority="14181" operator="beginsWith" text="Accueil">
      <formula>LEFT(Q26,LEN("Accueil"))="Accueil"</formula>
    </cfRule>
    <cfRule type="beginsWith" dxfId="13988" priority="14182" operator="beginsWith" text="Stage">
      <formula>LEFT(Q26,LEN("Stage"))="Stage"</formula>
    </cfRule>
    <cfRule type="beginsWith" dxfId="13987" priority="14183" operator="beginsWith" text="Entreprise">
      <formula>LEFT(Q26,LEN("Entreprise"))="Entreprise"</formula>
    </cfRule>
    <cfRule type="beginsWith" dxfId="13986" priority="14184" operator="beginsWith" text="Voltaire">
      <formula>LEFT(Q26,LEN("Voltaire"))="Voltaire"</formula>
    </cfRule>
  </conditionalFormatting>
  <conditionalFormatting sqref="Q126">
    <cfRule type="beginsWith" dxfId="13985" priority="13924" operator="beginsWith" text="Lancement Projet fil rouge">
      <formula>LEFT(Q126,LEN("Lancement Projet fil rouge"))="Lancement Projet fil rouge"</formula>
    </cfRule>
    <cfRule type="beginsWith" dxfId="13984" priority="13925" operator="beginsWith" text="Vacances">
      <formula>LEFT(Q126,LEN("Vacances"))="Vacances"</formula>
    </cfRule>
    <cfRule type="beginsWith" dxfId="13983" priority="13926" operator="beginsWith" text="Séminaire d'intégration">
      <formula>LEFT(Q126,LEN("Séminaire d'intégration"))="Séminaire d'intégration"</formula>
    </cfRule>
    <cfRule type="beginsWith" dxfId="13982" priority="13927" operator="beginsWith" text="Accueil">
      <formula>LEFT(Q126,LEN("Accueil"))="Accueil"</formula>
    </cfRule>
    <cfRule type="beginsWith" dxfId="13981" priority="13928" operator="beginsWith" text="Stage">
      <formula>LEFT(Q126,LEN("Stage"))="Stage"</formula>
    </cfRule>
    <cfRule type="beginsWith" dxfId="13980" priority="13929" operator="beginsWith" text="Entreprise">
      <formula>LEFT(Q126,LEN("Entreprise"))="Entreprise"</formula>
    </cfRule>
    <cfRule type="beginsWith" dxfId="13979" priority="13930" operator="beginsWith" text="Voltaire">
      <formula>LEFT(Q126,LEN("Voltaire"))="Voltaire"</formula>
    </cfRule>
  </conditionalFormatting>
  <conditionalFormatting sqref="Q161">
    <cfRule type="beginsWith" dxfId="13978" priority="13842" operator="beginsWith" text="Lancement Projet fil rouge">
      <formula>LEFT(Q161,LEN("Lancement Projet fil rouge"))="Lancement Projet fil rouge"</formula>
    </cfRule>
    <cfRule type="beginsWith" dxfId="13977" priority="13843" operator="beginsWith" text="Vacances">
      <formula>LEFT(Q161,LEN("Vacances"))="Vacances"</formula>
    </cfRule>
    <cfRule type="beginsWith" dxfId="13976" priority="13844" operator="beginsWith" text="Séminaire d'intégration">
      <formula>LEFT(Q161,LEN("Séminaire d'intégration"))="Séminaire d'intégration"</formula>
    </cfRule>
    <cfRule type="beginsWith" dxfId="13975" priority="13845" operator="beginsWith" text="Accueil">
      <formula>LEFT(Q161,LEN("Accueil"))="Accueil"</formula>
    </cfRule>
    <cfRule type="beginsWith" dxfId="13974" priority="13846" operator="beginsWith" text="Stage">
      <formula>LEFT(Q161,LEN("Stage"))="Stage"</formula>
    </cfRule>
    <cfRule type="beginsWith" dxfId="13973" priority="13847" operator="beginsWith" text="Entreprise">
      <formula>LEFT(Q161,LEN("Entreprise"))="Entreprise"</formula>
    </cfRule>
    <cfRule type="beginsWith" dxfId="13972" priority="13848" operator="beginsWith" text="Voltaire">
      <formula>LEFT(Q161,LEN("Voltaire"))="Voltaire"</formula>
    </cfRule>
  </conditionalFormatting>
  <conditionalFormatting sqref="Q172">
    <cfRule type="beginsWith" dxfId="13971" priority="14050" operator="beginsWith" text="Lancement Projet fil rouge">
      <formula>LEFT(Q172,LEN("Lancement Projet fil rouge"))="Lancement Projet fil rouge"</formula>
    </cfRule>
    <cfRule type="beginsWith" dxfId="13970" priority="14051" operator="beginsWith" text="Vacances">
      <formula>LEFT(Q172,LEN("Vacances"))="Vacances"</formula>
    </cfRule>
    <cfRule type="beginsWith" dxfId="13969" priority="14052" operator="beginsWith" text="Séminaire d'intégration">
      <formula>LEFT(Q172,LEN("Séminaire d'intégration"))="Séminaire d'intégration"</formula>
    </cfRule>
    <cfRule type="beginsWith" dxfId="13968" priority="14053" operator="beginsWith" text="Accueil">
      <formula>LEFT(Q172,LEN("Accueil"))="Accueil"</formula>
    </cfRule>
    <cfRule type="beginsWith" dxfId="13967" priority="14054" operator="beginsWith" text="Stage">
      <formula>LEFT(Q172,LEN("Stage"))="Stage"</formula>
    </cfRule>
    <cfRule type="beginsWith" dxfId="13966" priority="14055" operator="beginsWith" text="Entreprise">
      <formula>LEFT(Q172,LEN("Entreprise"))="Entreprise"</formula>
    </cfRule>
    <cfRule type="beginsWith" dxfId="13965" priority="14056" operator="beginsWith" text="Voltaire">
      <formula>LEFT(Q172,LEN("Voltaire"))="Voltaire"</formula>
    </cfRule>
  </conditionalFormatting>
  <conditionalFormatting sqref="Q196">
    <cfRule type="beginsWith" dxfId="13964" priority="14036" operator="beginsWith" text="Lancement Projet fil rouge">
      <formula>LEFT(Q196,LEN("Lancement Projet fil rouge"))="Lancement Projet fil rouge"</formula>
    </cfRule>
    <cfRule type="beginsWith" dxfId="13963" priority="14037" operator="beginsWith" text="Vacances">
      <formula>LEFT(Q196,LEN("Vacances"))="Vacances"</formula>
    </cfRule>
    <cfRule type="beginsWith" dxfId="13962" priority="14038" operator="beginsWith" text="Séminaire d'intégration">
      <formula>LEFT(Q196,LEN("Séminaire d'intégration"))="Séminaire d'intégration"</formula>
    </cfRule>
    <cfRule type="beginsWith" dxfId="13961" priority="14039" operator="beginsWith" text="Accueil">
      <formula>LEFT(Q196,LEN("Accueil"))="Accueil"</formula>
    </cfRule>
    <cfRule type="beginsWith" dxfId="13960" priority="14040" operator="beginsWith" text="Stage">
      <formula>LEFT(Q196,LEN("Stage"))="Stage"</formula>
    </cfRule>
    <cfRule type="beginsWith" dxfId="13959" priority="14041" operator="beginsWith" text="Entreprise">
      <formula>LEFT(Q196,LEN("Entreprise"))="Entreprise"</formula>
    </cfRule>
    <cfRule type="beginsWith" dxfId="13958" priority="14042" operator="beginsWith" text="Voltaire">
      <formula>LEFT(Q196,LEN("Voltaire"))="Voltaire"</formula>
    </cfRule>
  </conditionalFormatting>
  <conditionalFormatting sqref="Q197">
    <cfRule type="beginsWith" dxfId="13957" priority="13782" operator="beginsWith" text="Lancement Projet fil rouge">
      <formula>LEFT(Q197,LEN("Lancement Projet fil rouge"))="Lancement Projet fil rouge"</formula>
    </cfRule>
    <cfRule type="beginsWith" dxfId="13956" priority="13783" operator="beginsWith" text="Vacances">
      <formula>LEFT(Q197,LEN("Vacances"))="Vacances"</formula>
    </cfRule>
    <cfRule type="beginsWith" dxfId="13955" priority="13784" operator="beginsWith" text="Séminaire d'intégration">
      <formula>LEFT(Q197,LEN("Séminaire d'intégration"))="Séminaire d'intégration"</formula>
    </cfRule>
    <cfRule type="beginsWith" dxfId="13954" priority="13785" operator="beginsWith" text="Accueil">
      <formula>LEFT(Q197,LEN("Accueil"))="Accueil"</formula>
    </cfRule>
    <cfRule type="beginsWith" dxfId="13953" priority="13786" operator="beginsWith" text="Stage">
      <formula>LEFT(Q197,LEN("Stage"))="Stage"</formula>
    </cfRule>
    <cfRule type="beginsWith" dxfId="13952" priority="13787" operator="beginsWith" text="Entreprise">
      <formula>LEFT(Q197,LEN("Entreprise"))="Entreprise"</formula>
    </cfRule>
    <cfRule type="beginsWith" dxfId="13951" priority="13788" operator="beginsWith" text="Voltaire">
      <formula>LEFT(Q197,LEN("Voltaire"))="Voltaire"</formula>
    </cfRule>
  </conditionalFormatting>
  <conditionalFormatting sqref="Q201">
    <cfRule type="beginsWith" dxfId="13950" priority="14171" operator="beginsWith" text="Lancement Projet fil rouge">
      <formula>LEFT(Q201,LEN("Lancement Projet fil rouge"))="Lancement Projet fil rouge"</formula>
    </cfRule>
    <cfRule type="beginsWith" dxfId="13949" priority="14172" operator="beginsWith" text="Vacances">
      <formula>LEFT(Q201,LEN("Vacances"))="Vacances"</formula>
    </cfRule>
    <cfRule type="beginsWith" dxfId="13948" priority="14173" operator="beginsWith" text="Séminaire d'intégration">
      <formula>LEFT(Q201,LEN("Séminaire d'intégration"))="Séminaire d'intégration"</formula>
    </cfRule>
    <cfRule type="beginsWith" dxfId="13947" priority="14174" operator="beginsWith" text="Accueil">
      <formula>LEFT(Q201,LEN("Accueil"))="Accueil"</formula>
    </cfRule>
    <cfRule type="beginsWith" dxfId="13946" priority="14175" operator="beginsWith" text="Stage">
      <formula>LEFT(Q201,LEN("Stage"))="Stage"</formula>
    </cfRule>
    <cfRule type="beginsWith" dxfId="13945" priority="14176" operator="beginsWith" text="Entreprise">
      <formula>LEFT(Q201,LEN("Entreprise"))="Entreprise"</formula>
    </cfRule>
    <cfRule type="beginsWith" dxfId="13944" priority="14177" operator="beginsWith" text="Voltaire">
      <formula>LEFT(Q201,LEN("Voltaire"))="Voltaire"</formula>
    </cfRule>
  </conditionalFormatting>
  <conditionalFormatting sqref="Q207">
    <cfRule type="beginsWith" dxfId="13943" priority="14029" operator="beginsWith" text="Lancement Projet fil rouge">
      <formula>LEFT(Q207,LEN("Lancement Projet fil rouge"))="Lancement Projet fil rouge"</formula>
    </cfRule>
    <cfRule type="beginsWith" dxfId="13942" priority="14030" operator="beginsWith" text="Vacances">
      <formula>LEFT(Q207,LEN("Vacances"))="Vacances"</formula>
    </cfRule>
    <cfRule type="beginsWith" dxfId="13941" priority="14031" operator="beginsWith" text="Séminaire d'intégration">
      <formula>LEFT(Q207,LEN("Séminaire d'intégration"))="Séminaire d'intégration"</formula>
    </cfRule>
    <cfRule type="beginsWith" dxfId="13940" priority="14032" operator="beginsWith" text="Accueil">
      <formula>LEFT(Q207,LEN("Accueil"))="Accueil"</formula>
    </cfRule>
    <cfRule type="beginsWith" dxfId="13939" priority="14033" operator="beginsWith" text="Stage">
      <formula>LEFT(Q207,LEN("Stage"))="Stage"</formula>
    </cfRule>
    <cfRule type="beginsWith" dxfId="13938" priority="14034" operator="beginsWith" text="Entreprise">
      <formula>LEFT(Q207,LEN("Entreprise"))="Entreprise"</formula>
    </cfRule>
    <cfRule type="beginsWith" dxfId="13937" priority="14035" operator="beginsWith" text="Voltaire">
      <formula>LEFT(Q207,LEN("Voltaire"))="Voltaire"</formula>
    </cfRule>
  </conditionalFormatting>
  <conditionalFormatting sqref="Q221">
    <cfRule type="beginsWith" dxfId="13936" priority="13809" operator="beginsWith" text="Lancement Projet fil rouge">
      <formula>LEFT(Q221,LEN("Lancement Projet fil rouge"))="Lancement Projet fil rouge"</formula>
    </cfRule>
    <cfRule type="beginsWith" dxfId="13935" priority="13810" operator="beginsWith" text="Vacances">
      <formula>LEFT(Q221,LEN("Vacances"))="Vacances"</formula>
    </cfRule>
    <cfRule type="beginsWith" dxfId="13934" priority="13811" operator="beginsWith" text="Séminaire d'intégration">
      <formula>LEFT(Q221,LEN("Séminaire d'intégration"))="Séminaire d'intégration"</formula>
    </cfRule>
    <cfRule type="beginsWith" dxfId="13933" priority="13812" operator="beginsWith" text="Accueil">
      <formula>LEFT(Q221,LEN("Accueil"))="Accueil"</formula>
    </cfRule>
    <cfRule type="beginsWith" dxfId="13932" priority="13813" operator="beginsWith" text="Stage">
      <formula>LEFT(Q221,LEN("Stage"))="Stage"</formula>
    </cfRule>
    <cfRule type="beginsWith" dxfId="13931" priority="13814" operator="beginsWith" text="Entreprise">
      <formula>LEFT(Q221,LEN("Entreprise"))="Entreprise"</formula>
    </cfRule>
    <cfRule type="beginsWith" dxfId="13930" priority="13815" operator="beginsWith" text="Voltaire">
      <formula>LEFT(Q221,LEN("Voltaire"))="Voltaire"</formula>
    </cfRule>
  </conditionalFormatting>
  <conditionalFormatting sqref="Q261:Q262 Q1:Q5">
    <cfRule type="beginsWith" dxfId="13929" priority="22936" operator="beginsWith" text="Lancement Projet fil rouge">
      <formula>LEFT(Q1,LEN("Lancement Projet fil rouge"))="Lancement Projet fil rouge"</formula>
    </cfRule>
    <cfRule type="beginsWith" dxfId="13928" priority="22937" operator="beginsWith" text="Vacances">
      <formula>LEFT(Q1,LEN("Vacances"))="Vacances"</formula>
    </cfRule>
    <cfRule type="beginsWith" dxfId="13927" priority="22938" operator="beginsWith" text="Séminaire d'intégration">
      <formula>LEFT(Q1,LEN("Séminaire d'intégration"))="Séminaire d'intégration"</formula>
    </cfRule>
    <cfRule type="beginsWith" dxfId="13926" priority="22939" operator="beginsWith" text="Accueil">
      <formula>LEFT(Q1,LEN("Accueil"))="Accueil"</formula>
    </cfRule>
    <cfRule type="beginsWith" dxfId="13925" priority="22940" operator="beginsWith" text="Stage">
      <formula>LEFT(Q1,LEN("Stage"))="Stage"</formula>
    </cfRule>
    <cfRule type="beginsWith" dxfId="13924" priority="22941" operator="beginsWith" text="Entreprise">
      <formula>LEFT(Q1,LEN("Entreprise"))="Entreprise"</formula>
    </cfRule>
    <cfRule type="beginsWith" dxfId="13923" priority="22942" operator="beginsWith" text="Voltaire">
      <formula>LEFT(Q1,LEN("Voltaire"))="Voltaire"</formula>
    </cfRule>
  </conditionalFormatting>
  <conditionalFormatting sqref="S6:S10">
    <cfRule type="beginsWith" dxfId="13922" priority="13422" operator="beginsWith" text="Lancement Projet fil rouge">
      <formula>LEFT(S6,LEN("Lancement Projet fil rouge"))="Lancement Projet fil rouge"</formula>
    </cfRule>
    <cfRule type="beginsWith" dxfId="13921" priority="13423" operator="beginsWith" text="Vacances">
      <formula>LEFT(S6,LEN("Vacances"))="Vacances"</formula>
    </cfRule>
    <cfRule type="beginsWith" dxfId="13920" priority="13424" operator="beginsWith" text="Séminaire d'intégration">
      <formula>LEFT(S6,LEN("Séminaire d'intégration"))="Séminaire d'intégration"</formula>
    </cfRule>
    <cfRule type="beginsWith" dxfId="13919" priority="13425" operator="beginsWith" text="Accueil">
      <formula>LEFT(S6,LEN("Accueil"))="Accueil"</formula>
    </cfRule>
    <cfRule type="beginsWith" dxfId="13918" priority="13426" operator="beginsWith" text="Stage">
      <formula>LEFT(S6,LEN("Stage"))="Stage"</formula>
    </cfRule>
    <cfRule type="beginsWith" dxfId="13917" priority="13427" operator="beginsWith" text="Entreprise">
      <formula>LEFT(S6,LEN("Entreprise"))="Entreprise"</formula>
    </cfRule>
    <cfRule type="beginsWith" dxfId="13916" priority="13428" operator="beginsWith" text="Voltaire">
      <formula>LEFT(S6,LEN("Voltaire"))="Voltaire"</formula>
    </cfRule>
  </conditionalFormatting>
  <conditionalFormatting sqref="S11:S15">
    <cfRule type="beginsWith" dxfId="13915" priority="13366" operator="beginsWith" text="Lancement Projet fil rouge">
      <formula>LEFT(S11,LEN("Lancement Projet fil rouge"))="Lancement Projet fil rouge"</formula>
    </cfRule>
    <cfRule type="beginsWith" dxfId="13914" priority="13367" operator="beginsWith" text="Vacances">
      <formula>LEFT(S11,LEN("Vacances"))="Vacances"</formula>
    </cfRule>
    <cfRule type="beginsWith" dxfId="13913" priority="13368" operator="beginsWith" text="Séminaire d'intégration">
      <formula>LEFT(S11,LEN("Séminaire d'intégration"))="Séminaire d'intégration"</formula>
    </cfRule>
    <cfRule type="beginsWith" dxfId="13912" priority="13369" operator="beginsWith" text="Accueil">
      <formula>LEFT(S11,LEN("Accueil"))="Accueil"</formula>
    </cfRule>
    <cfRule type="beginsWith" dxfId="13911" priority="13370" operator="beginsWith" text="Stage">
      <formula>LEFT(S11,LEN("Stage"))="Stage"</formula>
    </cfRule>
    <cfRule type="beginsWith" dxfId="13910" priority="13371" operator="beginsWith" text="Entreprise">
      <formula>LEFT(S11,LEN("Entreprise"))="Entreprise"</formula>
    </cfRule>
    <cfRule type="beginsWith" dxfId="13909" priority="13372" operator="beginsWith" text="Voltaire">
      <formula>LEFT(S11,LEN("Voltaire"))="Voltaire"</formula>
    </cfRule>
  </conditionalFormatting>
  <conditionalFormatting sqref="S16">
    <cfRule type="beginsWith" dxfId="13908" priority="13359" operator="beginsWith" text="Lancement Projet fil rouge">
      <formula>LEFT(S16,LEN("Lancement Projet fil rouge"))="Lancement Projet fil rouge"</formula>
    </cfRule>
    <cfRule type="beginsWith" dxfId="13907" priority="13360" operator="beginsWith" text="Vacances">
      <formula>LEFT(S16,LEN("Vacances"))="Vacances"</formula>
    </cfRule>
    <cfRule type="beginsWith" dxfId="13906" priority="13361" operator="beginsWith" text="Séminaire d'intégration">
      <formula>LEFT(S16,LEN("Séminaire d'intégration"))="Séminaire d'intégration"</formula>
    </cfRule>
    <cfRule type="beginsWith" dxfId="13905" priority="13362" operator="beginsWith" text="Accueil">
      <formula>LEFT(S16,LEN("Accueil"))="Accueil"</formula>
    </cfRule>
    <cfRule type="beginsWith" dxfId="13904" priority="13363" operator="beginsWith" text="Stage">
      <formula>LEFT(S16,LEN("Stage"))="Stage"</formula>
    </cfRule>
    <cfRule type="beginsWith" dxfId="13903" priority="13364" operator="beginsWith" text="Entreprise">
      <formula>LEFT(S16,LEN("Entreprise"))="Entreprise"</formula>
    </cfRule>
    <cfRule type="beginsWith" dxfId="13902" priority="13365" operator="beginsWith" text="Voltaire">
      <formula>LEFT(S16,LEN("Voltaire"))="Voltaire"</formula>
    </cfRule>
  </conditionalFormatting>
  <conditionalFormatting sqref="S21:S25">
    <cfRule type="beginsWith" dxfId="13901" priority="9125" operator="beginsWith" text="Lancement Projet fil rouge">
      <formula>LEFT(S21,LEN("Lancement Projet fil rouge"))="Lancement Projet fil rouge"</formula>
    </cfRule>
    <cfRule type="beginsWith" dxfId="13900" priority="9126" operator="beginsWith" text="Vacances">
      <formula>LEFT(S21,LEN("Vacances"))="Vacances"</formula>
    </cfRule>
    <cfRule type="beginsWith" dxfId="13899" priority="9127" operator="beginsWith" text="Séminaire d'intégration">
      <formula>LEFT(S21,LEN("Séminaire d'intégration"))="Séminaire d'intégration"</formula>
    </cfRule>
    <cfRule type="beginsWith" dxfId="13898" priority="9128" operator="beginsWith" text="Accueil">
      <formula>LEFT(S21,LEN("Accueil"))="Accueil"</formula>
    </cfRule>
    <cfRule type="beginsWith" dxfId="13897" priority="9129" operator="beginsWith" text="Stage">
      <formula>LEFT(S21,LEN("Stage"))="Stage"</formula>
    </cfRule>
    <cfRule type="beginsWith" dxfId="13896" priority="9130" operator="beginsWith" text="Entreprise">
      <formula>LEFT(S21,LEN("Entreprise"))="Entreprise"</formula>
    </cfRule>
    <cfRule type="beginsWith" dxfId="13895" priority="9131" operator="beginsWith" text="Voltaire">
      <formula>LEFT(S21,LEN("Voltaire"))="Voltaire"</formula>
    </cfRule>
  </conditionalFormatting>
  <conditionalFormatting sqref="S56:S60 S222 S264:S1048576">
    <cfRule type="beginsWith" dxfId="13894" priority="13500" operator="beginsWith" text="Lancement Projet fil rouge">
      <formula>LEFT(S56,LEN("Lancement Projet fil rouge"))="Lancement Projet fil rouge"</formula>
    </cfRule>
    <cfRule type="beginsWith" dxfId="13893" priority="13501" operator="beginsWith" text="Vacances">
      <formula>LEFT(S56,LEN("Vacances"))="Vacances"</formula>
    </cfRule>
    <cfRule type="beginsWith" dxfId="13892" priority="13502" operator="beginsWith" text="Séminaire d'intégration">
      <formula>LEFT(S56,LEN("Séminaire d'intégration"))="Séminaire d'intégration"</formula>
    </cfRule>
    <cfRule type="beginsWith" dxfId="13891" priority="13503" operator="beginsWith" text="Accueil">
      <formula>LEFT(S56,LEN("Accueil"))="Accueil"</formula>
    </cfRule>
    <cfRule type="beginsWith" dxfId="13890" priority="13504" operator="beginsWith" text="Stage">
      <formula>LEFT(S56,LEN("Stage"))="Stage"</formula>
    </cfRule>
    <cfRule type="beginsWith" dxfId="13889" priority="13505" operator="beginsWith" text="Entreprise">
      <formula>LEFT(S56,LEN("Entreprise"))="Entreprise"</formula>
    </cfRule>
    <cfRule type="beginsWith" dxfId="13888" priority="13506" operator="beginsWith" text="Voltaire">
      <formula>LEFT(S56,LEN("Voltaire"))="Voltaire"</formula>
    </cfRule>
  </conditionalFormatting>
  <conditionalFormatting sqref="S61">
    <cfRule type="beginsWith" dxfId="13887" priority="13415" operator="beginsWith" text="Lancement Projet fil rouge">
      <formula>LEFT(S61,LEN("Lancement Projet fil rouge"))="Lancement Projet fil rouge"</formula>
    </cfRule>
    <cfRule type="beginsWith" dxfId="13886" priority="13416" operator="beginsWith" text="Vacances">
      <formula>LEFT(S61,LEN("Vacances"))="Vacances"</formula>
    </cfRule>
    <cfRule type="beginsWith" dxfId="13885" priority="13417" operator="beginsWith" text="Séminaire d'intégration">
      <formula>LEFT(S61,LEN("Séminaire d'intégration"))="Séminaire d'intégration"</formula>
    </cfRule>
    <cfRule type="beginsWith" dxfId="13884" priority="13418" operator="beginsWith" text="Accueil">
      <formula>LEFT(S61,LEN("Accueil"))="Accueil"</formula>
    </cfRule>
    <cfRule type="beginsWith" dxfId="13883" priority="13419" operator="beginsWith" text="Stage">
      <formula>LEFT(S61,LEN("Stage"))="Stage"</formula>
    </cfRule>
    <cfRule type="beginsWith" dxfId="13882" priority="13420" operator="beginsWith" text="Entreprise">
      <formula>LEFT(S61,LEN("Entreprise"))="Entreprise"</formula>
    </cfRule>
    <cfRule type="beginsWith" dxfId="13881" priority="13421" operator="beginsWith" text="Voltaire">
      <formula>LEFT(S61,LEN("Voltaire"))="Voltaire"</formula>
    </cfRule>
  </conditionalFormatting>
  <conditionalFormatting sqref="S66">
    <cfRule type="beginsWith" dxfId="13880" priority="13479" operator="beginsWith" text="Lancement Projet fil rouge">
      <formula>LEFT(S66,LEN("Lancement Projet fil rouge"))="Lancement Projet fil rouge"</formula>
    </cfRule>
    <cfRule type="beginsWith" dxfId="13879" priority="13480" operator="beginsWith" text="Vacances">
      <formula>LEFT(S66,LEN("Vacances"))="Vacances"</formula>
    </cfRule>
    <cfRule type="beginsWith" dxfId="13878" priority="13481" operator="beginsWith" text="Séminaire d'intégration">
      <formula>LEFT(S66,LEN("Séminaire d'intégration"))="Séminaire d'intégration"</formula>
    </cfRule>
    <cfRule type="beginsWith" dxfId="13877" priority="13482" operator="beginsWith" text="Accueil">
      <formula>LEFT(S66,LEN("Accueil"))="Accueil"</formula>
    </cfRule>
    <cfRule type="beginsWith" dxfId="13876" priority="13483" operator="beginsWith" text="Stage">
      <formula>LEFT(S66,LEN("Stage"))="Stage"</formula>
    </cfRule>
    <cfRule type="beginsWith" dxfId="13875" priority="13484" operator="beginsWith" text="Entreprise">
      <formula>LEFT(S66,LEN("Entreprise"))="Entreprise"</formula>
    </cfRule>
    <cfRule type="beginsWith" dxfId="13874" priority="13485" operator="beginsWith" text="Voltaire">
      <formula>LEFT(S66,LEN("Voltaire"))="Voltaire"</formula>
    </cfRule>
  </conditionalFormatting>
  <conditionalFormatting sqref="S67">
    <cfRule type="beginsWith" dxfId="13873" priority="13458" operator="beginsWith" text="Lancement Projet fil rouge">
      <formula>LEFT(S67,LEN("Lancement Projet fil rouge"))="Lancement Projet fil rouge"</formula>
    </cfRule>
    <cfRule type="beginsWith" dxfId="13872" priority="13459" operator="beginsWith" text="Vacances">
      <formula>LEFT(S67,LEN("Vacances"))="Vacances"</formula>
    </cfRule>
    <cfRule type="beginsWith" dxfId="13871" priority="13460" operator="beginsWith" text="Séminaire d'intégration">
      <formula>LEFT(S67,LEN("Séminaire d'intégration"))="Séminaire d'intégration"</formula>
    </cfRule>
    <cfRule type="beginsWith" dxfId="13870" priority="13461" operator="beginsWith" text="Accueil">
      <formula>LEFT(S67,LEN("Accueil"))="Accueil"</formula>
    </cfRule>
    <cfRule type="beginsWith" dxfId="13869" priority="13462" operator="beginsWith" text="Stage">
      <formula>LEFT(S67,LEN("Stage"))="Stage"</formula>
    </cfRule>
    <cfRule type="beginsWith" dxfId="13868" priority="13463" operator="beginsWith" text="Entreprise">
      <formula>LEFT(S67,LEN("Entreprise"))="Entreprise"</formula>
    </cfRule>
    <cfRule type="beginsWith" dxfId="13867" priority="13464" operator="beginsWith" text="Voltaire">
      <formula>LEFT(S67,LEN("Voltaire"))="Voltaire"</formula>
    </cfRule>
  </conditionalFormatting>
  <conditionalFormatting sqref="S68">
    <cfRule type="beginsWith" dxfId="13866" priority="13408" operator="beginsWith" text="Lancement Projet fil rouge">
      <formula>LEFT(S68,LEN("Lancement Projet fil rouge"))="Lancement Projet fil rouge"</formula>
    </cfRule>
    <cfRule type="beginsWith" dxfId="13865" priority="13409" operator="beginsWith" text="Vacances">
      <formula>LEFT(S68,LEN("Vacances"))="Vacances"</formula>
    </cfRule>
    <cfRule type="beginsWith" dxfId="13864" priority="13410" operator="beginsWith" text="Séminaire d'intégration">
      <formula>LEFT(S68,LEN("Séminaire d'intégration"))="Séminaire d'intégration"</formula>
    </cfRule>
    <cfRule type="beginsWith" dxfId="13863" priority="13411" operator="beginsWith" text="Accueil">
      <formula>LEFT(S68,LEN("Accueil"))="Accueil"</formula>
    </cfRule>
    <cfRule type="beginsWith" dxfId="13862" priority="13412" operator="beginsWith" text="Stage">
      <formula>LEFT(S68,LEN("Stage"))="Stage"</formula>
    </cfRule>
    <cfRule type="beginsWith" dxfId="13861" priority="13413" operator="beginsWith" text="Entreprise">
      <formula>LEFT(S68,LEN("Entreprise"))="Entreprise"</formula>
    </cfRule>
    <cfRule type="beginsWith" dxfId="13860" priority="13414" operator="beginsWith" text="Voltaire">
      <formula>LEFT(S68,LEN("Voltaire"))="Voltaire"</formula>
    </cfRule>
  </conditionalFormatting>
  <conditionalFormatting sqref="S91">
    <cfRule type="beginsWith" dxfId="13859" priority="13401" operator="beginsWith" text="Lancement Projet fil rouge">
      <formula>LEFT(S91,LEN("Lancement Projet fil rouge"))="Lancement Projet fil rouge"</formula>
    </cfRule>
    <cfRule type="beginsWith" dxfId="13858" priority="13402" operator="beginsWith" text="Vacances">
      <formula>LEFT(S91,LEN("Vacances"))="Vacances"</formula>
    </cfRule>
    <cfRule type="beginsWith" dxfId="13857" priority="13403" operator="beginsWith" text="Séminaire d'intégration">
      <formula>LEFT(S91,LEN("Séminaire d'intégration"))="Séminaire d'intégration"</formula>
    </cfRule>
    <cfRule type="beginsWith" dxfId="13856" priority="13404" operator="beginsWith" text="Accueil">
      <formula>LEFT(S91,LEN("Accueil"))="Accueil"</formula>
    </cfRule>
    <cfRule type="beginsWith" dxfId="13855" priority="13405" operator="beginsWith" text="Stage">
      <formula>LEFT(S91,LEN("Stage"))="Stage"</formula>
    </cfRule>
    <cfRule type="beginsWith" dxfId="13854" priority="13406" operator="beginsWith" text="Entreprise">
      <formula>LEFT(S91,LEN("Entreprise"))="Entreprise"</formula>
    </cfRule>
    <cfRule type="beginsWith" dxfId="13853" priority="13407" operator="beginsWith" text="Voltaire">
      <formula>LEFT(S91,LEN("Voltaire"))="Voltaire"</formula>
    </cfRule>
  </conditionalFormatting>
  <conditionalFormatting sqref="S126">
    <cfRule type="beginsWith" dxfId="13852" priority="13394" operator="beginsWith" text="Lancement Projet fil rouge">
      <formula>LEFT(S126,LEN("Lancement Projet fil rouge"))="Lancement Projet fil rouge"</formula>
    </cfRule>
    <cfRule type="beginsWith" dxfId="13851" priority="13395" operator="beginsWith" text="Vacances">
      <formula>LEFT(S126,LEN("Vacances"))="Vacances"</formula>
    </cfRule>
    <cfRule type="beginsWith" dxfId="13850" priority="13396" operator="beginsWith" text="Séminaire d'intégration">
      <formula>LEFT(S126,LEN("Séminaire d'intégration"))="Séminaire d'intégration"</formula>
    </cfRule>
    <cfRule type="beginsWith" dxfId="13849" priority="13397" operator="beginsWith" text="Accueil">
      <formula>LEFT(S126,LEN("Accueil"))="Accueil"</formula>
    </cfRule>
    <cfRule type="beginsWith" dxfId="13848" priority="13398" operator="beginsWith" text="Stage">
      <formula>LEFT(S126,LEN("Stage"))="Stage"</formula>
    </cfRule>
    <cfRule type="beginsWith" dxfId="13847" priority="13399" operator="beginsWith" text="Entreprise">
      <formula>LEFT(S126,LEN("Entreprise"))="Entreprise"</formula>
    </cfRule>
    <cfRule type="beginsWith" dxfId="13846" priority="13400" operator="beginsWith" text="Voltaire">
      <formula>LEFT(S126,LEN("Voltaire"))="Voltaire"</formula>
    </cfRule>
  </conditionalFormatting>
  <conditionalFormatting sqref="S161">
    <cfRule type="beginsWith" dxfId="13845" priority="13387" operator="beginsWith" text="Lancement Projet fil rouge">
      <formula>LEFT(S161,LEN("Lancement Projet fil rouge"))="Lancement Projet fil rouge"</formula>
    </cfRule>
    <cfRule type="beginsWith" dxfId="13844" priority="13388" operator="beginsWith" text="Vacances">
      <formula>LEFT(S161,LEN("Vacances"))="Vacances"</formula>
    </cfRule>
    <cfRule type="beginsWith" dxfId="13843" priority="13389" operator="beginsWith" text="Séminaire d'intégration">
      <formula>LEFT(S161,LEN("Séminaire d'intégration"))="Séminaire d'intégration"</formula>
    </cfRule>
    <cfRule type="beginsWith" dxfId="13842" priority="13390" operator="beginsWith" text="Accueil">
      <formula>LEFT(S161,LEN("Accueil"))="Accueil"</formula>
    </cfRule>
    <cfRule type="beginsWith" dxfId="13841" priority="13391" operator="beginsWith" text="Stage">
      <formula>LEFT(S161,LEN("Stage"))="Stage"</formula>
    </cfRule>
    <cfRule type="beginsWith" dxfId="13840" priority="13392" operator="beginsWith" text="Entreprise">
      <formula>LEFT(S161,LEN("Entreprise"))="Entreprise"</formula>
    </cfRule>
    <cfRule type="beginsWith" dxfId="13839" priority="13393" operator="beginsWith" text="Voltaire">
      <formula>LEFT(S161,LEN("Voltaire"))="Voltaire"</formula>
    </cfRule>
  </conditionalFormatting>
  <conditionalFormatting sqref="S172">
    <cfRule type="beginsWith" dxfId="13838" priority="13443" operator="beginsWith" text="Lancement Projet fil rouge">
      <formula>LEFT(S172,LEN("Lancement Projet fil rouge"))="Lancement Projet fil rouge"</formula>
    </cfRule>
    <cfRule type="beginsWith" dxfId="13837" priority="13444" operator="beginsWith" text="Vacances">
      <formula>LEFT(S172,LEN("Vacances"))="Vacances"</formula>
    </cfRule>
    <cfRule type="beginsWith" dxfId="13836" priority="13445" operator="beginsWith" text="Séminaire d'intégration">
      <formula>LEFT(S172,LEN("Séminaire d'intégration"))="Séminaire d'intégration"</formula>
    </cfRule>
    <cfRule type="beginsWith" dxfId="13835" priority="13446" operator="beginsWith" text="Accueil">
      <formula>LEFT(S172,LEN("Accueil"))="Accueil"</formula>
    </cfRule>
    <cfRule type="beginsWith" dxfId="13834" priority="13447" operator="beginsWith" text="Stage">
      <formula>LEFT(S172,LEN("Stage"))="Stage"</formula>
    </cfRule>
    <cfRule type="beginsWith" dxfId="13833" priority="13448" operator="beginsWith" text="Entreprise">
      <formula>LEFT(S172,LEN("Entreprise"))="Entreprise"</formula>
    </cfRule>
    <cfRule type="beginsWith" dxfId="13832" priority="13449" operator="beginsWith" text="Voltaire">
      <formula>LEFT(S172,LEN("Voltaire"))="Voltaire"</formula>
    </cfRule>
  </conditionalFormatting>
  <conditionalFormatting sqref="S196">
    <cfRule type="beginsWith" dxfId="13831" priority="13436" operator="beginsWith" text="Lancement Projet fil rouge">
      <formula>LEFT(S196,LEN("Lancement Projet fil rouge"))="Lancement Projet fil rouge"</formula>
    </cfRule>
    <cfRule type="beginsWith" dxfId="13830" priority="13437" operator="beginsWith" text="Vacances">
      <formula>LEFT(S196,LEN("Vacances"))="Vacances"</formula>
    </cfRule>
    <cfRule type="beginsWith" dxfId="13829" priority="13438" operator="beginsWith" text="Séminaire d'intégration">
      <formula>LEFT(S196,LEN("Séminaire d'intégration"))="Séminaire d'intégration"</formula>
    </cfRule>
    <cfRule type="beginsWith" dxfId="13828" priority="13439" operator="beginsWith" text="Accueil">
      <formula>LEFT(S196,LEN("Accueil"))="Accueil"</formula>
    </cfRule>
    <cfRule type="beginsWith" dxfId="13827" priority="13440" operator="beginsWith" text="Stage">
      <formula>LEFT(S196,LEN("Stage"))="Stage"</formula>
    </cfRule>
    <cfRule type="beginsWith" dxfId="13826" priority="13441" operator="beginsWith" text="Entreprise">
      <formula>LEFT(S196,LEN("Entreprise"))="Entreprise"</formula>
    </cfRule>
    <cfRule type="beginsWith" dxfId="13825" priority="13442" operator="beginsWith" text="Voltaire">
      <formula>LEFT(S196,LEN("Voltaire"))="Voltaire"</formula>
    </cfRule>
  </conditionalFormatting>
  <conditionalFormatting sqref="S197">
    <cfRule type="beginsWith" dxfId="13824" priority="13373" operator="beginsWith" text="Lancement Projet fil rouge">
      <formula>LEFT(S197,LEN("Lancement Projet fil rouge"))="Lancement Projet fil rouge"</formula>
    </cfRule>
    <cfRule type="beginsWith" dxfId="13823" priority="13374" operator="beginsWith" text="Vacances">
      <formula>LEFT(S197,LEN("Vacances"))="Vacances"</formula>
    </cfRule>
    <cfRule type="beginsWith" dxfId="13822" priority="13375" operator="beginsWith" text="Séminaire d'intégration">
      <formula>LEFT(S197,LEN("Séminaire d'intégration"))="Séminaire d'intégration"</formula>
    </cfRule>
    <cfRule type="beginsWith" dxfId="13821" priority="13376" operator="beginsWith" text="Accueil">
      <formula>LEFT(S197,LEN("Accueil"))="Accueil"</formula>
    </cfRule>
    <cfRule type="beginsWith" dxfId="13820" priority="13377" operator="beginsWith" text="Stage">
      <formula>LEFT(S197,LEN("Stage"))="Stage"</formula>
    </cfRule>
    <cfRule type="beginsWith" dxfId="13819" priority="13378" operator="beginsWith" text="Entreprise">
      <formula>LEFT(S197,LEN("Entreprise"))="Entreprise"</formula>
    </cfRule>
    <cfRule type="beginsWith" dxfId="13818" priority="13379" operator="beginsWith" text="Voltaire">
      <formula>LEFT(S197,LEN("Voltaire"))="Voltaire"</formula>
    </cfRule>
  </conditionalFormatting>
  <conditionalFormatting sqref="S201">
    <cfRule type="beginsWith" dxfId="13817" priority="13486" operator="beginsWith" text="Lancement Projet fil rouge">
      <formula>LEFT(S201,LEN("Lancement Projet fil rouge"))="Lancement Projet fil rouge"</formula>
    </cfRule>
    <cfRule type="beginsWith" dxfId="13816" priority="13487" operator="beginsWith" text="Vacances">
      <formula>LEFT(S201,LEN("Vacances"))="Vacances"</formula>
    </cfRule>
    <cfRule type="beginsWith" dxfId="13815" priority="13488" operator="beginsWith" text="Séminaire d'intégration">
      <formula>LEFT(S201,LEN("Séminaire d'intégration"))="Séminaire d'intégration"</formula>
    </cfRule>
    <cfRule type="beginsWith" dxfId="13814" priority="13489" operator="beginsWith" text="Accueil">
      <formula>LEFT(S201,LEN("Accueil"))="Accueil"</formula>
    </cfRule>
    <cfRule type="beginsWith" dxfId="13813" priority="13490" operator="beginsWith" text="Stage">
      <formula>LEFT(S201,LEN("Stage"))="Stage"</formula>
    </cfRule>
    <cfRule type="beginsWith" dxfId="13812" priority="13491" operator="beginsWith" text="Entreprise">
      <formula>LEFT(S201,LEN("Entreprise"))="Entreprise"</formula>
    </cfRule>
    <cfRule type="beginsWith" dxfId="13811" priority="13492" operator="beginsWith" text="Voltaire">
      <formula>LEFT(S201,LEN("Voltaire"))="Voltaire"</formula>
    </cfRule>
  </conditionalFormatting>
  <conditionalFormatting sqref="S207">
    <cfRule type="beginsWith" dxfId="13810" priority="13429" operator="beginsWith" text="Lancement Projet fil rouge">
      <formula>LEFT(S207,LEN("Lancement Projet fil rouge"))="Lancement Projet fil rouge"</formula>
    </cfRule>
    <cfRule type="beginsWith" dxfId="13809" priority="13430" operator="beginsWith" text="Vacances">
      <formula>LEFT(S207,LEN("Vacances"))="Vacances"</formula>
    </cfRule>
    <cfRule type="beginsWith" dxfId="13808" priority="13431" operator="beginsWith" text="Séminaire d'intégration">
      <formula>LEFT(S207,LEN("Séminaire d'intégration"))="Séminaire d'intégration"</formula>
    </cfRule>
    <cfRule type="beginsWith" dxfId="13807" priority="13432" operator="beginsWith" text="Accueil">
      <formula>LEFT(S207,LEN("Accueil"))="Accueil"</formula>
    </cfRule>
    <cfRule type="beginsWith" dxfId="13806" priority="13433" operator="beginsWith" text="Stage">
      <formula>LEFT(S207,LEN("Stage"))="Stage"</formula>
    </cfRule>
    <cfRule type="beginsWith" dxfId="13805" priority="13434" operator="beginsWith" text="Entreprise">
      <formula>LEFT(S207,LEN("Entreprise"))="Entreprise"</formula>
    </cfRule>
    <cfRule type="beginsWith" dxfId="13804" priority="13435" operator="beginsWith" text="Voltaire">
      <formula>LEFT(S207,LEN("Voltaire"))="Voltaire"</formula>
    </cfRule>
  </conditionalFormatting>
  <conditionalFormatting sqref="S221">
    <cfRule type="beginsWith" dxfId="13803" priority="13380" operator="beginsWith" text="Lancement Projet fil rouge">
      <formula>LEFT(S221,LEN("Lancement Projet fil rouge"))="Lancement Projet fil rouge"</formula>
    </cfRule>
    <cfRule type="beginsWith" dxfId="13802" priority="13381" operator="beginsWith" text="Vacances">
      <formula>LEFT(S221,LEN("Vacances"))="Vacances"</formula>
    </cfRule>
    <cfRule type="beginsWith" dxfId="13801" priority="13382" operator="beginsWith" text="Séminaire d'intégration">
      <formula>LEFT(S221,LEN("Séminaire d'intégration"))="Séminaire d'intégration"</formula>
    </cfRule>
    <cfRule type="beginsWith" dxfId="13800" priority="13383" operator="beginsWith" text="Accueil">
      <formula>LEFT(S221,LEN("Accueil"))="Accueil"</formula>
    </cfRule>
    <cfRule type="beginsWith" dxfId="13799" priority="13384" operator="beginsWith" text="Stage">
      <formula>LEFT(S221,LEN("Stage"))="Stage"</formula>
    </cfRule>
    <cfRule type="beginsWith" dxfId="13798" priority="13385" operator="beginsWith" text="Entreprise">
      <formula>LEFT(S221,LEN("Entreprise"))="Entreprise"</formula>
    </cfRule>
    <cfRule type="beginsWith" dxfId="13797" priority="13386" operator="beginsWith" text="Voltaire">
      <formula>LEFT(S221,LEN("Voltaire"))="Voltaire"</formula>
    </cfRule>
  </conditionalFormatting>
  <conditionalFormatting sqref="S261:S262 S96:S106 S1:S5 S136:S146 S36 S26 S181:S191">
    <cfRule type="beginsWith" dxfId="13796" priority="13493" operator="beginsWith" text="Lancement Projet fil rouge">
      <formula>LEFT(S1,LEN("Lancement Projet fil rouge"))="Lancement Projet fil rouge"</formula>
    </cfRule>
    <cfRule type="beginsWith" dxfId="13795" priority="13494" operator="beginsWith" text="Vacances">
      <formula>LEFT(S1,LEN("Vacances"))="Vacances"</formula>
    </cfRule>
  </conditionalFormatting>
  <conditionalFormatting sqref="S261:S262 S96:S106 S181:S191 S1:S5 S136:S146 S36 S26">
    <cfRule type="beginsWith" dxfId="13794" priority="13495" operator="beginsWith" text="Séminaire d'intégration">
      <formula>LEFT(S1,LEN("Séminaire d'intégration"))="Séminaire d'intégration"</formula>
    </cfRule>
    <cfRule type="beginsWith" dxfId="13793" priority="13496" operator="beginsWith" text="Accueil">
      <formula>LEFT(S1,LEN("Accueil"))="Accueil"</formula>
    </cfRule>
    <cfRule type="beginsWith" dxfId="13792" priority="13497" operator="beginsWith" text="Stage">
      <formula>LEFT(S1,LEN("Stage"))="Stage"</formula>
    </cfRule>
    <cfRule type="beginsWith" dxfId="13791" priority="13498" operator="beginsWith" text="Entreprise">
      <formula>LEFT(S1,LEN("Entreprise"))="Entreprise"</formula>
    </cfRule>
    <cfRule type="beginsWith" dxfId="13790" priority="13499" operator="beginsWith" text="Voltaire">
      <formula>LEFT(S1,LEN("Voltaire"))="Voltaire"</formula>
    </cfRule>
  </conditionalFormatting>
  <conditionalFormatting sqref="Q56:Q60 Q222">
    <cfRule type="beginsWith" dxfId="13789" priority="14223" operator="beginsWith" text="Séminaire d'intégration">
      <formula>LEFT(Q56,LEN("Séminaire d'intégration"))="Séminaire d'intégration"</formula>
    </cfRule>
    <cfRule type="beginsWith" dxfId="13788" priority="14224" operator="beginsWith" text="Accueil">
      <formula>LEFT(Q56,LEN("Accueil"))="Accueil"</formula>
    </cfRule>
    <cfRule type="beginsWith" dxfId="13787" priority="14227" operator="beginsWith" text="Stage">
      <formula>LEFT(Q56,LEN("Stage"))="Stage"</formula>
    </cfRule>
    <cfRule type="beginsWith" dxfId="13786" priority="14228" operator="beginsWith" text="Entreprise">
      <formula>LEFT(Q56,LEN("Entreprise"))="Entreprise"</formula>
    </cfRule>
    <cfRule type="beginsWith" dxfId="13785" priority="14230" operator="beginsWith" text="Voltaire">
      <formula>LEFT(Q56,LEN("Voltaire"))="Voltaire"</formula>
    </cfRule>
  </conditionalFormatting>
  <conditionalFormatting sqref="Q56:Q60 Q222">
    <cfRule type="beginsWith" dxfId="13784" priority="14205" operator="beginsWith" text="Lancement Projet fil rouge">
      <formula>LEFT(Q56,LEN("Lancement Projet fil rouge"))="Lancement Projet fil rouge"</formula>
    </cfRule>
    <cfRule type="beginsWith" dxfId="13783" priority="14206" operator="beginsWith" text="Vacances">
      <formula>LEFT(Q56,LEN("Vacances"))="Vacances"</formula>
    </cfRule>
  </conditionalFormatting>
  <conditionalFormatting sqref="Y6:Y10">
    <cfRule type="beginsWith" dxfId="13782" priority="18117" operator="beginsWith" text="Lancement Projet fil rouge">
      <formula>LEFT(Y6,LEN("Lancement Projet fil rouge"))="Lancement Projet fil rouge"</formula>
    </cfRule>
    <cfRule type="beginsWith" dxfId="13781" priority="18118" operator="beginsWith" text="Vacances">
      <formula>LEFT(Y6,LEN("Vacances"))="Vacances"</formula>
    </cfRule>
    <cfRule type="beginsWith" dxfId="13780" priority="18119" operator="beginsWith" text="Séminaire d'intégration">
      <formula>LEFT(Y6,LEN("Séminaire d'intégration"))="Séminaire d'intégration"</formula>
    </cfRule>
    <cfRule type="beginsWith" dxfId="13779" priority="18120" operator="beginsWith" text="Accueil">
      <formula>LEFT(Y6,LEN("Accueil"))="Accueil"</formula>
    </cfRule>
    <cfRule type="beginsWith" dxfId="13778" priority="18121" operator="beginsWith" text="Stage">
      <formula>LEFT(Y6,LEN("Stage"))="Stage"</formula>
    </cfRule>
    <cfRule type="beginsWith" dxfId="13777" priority="18122" operator="beginsWith" text="Entreprise">
      <formula>LEFT(Y6,LEN("Entreprise"))="Entreprise"</formula>
    </cfRule>
    <cfRule type="beginsWith" dxfId="13776" priority="18123" operator="beginsWith" text="Voltaire">
      <formula>LEFT(Y6,LEN("Voltaire"))="Voltaire"</formula>
    </cfRule>
  </conditionalFormatting>
  <conditionalFormatting sqref="Y31:Y55">
    <cfRule type="beginsWith" dxfId="13775" priority="13718" operator="beginsWith" text="Lancement Projet fil rouge">
      <formula>LEFT(Y31,LEN("Lancement Projet fil rouge"))="Lancement Projet fil rouge"</formula>
    </cfRule>
    <cfRule type="beginsWith" dxfId="13774" priority="13719" operator="beginsWith" text="Vacances">
      <formula>LEFT(Y31,LEN("Vacances"))="Vacances"</formula>
    </cfRule>
    <cfRule type="beginsWith" dxfId="13773" priority="13720" operator="beginsWith" text="Séminaire d'intégration">
      <formula>LEFT(Y31,LEN("Séminaire d'intégration"))="Séminaire d'intégration"</formula>
    </cfRule>
    <cfRule type="beginsWith" dxfId="13772" priority="13721" operator="beginsWith" text="Accueil">
      <formula>LEFT(Y31,LEN("Accueil"))="Accueil"</formula>
    </cfRule>
    <cfRule type="beginsWith" dxfId="13771" priority="13722" operator="beginsWith" text="Stage">
      <formula>LEFT(Y31,LEN("Stage"))="Stage"</formula>
    </cfRule>
    <cfRule type="beginsWith" dxfId="13770" priority="13723" operator="beginsWith" text="Entreprise">
      <formula>LEFT(Y31,LEN("Entreprise"))="Entreprise"</formula>
    </cfRule>
    <cfRule type="beginsWith" dxfId="13769" priority="13724" operator="beginsWith" text="Voltaire">
      <formula>LEFT(Y31,LEN("Voltaire"))="Voltaire"</formula>
    </cfRule>
  </conditionalFormatting>
  <conditionalFormatting sqref="Y68">
    <cfRule type="beginsWith" dxfId="13768" priority="20082" operator="beginsWith" text="Lancement Projet fil rouge">
      <formula>LEFT(Y68,LEN("Lancement Projet fil rouge"))="Lancement Projet fil rouge"</formula>
    </cfRule>
    <cfRule type="beginsWith" dxfId="13767" priority="20083" operator="beginsWith" text="Vacances">
      <formula>LEFT(Y68,LEN("Vacances"))="Vacances"</formula>
    </cfRule>
    <cfRule type="beginsWith" dxfId="13766" priority="20084" operator="beginsWith" text="Séminaire d'intégration">
      <formula>LEFT(Y68,LEN("Séminaire d'intégration"))="Séminaire d'intégration"</formula>
    </cfRule>
    <cfRule type="beginsWith" dxfId="13765" priority="20085" operator="beginsWith" text="Accueil">
      <formula>LEFT(Y68,LEN("Accueil"))="Accueil"</formula>
    </cfRule>
    <cfRule type="beginsWith" dxfId="13764" priority="20086" operator="beginsWith" text="Stage">
      <formula>LEFT(Y68,LEN("Stage"))="Stage"</formula>
    </cfRule>
    <cfRule type="beginsWith" dxfId="13763" priority="20087" operator="beginsWith" text="Entreprise">
      <formula>LEFT(Y68,LEN("Entreprise"))="Entreprise"</formula>
    </cfRule>
    <cfRule type="beginsWith" dxfId="13762" priority="20088" operator="beginsWith" text="Voltaire">
      <formula>LEFT(Y68,LEN("Voltaire"))="Voltaire"</formula>
    </cfRule>
  </conditionalFormatting>
  <conditionalFormatting sqref="Y1:Y2 AW1:BA2 BW1:CA2 CC1:CC2 CE1:CG2 CI1:CM2 CO1:CS2 CU1:CY2 DC1:DH2 DJ1:DN2 DP1:DT2 DV1:EA2 EC1:EG2 EI1:EM2 A1:I3 EO1:XFD3 K1:O5 AF1:AM5 W1:W15 DA1:DA1048576 CA3:CA4 CG3:CG4 CM3:CM4 CS3:CS4 DH3:DH4 DN3:DN4 DT3:DT4 EA3:EA4 EG3:EG4 EM3:EM4 A4:F4 H4:I4 EP4:XFD5 A5:I5 Y5 AW5:BA5 BW5:CA5 CC5 CE5:CG5 CI5 CO5:CS5 CU5:CY5 DC5:DH5 DJ5:DN5 DP5:DT5 DV5:EA5 EC5:EG5 EI5:EM5 CJ5:CM40 EO6:XFD55 CV6:CY60 DT16 CC16:CC17 A16:H20 K16:N20 AX16:BA25 AJ16:AM30 BX16:CA30 DD16:DH35 DW16:EA35 O16:O55 DN16:DN55 EJ16:EM55 CE16:CG60 CP16:CS95 DK17:DM55 DQ17:DT55 A21:D25 K21:M25 H21:H55 K26 A26:F28 AW26:AZ31 M26:N45 A29:D29 A30:F33 K31 CC31 AF31:AL35 AX31:AX50 BW31:CA60 AX32:AZ35 A34:D34 A35:F38 DV36 AF36:AM40 AX36:BA40 K36:K45 DH36:DH60 EA36:EA60 A39:D39 A40:F40 AW41:BA41 A41:D45 AF41:AL45 CJ41:CK45 CM41:CM45 CI41:CI46 AX42:BA50 A46:F46 DC46:DF46 K46:N50 DW46:DZ55 AF46:AM60 CJ46:CM67 A47:D50 DD47:DF50 M51:M53 DD51:DG54 A51:F55 K51:K55 AX51:AZ55 M55 DE55:DG55 DJ56:DN56 A56:O58 EK56:EK59 DD56:DG60 DV56:DZ60 EP56:XFD60 AW56:BA61 DR56:DR65 DT56:DT65 EM56:EM65 CC56:CC96 DL57:DL60 DN57:DN60 A59:D59 F59:O59 A60:O60 EJ60 A61:H61 AF61 AH61:AM61 BW61 DC61:DH61 DP61 DV61:EA61 O61:O65 BY61:BY65 CA61:CA65 CE61:CE65 CG61:CG65 CY61:CY65 DK61:DN65 EC61:EG95 EO61:XFD160 Y56:Y62 AH62:AI62 A62:F63 AL62:AM65 AX62:AX65 AZ62:BA65 EK62:EK65 DD62:DH80 DW62:EA80 H62:H95 A64:D64 A65:F68 AF66:AM66 AY66:BA66 CV66:CY66 DP66:DT66 EI66:EM66 K66:O67 Y66:Y67 BW66:CA67 DJ66:DN67 CE66:CG1048576 AF67 AH67:AM67 AY67:AZ67 CU67 DP67 K67:K68 EI67:EI68 CW67:CY70 EK67:EK70 EM67:EM70 DR67:DR75 DT67:DT80 M68:O68 AL68:AL70 AZ68:AZ70 BX68:CA70 CK68:CM70 DL68:DN70 A69:D69 N69:O69 M70:O70 A70:F83 CJ71 CM71:CM75 K71:O80 CW71:CW80 DK71:DN80 EK71:EM80 AI71:AM86 BW71:BW90 BY71:CA90 AX71:BA95 CJ72:CK75 CJ76:CM83 DJ81:DN81 DP81:DT81 EI81:EM81 DC81:DH86 K81:K95 M81:O95 DV81:EA95 DK82:DN95 DQ82:DT95 EJ82:EM95 A84:D84 CJ84 CL84:CM84 A85:F88 CJ85:CM88 AF86:AG86 CU86:CY86 DE87:DH88 AF87:AM93 CV87:CY95 A89:D89 CJ89 CL89:CM89 DC89:DH89 CJ90:CM90 DD90:DH94 A90:F95 CJ91 CM91:CM95 BW91:CA111 CJ92:CL93 AF94:AK94 AM94 CJ94:CJ95 DD95:DE95 DG95:DH95 AF95:AM123 DC96 A96:I103 CS96:CS105 DH96:DH105 DN96:DN105 DT96:DT105 DV96:DV105 EA96:EA105 EC96:EC105 EG96:EG105 EM96:EM105 K96:O108 AW96:BA111 CJ96:CM130 A104:D104 H104:I104 A105:I105 A106:H106 DV106:DX106 DZ106:EA106 CV106:CY110 DK106:DN110 DD106:DH120 CP106:CS135 EJ106:EM140 DQ106:DT145 A107:F108 DW107:EA120 H107:H135 A109:D109 K109:L109 N109:O109 A110:F113 K110:O120 CC111 DN111:DN140 BX112:CA125 AX112:BA170 A114:D114 A115:F118 DJ116:DM140 A119:D119 A120:F123 L121:O125 DC121:DG140 DV121:EA141 DH121:DH145 CD121:CD1048576 A124:D124 AF124:AK124 AM124 AF125:AM126 A125:F128 O126:O130 BW126:CA1048576 AF127:AL130 A129:D129 F129 A130:F133 M131:O133 K131:K135 CK131:CM138 AF131:AM145 A134:D134 N134:O134 A135:F135 M135:O135 CO136:CS136 A136:H137 K136:O145 CP137:CS155 A138:I138 A139:D139 H139 CL139:CM139 A140:H140 CK140:CM145 EJ141 EL141:EM141 A141:F142 DK141:DN175 H141:H181 EJ142:EM145 DW142:EA156 ED142:EG171 A143:D147 Y87:Y146 AF146:AL146 O146:O150 DP146:DP151 K146:K160 DD146:DH160 CJ146:CM165 DR146:DT170 EK146:EM170 AJ147:AL148 M147:M150 AH147:AH159 A148:F153 AJ149:AK149 AJ150:AL150 AJ151:AM153 CV151:CY160 M151:O168 A154:D154 AJ154:AK154 AM154 A155:F158 AJ155:AM161 CO156 CQ156:CR165 CS156:CS180 DW157:DY159 EA157:EA160 A159:D159 DV160:DY160 A160:F172 DC161:DH161 DV161:EA161 EP161:XFD165 CW161:CY175 AJ162:AJ165 AL162:AM165 DD162:DH165 DW162:EA165 K166 CI166:CK166 CP166:CR166 DC166:DF166 CM166:CM170 DH166:DH170 DD166:DD172 AJ166:AM182 DV166:EA186 EO166:XFD190 CK167:CK170 CQ167:CR170 DF167:DF170 N169:O169 M170:O173 AW171:BA171 CP171:CR171 DP171:DT171 EI171:EM171 K171:K172 CJ171:CM172 DD171:DH172 AW172:AZ172 CP172:CQ172 EE172:EG175 EJ172:EM210 DQ172:DT215 AX173:AZ175 CK173:CM175 CQ173:CQ175 DF173:DH175 A173:D176 N174:O174 M175:O175 CO176 DJ176:DL176 AX176:AX180 AZ176:BA180 CJ176:CM180 CP176:CQ180 DN176:DN180 DD176:DH185 K176:O190 A177:F178 DK177:DL180 A179:D179 A180:F183 CO181:CS181 DK181:DN181 CK181:CM185 CV183:CY200 DL182:DN185 H182:I187 CP182:CS210 AJ183:AK184 AM183:AM184 AZ183:AZ185 EE176:EE188 A184:D184 A185:F186 AJ185:AM187 DK186:DL186 BA186:BA187 DN186:DN189 CJ186:CM205 DC186:DH205 A187:D187 DL187:DL189 DW187:DW189 AJ188:AK188 AM188 AX188:AX189 AZ188:BA189 A188:F192 H188:H255 EE189:EG189 AJ189:AM200 AX190:BA190 ED190:EG190 DJ190:DN190 DV190:EA191 L191:N191 EC191:EG191 AX191:AX194 AZ191:BA194 O191:O1048576 W191:W1048576 M192:M194 DW192:DW194 DY192:EA194 ED192:EG195 A193:D194 F193:F194 AX195:BA195 K195:N196 DW195:EA196 A195:F198 AX196:AX198 AZ196:BA198 ED196:EE200 EG196:EG200 M197:N197 DW197:DW198 DY197:EA198 EP197:XFD198 N198 A199:D199 K199:K200 M199:N200 AX199:BA201 DW199:EA204 EO199:XFD210 A200:F203 K201:N201 CW201:CY203 AJ201:AK205 AM201:AM205 ED201:EG210 M202:N203 AX202:AX205 AZ202:BA205 A204:D204 N204 CX204:CY204 M205:N205 CW205:CY205 DW205:DX205 DZ205:EA205 A205:F208 L206:N206 AX206:BA206 DD206:DH206 DV206:EA206 CV206:CY208 AJ206:AM210 CK206:CM215 DF207:DH210 AZ207:BA215 M207:N220 AX207:AX215 DW207:EA220 A209:D209 F209 DD209:DD210 A210:F213 CI211 EI211 DC211:DH212 AJ211:AK215 AM211:AM215 CO211:CS215 EG211:EG215 EP211:XFD215 EK211:EM220 DK212:DL215 DN212:DN215 DD213:DH216 A214:D214 A215:F218 K216 CJ216:CM216 DC216 DJ216:DN216 AZ218:AZ220 DT216:DT230 AJ216:AM232 CP216:CS260 ED216:EG260 Y261:Y1048576 EO216:XFD1048576 CK217:CK220 CM217:CM220 DF217:DH220 DK217:DN260 A219:D219 A220:F223 DC221:DH221 DV221:DW221 CJ221:CM230 DY221:DZ234 EA221:EA240 CV221:CY260 EJ221:EM260 J222 DD222:DH234 DW222:DW234 A224:D224 AZ224:BA224 A225:F231 K226:N228 AX226:BA230 K229:L229 N229 K230:N232 DP231:DT231 CI231:CM1048576 DQ232:DT260 AJ233:AK234 AM233:AM234 K235:N235 AJ235:AM235 DV235:DW235 DZ235 DC235:DH290 K236:L240 N236:N240 CC236:CC1048576 A237:F238 AJ241:AM260 A239:D239 F239 A240:F243 DW241:EA248 AX241:BA260 K241:N1048576 A244:D244 A245:F255 DW249:DX249 DZ249:EA249 DW250:EA260 A256:H260 A261:I262 CU261:CZ263 DV261:EA267 DJ261:DN272 CO261:CS277 BI261:BL369 AF261:AM1048576 AW261:BA1048576 DP261:DT1048576 EC261:EG1048576 EI261:EM1048576 A263:D263 H263 A264:I264 CY264:CZ268 J264:J1048576 Q264:Q1048576 E265:F265 A265:D277 H265:I279 F266:G266 E267:F267 F268:G268 EA268:EA289 E269:F269 CU269:CZ1048576 F270:G272 E273:F273 DN273:DN295 F274:G276 E277:F277 A278:B278 CO278:CO293 CS278:CS318 A279:F279 A280:I1048576 DV290:EA1048576 DH291:DH324 DJ296:DN314 DN315:DN339 CO319:CS1048576 DC325:DH1048576 DJ340:DN1048576 K233:L234 N233:N234 F235:F236 A232:D236 F232:F233 AJ236:AK240 AM236:AM240 AD171:AD1048576 AD87:AD146 AD66:AD67 AD31:AD61 AD1:AD5 AX231:AY240 BA231:BA240 ED16:EG60 EC106:EG141 AX218:AX220 BG16:BG1048576 BG1:BG5 AU16:AU1048576 AU1:AU5 EG176:EG188 DK191:DN211 CY181:CY182 EO195:XFD196 EP191:XFD194 DY187:EA189">
    <cfRule type="beginsWith" dxfId="13761" priority="32008" operator="beginsWith" text="Vacances">
      <formula>LEFT(A1,LEN("Vacances"))="Vacances"</formula>
    </cfRule>
  </conditionalFormatting>
  <conditionalFormatting sqref="Y1:Y2 AW1:BA2 BW1:CA2 CC1:CC2 CE1:CG2 CI1:CM2 CO1:CS2 CU1:CY2 DC1:DH2 DJ1:DN2 DP1:DT2 DV1:EA2 EC1:EG2 EI1:EM2 A1:I3 EO1:XFD3 K1:O5 AF1:AM5 W1:W15 DA1:DA1048576 CA3:CA4 CG3:CG4 CM3:CM4 CS3:CS4 DH3:DH4 DN3:DN4 DT3:DT4 EA3:EA4 EG3:EG4 EM3:EM4 A4:F4 H4:I4 EP4:XFD5 A5:I5 Y5 AW5:BA5 BW5:CA5 CC5 CE5:CG5 CI5 CO5:CS5 CU5:CY5 DC5:DH5 DJ5:DN5 DP5:DT5 DV5:EA5 EC5:EG5 EI5:EM5 CJ5:CM40 EO6:XFD55 CV6:CY60 DT16 CC16:CC17 A16:H20 K16:N20 AX16:BA25 AJ16:AM30 BX16:CA30 DD16:DH35 DW16:EA35 O16:O55 DN16:DN55 EJ16:EM55 CE16:CG60 CP16:CS95 DK17:DM55 DQ17:DT55 A21:D25 K21:M25 H21:H55 K26 A26:F28 AW26:AZ31 M26:N45 A29:D29 A30:F33 K31 CC31 AF31:AL35 AX31:AX50 BW31:CA60 AX32:AZ35 A34:D34 A35:F38 DV36 AF36:AM40 AX36:BA40 K36:K45 DH36:DH60 EA36:EA60 A39:D39 A40:F40 AW41:BA41 A41:D45 AF41:AL45 CJ41:CK45 CM41:CM45 CI41:CI46 AX42:BA50 A46:F46 DC46:DF46 K46:N50 DW46:DZ55 AF46:AM60 CJ46:CM67 A47:D50 DD47:DF50 M51:M53 DD51:DG54 A51:F55 K51:K55 AX51:AZ55 M55 DE55:DG55 DJ56:DN56 A56:O58 EK56:EK59 DD56:DG60 DV56:DZ60 EP56:XFD60 AW56:BA61 DR56:DR65 DT56:DT65 EM56:EM65 CC56:CC96 DL57:DL60 DN57:DN60 A59:D59 F59:O59 A60:O60 EJ60 A61:H61 AF61 AH61:AM61 BW61 DC61:DH61 DP61 DV61:EA61 O61:O65 BY61:BY65 CA61:CA65 CE61:CE65 CG61:CG65 CY61:CY65 DK61:DN65 EC61:EG95 EO61:XFD160 Y56:Y62 AH62:AI62 A62:F63 AL62:AM65 AX62:AX65 AZ62:BA65 EK62:EK65 DD62:DH80 DW62:EA80 H62:H95 A64:D64 A65:F68 AF66:AM66 AY66:BA66 CV66:CY66 DP66:DT66 EI66:EM66 K66:O67 Y66:Y67 BW66:CA67 DJ66:DN67 CE66:CG1048576 AF67 AH67:AM67 AY67:AZ67 CU67 DP67 K67:K68 EI67:EI68 CW67:CY70 EK67:EK70 EM67:EM70 DR67:DR75 DT67:DT80 M68:O68 AL68:AL70 AZ68:AZ70 BX68:CA70 CK68:CM70 DL68:DN70 A69:D69 N69:O69 M70:O70 A70:F83 CJ71 CM71:CM75 K71:O80 CW71:CW80 DK71:DN80 EK71:EM80 AI71:AM86 BW71:BW90 BY71:CA90 AX71:BA95 CJ72:CK75 CJ76:CM83 DJ81:DN81 DP81:DT81 EI81:EM81 DC81:DH86 K81:K95 M81:O95 DV81:EA95 DK82:DN95 DQ82:DT95 EJ82:EM95 A84:D84 CJ84 CL84:CM84 A85:F88 CJ85:CM88 AF86:AG86 CU86:CY86 DE87:DH88 AF87:AM93 CV87:CY95 A89:D89 CJ89 CL89:CM89 DC89:DH89 CJ90:CM90 DD90:DH94 A90:F95 CJ91 CM91:CM95 BW91:CA111 CJ92:CL93 AF94:AK94 AM94 CJ94:CJ95 DD95:DE95 DG95:DH95 AF95:AM123 DC96 A96:I103 CS96:CS105 DH96:DH105 DN96:DN105 DT96:DT105 DV96:DV105 EA96:EA105 EC96:EC105 EG96:EG105 EM96:EM105 K96:O108 AW96:BA111 CJ96:CM130 A104:D104 H104:I104 A105:I105 A106:H106 DV106:DX106 DZ106:EA106 CV106:CY110 DK106:DN110 DD106:DH120 EJ106:EM140 DQ106:DT145 CP106:CS155 A107:F108 DW107:EA120 H107:H135 A109:D109 K109:L109 N109:O109 A110:F113 K110:O120 CC111 DN111:DN140 BX112:CA125 AX112:BA170 A114:D114 A115:F118 DJ116:DM140 A119:D119 A120:F123 L121:O125 DC121:DG140 DV121:EA141 DH121:DH145 CD121:CD1048576 A124:D124 AF124:AK124 AM124 AF125:AM126 A125:F128 O126:O130 BW126:CA1048576 AF127:AL130 A129:D129 F129 A130:F133 M131:O133 K131:K135 CK131:CM138 AF131:AM145 A134:D134 N134:O134 A135:F135 M135:O135 CO136 A136:H137 K136:O145 A138:I138 A139:D139 H139 CL139:CM139 A140:H140 CK140:CM145 EJ141 EL141:EM141 A141:F142 DK141:DN175 H141:H181 EJ142:EM145 DW142:EA155 ED142:EG171 A143:D147 Y87:Y146 AF146:AL146 O146:O150 DP146:DP151 K146:K160 DD146:DH160 CJ146:CM165 DR146:DT170 EK146:EM170 AJ147:AL148 M147:M150 AH147:AH159 A148:F153 AJ149:AK149 AJ150:AL150 AJ151:AM153 CV151:CY160 M151:O168 A154:D154 AJ154:AK154 AM154 A155:F158 AJ155:AM161 CO156 DZ156 DW156:DY159 EA156:EA160 CQ156:CR165 CS156:CS180 A159:D159 DV160:DY160 A160:F172 DC161:DH161 DV161:EA161 EP161:XFD165 CW161:CY175 AJ162:AJ165 AL162:AM165 DD162:DH165 DW162:EA165 K166 CI166:CK166 CP166:CR166 DC166:DF166 CM166:CM170 DH166:DH170 DD166:DD172 AJ166:AM182 DV166:EA186 EO166:XFD190 CK167:CK170 CQ167:CR170 DF167:DF170 N169:O169 M170:O173 AW171:BA171 CP171:CR171 DP171:DT171 EI171:EM171 K171:K172 CJ171:CM172 DD171:DH172 AW172:AZ172 CP172:CQ172 EE172:EG175 EJ172:EM210 DQ172:DT215 AX173:AZ175 CK173:CM175 CQ173:CQ175 DF173:DH175 A173:D176 N174:O174 M175:O175 CO176 DJ176:DL176 K176:O180 AX176:AX180 AZ176:BA180 CJ176:CM180 CP176:CQ180 DN176:DN180 DD176:DH185 A177:F178 DK177:DL180 A179:D179 A180:F183 CO181 DK181:DN181 CK181:CM185 CV183:CY200 CP181:CS260 O181:O1048576 W181:W1048576 DL182:DN185 H182:I187 AJ183:AK184 AM183:AM184 AZ183:AZ185 EE176:EE188 A184:D184 A185:F186 AJ185:AM187 DK186:DL186 BA186:BA187 DN186:DN189 CJ186:CM205 DC186:DH205 A187:D187 DL187:DL189 DW187:DW189 AJ188:AK188 AM188 AX188:AX189 AZ188:BA189 A188:F192 H188:H255 EE189:EG189 AJ189:AM200 AX190:BA190 ED190:EG190 DJ190:DN190 DV190:EA191 L191:N191 EC191:EG191 AX191:AX194 AZ191:BA194 M192:M194 DW192:DW194 DY192:EA194 ED192:EG195 A193:D194 F193:F194 AX195:BA195 K195:N196 DW195:EA196 A195:F198 AX196:AX198 AZ196:BA198 ED196:EE200 EG196:EG200 M197:N197 DW197:DW198 DY197:EA198 EP197:XFD198 N198 A199:D199 K199:K200 M199:N200 AX199:BA201 DW199:EA204 EO199:XFD210 A200:F203 K201:N201 CW201:CY203 AJ201:AK205 AM201:AM205 ED201:EG210 M202:N203 AX202:AX205 AZ202:BA205 A204:D204 N204 CX204:CY204 M205:N205 CW205:CY205 DW205:DX205 DZ205:EA205 A205:F208 L206:N206 AX206:BA206 DD206:DH206 DV206:EA206 CV206:CY208 AJ206:AM210 CK206:CM215 DF207:DH210 AZ207:BA215 M207:N220 AX207:AX215 DW207:EA220 A209:D209 F209 DD209:DD210 A210:F213 CI211 EI211 DC211:DH212 AJ211:AK215 AM211:AM215 EG211:EG215 EP211:XFD215 EK211:EM220 DK212:DL215 DN212:DN215 DD213:DH216 A214:D214 A215:F218 K216 CJ216:CM216 DC216 DJ216:DN216 AZ218:AZ220 DT216:DT230 AJ216:AM232 ED216:EG260 Y261:Y1048576 EO216:XFD1048576 CK217:CK220 CM217:CM220 DF217:DH220 DK217:DN260 A219:D219 A220:F223 DC221:DH221 DV221:DW221 CJ221:CM230 DY221:DZ231 EA221:EA240 CV221:CY260 EJ221:EM260 J222 DD222:DH234 DW222:DW234 A224:D224 AZ224:BA224 A225:F231 K226:N228 AX226:BA230 K229:L229 N229 K230:N232 DP231:DT231 CI231:CM1048576 DY232:DY234 DQ232:DT260 AJ233:AK234 AM233:AM234 DY234:DZ234 K235:N235 AJ235:AM235 DV235:DW235 DZ235 DC235:DH290 K236:L240 N236:N240 CC236:CC1048576 A237:F238 AJ241:AM260 A239:D239 F239 A240:F243 DW241:EA248 AX241:BA260 K241:N1048576 A244:D244 A245:F255 DW249:DX249 DZ249:EA249 DW250:EA260 A256:H260 A261:I262 CT261:CZ263 DV261:EA267 DJ261:DN272 CO261:CS277 BI261:BL369 AF261:AM1048576 AW261:BA1048576 DO261:DT1048576 EC261:EM1048576 A263:D263 H263 A264:I264 CY264:CZ268 J264:J1048576 Q264:Q1048576 E265:F265 A265:D277 H265:I279 F266:G266 E267:F267 F268:G268 EA268:EA289 E269:F269 CT269:CZ1048576 F270:G272 E273:F273 DN273:DN295 F274:G276 E277:F277 A278:B278 CO278:CO293 CS278:CS318 A279:F279 A280:I1048576 DV290:EA1048576 DH291:DH324 DJ296:DN314 DN315:DN339 CO319:CS1048576 DC325:DH1048576 DJ340:DN1048576 DB121:DB124 DB252:DB290 AV252:AV1048576 CH252:CH1048576 CN252:CN1048576 DI252:DI1048576 DU252:DU1048576 EB252:EB1048576 BH253:BH1048576 AE254:AE1048576 BV261:BV1048576 CB261:CB1048576 CT264:CT268 K233:L234 N233:N234 F235:F236 A232:D236 F232:F233 AJ236:AK240 AM236:AM240 AD171:AD1048576 AD87:AD146 AD66:AD67 AD31:AD61 AD1:AD5 AX231:AY240 BA231:BA240 ED16:EG60 EC106:EG141 AX218:AX220 BG16:BG1048576 BG1:BG5 AU16:AU1048576 AU1:AU5 EG176:EG188 DK191:DN211 CY181:CY182 EO195:XFD196 EP191:XFD194 DY187:EA189 BS31:BT125 BT166:BT168 BT171 BT173 BT175:BT178 BT211:BT213 BT215 BS221:BT223 BS225:BT225 BS1:BT2 BS5:BT5 BS241:BT1048576">
    <cfRule type="beginsWith" dxfId="13760" priority="32048" operator="beginsWith" text="Séminaire d'intégration">
      <formula>LEFT(A1,LEN("Séminaire d'intégration"))="Séminaire d'intégration"</formula>
    </cfRule>
  </conditionalFormatting>
  <conditionalFormatting sqref="Y1:Y2 AW1:BA2 BW1:CA2 CC1:CC2 CE1:CG2 CI1:CM2 CO1:CS2 CU1:CY2 DC1:DH2 DJ1:DN2 DP1:DT2 DV1:EA2 EC1:EG2 EI1:EM2 A1:I3 EO1:XFD3 K1:O5 AF1:AM5 W1:W15 DA1:DA1048576 CA3:CA4 CG3:CG4 CM3:CM4 CS3:CS4 DH3:DH4 DN3:DN4 DT3:DT4 EA3:EA4 EG3:EG4 EM3:EM4 A4:F4 H4:I4 EP4:XFD5 A5:I5 Y5 AW5:BA5 BW5:CA5 CC5 CE5:CG5 CI5 CO5:CS5 CU5:CY5 DC5:DH5 DJ5:DN5 DP5:DT5 DV5:EA5 EC5:EG5 EI5:EM5 CJ5:CM40 EO6:XFD55 CV6:CY60 DT16 CC16:CC17 A16:H20 K16:N20 AX16:BA25 AJ16:AM30 BX16:CA30 DD16:DH35 DW16:EA35 O16:O55 DN16:DN55 EJ16:EM55 CE16:CG60 CP16:CS95 DK17:DM55 DQ17:DT55 A21:D25 K21:M25 H21:H55 K26 A26:F28 AW26:AZ31 M26:N45 A29:D29 A30:F33 K31 CC31 AF31:AL35 AX31:AX50 BW31:CA60 AX32:AZ35 A34:D34 A35:F38 DV36 AF36:AM40 AX36:BA40 K36:K45 DH36:DH60 EA36:EA60 A39:D39 A40:F40 AW41:BA41 A41:D45 AF41:AL45 CJ41:CK45 CM41:CM45 CI41:CI46 AX42:BA50 A46:F46 DC46:DF46 K46:N50 DW46:DZ55 AF46:AM60 CJ46:CM67 A47:D50 DD47:DF50 M51:M53 DD51:DG54 A51:F55 K51:K55 AX51:AZ55 M55 DE55:DG55 DJ56:DN56 A56:O58 EK56:EK59 DD56:DG60 DV56:DZ60 EP56:XFD60 AW56:BA61 DR56:DR65 DT56:DT65 EM56:EM65 CC56:CC96 DL57:DL60 DN57:DN60 A59:D59 F59:O59 A60:O60 EJ60 A61:H61 AF61 AH61:AM61 BW61 DC61:DH61 DP61 DV61:EA61 O61:O65 BY61:BY65 CA61:CA65 CE61:CE65 CG61:CG65 CY61:CY65 DK61:DN65 EC61:EG95 EO61:XFD160 Y56:Y62 AH62:AI62 A62:F63 AL62:AM65 AX62:AX65 AZ62:BA65 EK62:EK65 DD62:DH80 DW62:EA80 H62:H95 A64:D64 A65:F68 AF66:AM66 AY66:BA66 CV66:CY66 DP66:DT66 EI66:EM66 K66:O67 Y66:Y67 BW66:CA67 DJ66:DN67 CE66:CG1048576 AF67 AH67:AM67 AY67:AZ67 CU67 DP67 K67:K68 EI67:EI68 CW67:CY70 EK67:EK70 EM67:EM70 DR67:DR75 DT67:DT80 M68:O68 AL68:AL70 AZ68:AZ70 BX68:CA70 CK68:CM70 DL68:DN70 A69:D69 N69:O69 M70:O70 A70:F83 CJ71 CM71:CM75 K71:O80 CW71:CW80 DK71:DN80 EK71:EM80 AI71:AM86 BW71:BW90 BY71:CA90 AX71:BA95 CJ72:CK75 CJ76:CM83 DJ81:DN81 DP81:DT81 EI81:EM81 DC81:DH86 K81:K95 M81:O95 DV81:EA95 DK82:DN95 DQ82:DT95 EJ82:EM95 A84:D84 CJ84 CL84:CM84 A85:F88 CJ85:CM88 AF86:AG86 CU86:CY86 DE87:DH88 AF87:AM93 CV87:CY95 A89:D89 CJ89 CL89:CM89 DC89:DH89 CJ90:CM90 DD90:DH94 A90:F95 CJ91 CM91:CM95 BW91:CA111 CJ92:CL93 AF94:AK94 AM94 CJ94:CJ95 DD95:DE95 DG95:DH95 AF95:AM123 DC96 A96:I103 CS96:CS105 DH96:DH105 DN96:DN105 DT96:DT105 DV96:DV105 EA96:EA105 EC96:EC105 EG96:EG105 EM96:EM105 K96:O108 AW96:BA111 CJ96:CM130 A104:D104 H104:I104 A105:I105 A106:H106 DV106:DX106 DZ106:EA106 CV106:CY110 DK106:DN110 DD106:DH120 EJ106:EM140 DQ106:DT145 CP106:CS155 A107:F108 DW107:EA120 H107:H135 A109:D109 K109:L109 N109:O109 A110:F113 K110:O120 CC111 DN111:DN140 BX112:CA125 AX112:BA170 A114:D114 A115:F118 DJ116:DM140 A119:D119 A120:F123 DB121:DB124 L121:O125 DC121:DG140 DV121:EA141 DH121:DH145 CD121:CD1048576 A124:D124 AF124:AK124 AM124 AF125:AM126 A125:F128 O126:O130 BW126:CA1048576 AF127:AL130 A129:D129 F129 A130:F133 M131:O133 K131:K135 CK131:CM138 AF131:AM145 A134:D134 N134:O134 A135:F135 M135:O135 CO136 A136:H137 K136:O145 A138:I138 A139:D139 H139 CL139:CM139 A140:H140 CK140:CM145 EJ141 EL141:EM141 A141:F142 DK141:DN175 H141:H181 EJ142:EM145 DW142:EA155 ED142:EG171 A143:D147 Y87:Y146 AF146:AL146 O146:O150 DP146:DP151 K146:K160 DD146:DH160 CJ146:CM165 DR146:DT170 EK146:EM170 AJ147:AL148 M147:M150 AH147:AH159 A148:F153 AJ149:AK149 AJ150:AL150 AJ151:AM153 CV151:CY160 M151:O168 A154:D154 AJ154:AK154 AM154 A155:F158 AJ155:AM161 CO156 DZ156 DW156:DY159 EA156:EA160 CQ156:CR165 CS156:CS180 A159:D159 DV160:DY160 A160:F172 DC161:DH161 DV161:EA161 EP161:XFD165 CW161:CY175 AJ162:AJ165 AL162:AM165 DD162:DH165 DW162:EA165 K166 CI166:CK166 CP166:CR166 DC166:DF166 CM166:CM170 DH166:DH170 DD166:DD172 AJ166:AM182 DV166:EA186 EO166:XFD190 CK167:CK170 CQ167:CR170 DF167:DF170 N169:O169 M170:O173 AW171:BA171 CP171:CR171 DP171:DT171 EI171:EM171 K171:K172 CJ171:CM172 DD171:DH172 AW172:AZ172 CP172:CQ172 EE172:EG175 EJ172:EM210 DQ172:DT215 AX173:AZ175 CK173:CM175 CQ173:CQ175 DF173:DH175 A173:D176 N174:O174 M175:O175 CO176 DJ176:DL176 K176:O180 AX176:AX180 AZ176:BA180 CJ176:CM180 CP176:CQ180 DN176:DN180 DD176:DH185 A177:F178 DK177:DL180 A179:D179 A180:F183 CO181 DK181:DN181 CK181:CM185 CV183:CY200 CP181:CS260 O181:O1048576 W181:W1048576 DL182:DN185 H182:I187 AJ183:AK184 AM183:AM184 AZ183:AZ185 EE176:EE188 A184:D184 A185:F186 AJ185:AM187 DK186:DL186 BA186:BA187 DN186:DN189 CJ186:CM205 DC186:DH205 A187:D187 DL187:DL189 DW187:DW189 AJ188:AK188 AM188 AX188:AX189 AZ188:BA189 A188:F192 H188:H255 EE189:EG189 AJ189:AM200 AX190:BA190 ED190:EG190 DJ190:DN190 DV190:EA191 L191:N191 EC191:EG191 AX191:AX194 AZ191:BA194 M192:M194 DW192:DW194 DY192:EA194 ED192:EG195 A193:D194 F193:F194 AX195:BA195 K195:N196 DW195:EA196 A195:F198 AX196:AX198 AZ196:BA198 ED196:EE200 EG196:EG200 M197:N197 DW197:DW198 DY197:EA198 EP197:XFD198 N198 A199:D199 K199:K200 M199:N200 AX199:BA201 DW199:EA204 EO199:XFD210 A200:F203 K201:N201 CW201:CY203 AJ201:AK205 AM201:AM205 ED201:EG210 M202:N203 AX202:AX205 AZ202:BA205 A204:D204 N204 CX204:CY204 M205:N205 CW205:CY205 DW205:DX205 DZ205:EA205 A205:F208 L206:N206 AX206:BA206 DD206:DH206 DV206:EA206 CV206:CY208 AJ206:AM210 CK206:CM215 DF207:DH210 AZ207:BA215 M207:N220 AX207:AX215 DW207:EA220 A209:D209 F209 DD209:DD210 A210:F213 CI211 EI211 DC211:DH212 AJ211:AK215 AM211:AM215 EG211:EG215 EP211:XFD215 EK211:EM220 DK212:DL215 DN212:DN215 DD213:DH216 A214:D214 A215:F218 K216 CJ216:CM216 DC216 DJ216:DN216 AZ218:AZ220 DT216:DT230 AJ216:AM232 ED216:EG260 Y261:Y1048576 EO216:XFD1048576 CK217:CK220 CM217:CM220 DF217:DH220 DK217:DN260 A219:D219 A220:F223 DC221:DH221 DV221:DW221 CJ221:CM230 DY221:DZ231 EA221:EA240 CV221:CY260 EJ221:EM260 J222 DD222:DH234 DW222:DW234 A224:D224 AZ224:BA224 A225:F231 K226:N228 AX226:BA230 K229:L229 N229 K230:N232 DP231:DT231 CI231:CM1048576 DY232:DY234 DQ232:DT260 AJ233:AK234 AM233:AM234 DY234:DZ234 K235:N235 AJ235:AM235 DV235:DW235 DZ235 DC235:DH290 K236:L240 N236:N240 CC236:CC1048576 A237:F238 AJ241:AM260 A239:D239 F239 A240:F243 DW241:EA248 AX241:BA260 K241:N1048576 A244:D244 A245:F255 DW249:DX249 DZ249:EA249 DW250:EA260 DB252:DB290 AV252:AV1048576 CH252:CH1048576 CN252:CN1048576 DI252:DI1048576 DU252:DU1048576 EB252:EB1048576 BH253:BH1048576 AE254:AE1048576 A256:H260 A261:I262 CT261:CZ263 DV261:EA267 DJ261:DN272 CO261:CS277 BI261:BL369 AF261:AM1048576 AW261:BA1048576 BV261:BV1048576 CB261:CB1048576 DO261:DT1048576 EC261:EM1048576 A263:D263 H263 A264:I264 CT264:CT268 CY264:CZ268 J264:J1048576 Q264:Q1048576 E265:F265 A265:D277 H265:I279 F266:G266 E267:F267 F268:G268 EA268:EA289 E269:F269 CT269:CZ1048576 F270:G272 E273:F273 DN273:DN295 F274:G276 E277:F277 A278:B278 CO278:CO293 CS278:CS318 A279:F279 A280:I1048576 DV290:EA1048576 DH291:DH324 DJ296:DN314 DN315:DN339 CO319:CS1048576 DC325:DH1048576 DJ340:DN1048576 K233:L234 N233:N234 F235:F236 A232:D236 F232:F233 AJ236:AK240 AM236:AM240 AD171:AD1048576 AD87:AD146 AD66:AD67 AD31:AD61 AD1:AD5 AX231:AY240 BA231:BA240 ED16:EG60 EC106:EG141 AX218:AX220 BG16:BG1048576 BG1:BG5 AU16:AU1048576 AU1:AU5 EG176:EG188 DK191:DN211 CY181:CY182 EO195:XFD196 EP191:XFD194 DY187:EA189 BS31:BT125 BT166:BT168 BT171 BT173 BT175:BT178 BT211:BT213 BT215 BS221:BT223 BS225:BT225 BS1:BT2 BS5:BT5 BS241:BT1048576">
    <cfRule type="beginsWith" dxfId="13759" priority="32049" operator="beginsWith" text="Accueil">
      <formula>LEFT(A1,LEN("Accueil"))="Accueil"</formula>
    </cfRule>
  </conditionalFormatting>
  <conditionalFormatting sqref="AD6:AD10">
    <cfRule type="beginsWith" dxfId="13758" priority="18264" operator="beginsWith" text="Lancement Projet fil rouge">
      <formula>LEFT(AD6,LEN("Lancement Projet fil rouge"))="Lancement Projet fil rouge"</formula>
    </cfRule>
    <cfRule type="beginsWith" dxfId="13757" priority="18265" operator="beginsWith" text="Vacances">
      <formula>LEFT(AD6,LEN("Vacances"))="Vacances"</formula>
    </cfRule>
    <cfRule type="beginsWith" dxfId="13756" priority="18266" operator="beginsWith" text="Séminaire d'intégration">
      <formula>LEFT(AD6,LEN("Séminaire d'intégration"))="Séminaire d'intégration"</formula>
    </cfRule>
    <cfRule type="beginsWith" dxfId="13755" priority="18267" operator="beginsWith" text="Accueil">
      <formula>LEFT(AD6,LEN("Accueil"))="Accueil"</formula>
    </cfRule>
    <cfRule type="beginsWith" dxfId="13754" priority="18270" operator="beginsWith" text="Stage">
      <formula>LEFT(AD6,LEN("Stage"))="Stage"</formula>
    </cfRule>
    <cfRule type="beginsWith" dxfId="13753" priority="18271" operator="beginsWith" text="Entreprise">
      <formula>LEFT(AD6,LEN("Entreprise"))="Entreprise"</formula>
    </cfRule>
    <cfRule type="beginsWith" dxfId="13752" priority="18273" operator="beginsWith" text="Voltaire">
      <formula>LEFT(AD6,LEN("Voltaire"))="Voltaire"</formula>
    </cfRule>
  </conditionalFormatting>
  <conditionalFormatting sqref="AD11:AD15">
    <cfRule type="beginsWith" dxfId="13751" priority="23570" operator="beginsWith" text="Lancement Projet fil rouge">
      <formula>LEFT(AD11,LEN("Lancement Projet fil rouge"))="Lancement Projet fil rouge"</formula>
    </cfRule>
    <cfRule type="beginsWith" dxfId="13750" priority="23571" operator="beginsWith" text="Vacances">
      <formula>LEFT(AD11,LEN("Vacances"))="Vacances"</formula>
    </cfRule>
    <cfRule type="beginsWith" dxfId="13749" priority="23572" operator="beginsWith" text="Séminaire d'intégration">
      <formula>LEFT(AD11,LEN("Séminaire d'intégration"))="Séminaire d'intégration"</formula>
    </cfRule>
    <cfRule type="beginsWith" dxfId="13748" priority="23573" operator="beginsWith" text="Accueil">
      <formula>LEFT(AD11,LEN("Accueil"))="Accueil"</formula>
    </cfRule>
    <cfRule type="beginsWith" dxfId="13747" priority="23576" operator="beginsWith" text="Stage">
      <formula>LEFT(AD11,LEN("Stage"))="Stage"</formula>
    </cfRule>
    <cfRule type="beginsWith" dxfId="13746" priority="23577" operator="beginsWith" text="Entreprise">
      <formula>LEFT(AD11,LEN("Entreprise"))="Entreprise"</formula>
    </cfRule>
    <cfRule type="beginsWith" dxfId="13745" priority="23579" operator="beginsWith" text="Voltaire">
      <formula>LEFT(AD11,LEN("Voltaire"))="Voltaire"</formula>
    </cfRule>
  </conditionalFormatting>
  <conditionalFormatting sqref="AD16:AD30 AD62:AD65 AD147:AD170 AD68:AD86">
    <cfRule type="beginsWith" dxfId="13744" priority="23581" operator="beginsWith" text="Lancement Projet fil rouge">
      <formula>LEFT(AD16,LEN("Lancement Projet fil rouge"))="Lancement Projet fil rouge"</formula>
    </cfRule>
    <cfRule type="beginsWith" dxfId="13743" priority="23582" operator="beginsWith" text="Vacances">
      <formula>LEFT(AD16,LEN("Vacances"))="Vacances"</formula>
    </cfRule>
    <cfRule type="beginsWith" dxfId="13742" priority="23583" operator="beginsWith" text="Séminaire d'intégration">
      <formula>LEFT(AD16,LEN("Séminaire d'intégration"))="Séminaire d'intégration"</formula>
    </cfRule>
    <cfRule type="beginsWith" dxfId="13741" priority="23584" operator="beginsWith" text="Accueil">
      <formula>LEFT(AD16,LEN("Accueil"))="Accueil"</formula>
    </cfRule>
    <cfRule type="beginsWith" dxfId="13740" priority="23587" operator="beginsWith" text="Stage">
      <formula>LEFT(AD16,LEN("Stage"))="Stage"</formula>
    </cfRule>
    <cfRule type="beginsWith" dxfId="13739" priority="23588" operator="beginsWith" text="Entreprise">
      <formula>LEFT(AD16,LEN("Entreprise"))="Entreprise"</formula>
    </cfRule>
    <cfRule type="beginsWith" dxfId="13738" priority="23590" operator="beginsWith" text="Voltaire">
      <formula>LEFT(AD16,LEN("Voltaire"))="Voltaire"</formula>
    </cfRule>
  </conditionalFormatting>
  <conditionalFormatting sqref="AE1:AE3 Y5 AE43:AE55 AE61:AF61 AE171 AD5:AE5">
    <cfRule type="beginsWith" dxfId="13737" priority="30888" operator="beginsWith" text="Lancement Projet fil rouge">
      <formula>LEFT(Y1,LEN("Lancement Projet fil rouge"))="Lancement Projet fil rouge"</formula>
    </cfRule>
  </conditionalFormatting>
  <conditionalFormatting sqref="AE21">
    <cfRule type="beginsWith" dxfId="13736" priority="30807" operator="beginsWith" text="Projet professionnel : Séminaire PFI">
      <formula>LEFT(AE21,LEN("Projet professionnel : Séminaire PFI"))="Projet professionnel : Séminaire PFI"</formula>
    </cfRule>
    <cfRule type="beginsWith" dxfId="13735" priority="30808" operator="beginsWith" text="Lancement Projet fil rouge">
      <formula>LEFT(AE21,LEN("Lancement Projet fil rouge"))="Lancement Projet fil rouge"</formula>
    </cfRule>
    <cfRule type="beginsWith" dxfId="13734" priority="30809" operator="beginsWith" text="Vacances">
      <formula>LEFT(AE21,LEN("Vacances"))="Vacances"</formula>
    </cfRule>
    <cfRule type="beginsWith" dxfId="13733" priority="30810" operator="beginsWith" text="Séminaire d'intégration">
      <formula>LEFT(AE21,LEN("Séminaire d'intégration"))="Séminaire d'intégration"</formula>
    </cfRule>
    <cfRule type="beginsWith" dxfId="13732" priority="30811" operator="beginsWith" text="Accueil">
      <formula>LEFT(AE21,LEN("Accueil"))="Accueil"</formula>
    </cfRule>
    <cfRule type="beginsWith" dxfId="13731" priority="30812" operator="beginsWith" text="Stage">
      <formula>LEFT(AE21,LEN("Stage"))="Stage"</formula>
    </cfRule>
    <cfRule type="beginsWith" dxfId="13730" priority="30813" operator="beginsWith" text="Entreprise">
      <formula>LEFT(AE21,LEN("Entreprise"))="Entreprise"</formula>
    </cfRule>
    <cfRule type="beginsWith" dxfId="13729" priority="30814" operator="beginsWith" text="Voltaire">
      <formula>LEFT(AE21,LEN("Voltaire"))="Voltaire"</formula>
    </cfRule>
  </conditionalFormatting>
  <conditionalFormatting sqref="AE31">
    <cfRule type="beginsWith" dxfId="13728" priority="30815" operator="beginsWith" text="Projet professionnel : Séminaire PFI">
      <formula>LEFT(AE31,LEN("Projet professionnel : Séminaire PFI"))="Projet professionnel : Séminaire PFI"</formula>
    </cfRule>
    <cfRule type="beginsWith" dxfId="13727" priority="30816" operator="beginsWith" text="Lancement Projet fil rouge">
      <formula>LEFT(AE31,LEN("Lancement Projet fil rouge"))="Lancement Projet fil rouge"</formula>
    </cfRule>
    <cfRule type="beginsWith" dxfId="13726" priority="30817" operator="beginsWith" text="Vacances">
      <formula>LEFT(AE31,LEN("Vacances"))="Vacances"</formula>
    </cfRule>
    <cfRule type="beginsWith" dxfId="13725" priority="30818" operator="beginsWith" text="Séminaire d'intégration">
      <formula>LEFT(AE31,LEN("Séminaire d'intégration"))="Séminaire d'intégration"</formula>
    </cfRule>
    <cfRule type="beginsWith" dxfId="13724" priority="30819" operator="beginsWith" text="Accueil">
      <formula>LEFT(AE31,LEN("Accueil"))="Accueil"</formula>
    </cfRule>
    <cfRule type="beginsWith" dxfId="13723" priority="30820" operator="beginsWith" text="Stage">
      <formula>LEFT(AE31,LEN("Stage"))="Stage"</formula>
    </cfRule>
    <cfRule type="beginsWith" dxfId="13722" priority="30821" operator="beginsWith" text="Entreprise">
      <formula>LEFT(AE31,LEN("Entreprise"))="Entreprise"</formula>
    </cfRule>
    <cfRule type="beginsWith" dxfId="13721" priority="30822" operator="beginsWith" text="Voltaire">
      <formula>LEFT(AE31,LEN("Voltaire"))="Voltaire"</formula>
    </cfRule>
  </conditionalFormatting>
  <conditionalFormatting sqref="AE41:AE42">
    <cfRule type="beginsWith" dxfId="13720" priority="30823" operator="beginsWith" text="Projet professionnel : Séminaire PFI">
      <formula>LEFT(AE41,LEN("Projet professionnel : Séminaire PFI"))="Projet professionnel : Séminaire PFI"</formula>
    </cfRule>
    <cfRule type="beginsWith" dxfId="13719" priority="30824" operator="beginsWith" text="Lancement Projet fil rouge">
      <formula>LEFT(AE41,LEN("Lancement Projet fil rouge"))="Lancement Projet fil rouge"</formula>
    </cfRule>
    <cfRule type="beginsWith" dxfId="13718" priority="30825" operator="beginsWith" text="Vacances">
      <formula>LEFT(AE41,LEN("Vacances"))="Vacances"</formula>
    </cfRule>
    <cfRule type="beginsWith" dxfId="13717" priority="30826" operator="beginsWith" text="Séminaire d'intégration">
      <formula>LEFT(AE41,LEN("Séminaire d'intégration"))="Séminaire d'intégration"</formula>
    </cfRule>
    <cfRule type="beginsWith" dxfId="13716" priority="30827" operator="beginsWith" text="Accueil">
      <formula>LEFT(AE41,LEN("Accueil"))="Accueil"</formula>
    </cfRule>
    <cfRule type="beginsWith" dxfId="13715" priority="30828" operator="beginsWith" text="Stage">
      <formula>LEFT(AE41,LEN("Stage"))="Stage"</formula>
    </cfRule>
    <cfRule type="beginsWith" dxfId="13714" priority="30829" operator="beginsWith" text="Entreprise">
      <formula>LEFT(AE41,LEN("Entreprise"))="Entreprise"</formula>
    </cfRule>
    <cfRule type="beginsWith" dxfId="13713" priority="30830" operator="beginsWith" text="Voltaire">
      <formula>LEFT(AE41,LEN("Voltaire"))="Voltaire"</formula>
    </cfRule>
  </conditionalFormatting>
  <conditionalFormatting sqref="AE56">
    <cfRule type="beginsWith" dxfId="13712" priority="30831" operator="beginsWith" text="Projet professionnel : Séminaire PFI">
      <formula>LEFT(AE56,LEN("Projet professionnel : Séminaire PFI"))="Projet professionnel : Séminaire PFI"</formula>
    </cfRule>
    <cfRule type="beginsWith" dxfId="13711" priority="30832" operator="beginsWith" text="Lancement Projet fil rouge">
      <formula>LEFT(AE56,LEN("Lancement Projet fil rouge"))="Lancement Projet fil rouge"</formula>
    </cfRule>
    <cfRule type="beginsWith" dxfId="13710" priority="30833" operator="beginsWith" text="Vacances">
      <formula>LEFT(AE56,LEN("Vacances"))="Vacances"</formula>
    </cfRule>
    <cfRule type="beginsWith" dxfId="13709" priority="30834" operator="beginsWith" text="Séminaire d'intégration">
      <formula>LEFT(AE56,LEN("Séminaire d'intégration"))="Séminaire d'intégration"</formula>
    </cfRule>
    <cfRule type="beginsWith" dxfId="13708" priority="30835" operator="beginsWith" text="Accueil">
      <formula>LEFT(AE56,LEN("Accueil"))="Accueil"</formula>
    </cfRule>
    <cfRule type="beginsWith" dxfId="13707" priority="30836" operator="beginsWith" text="Stage">
      <formula>LEFT(AE56,LEN("Stage"))="Stage"</formula>
    </cfRule>
    <cfRule type="beginsWith" dxfId="13706" priority="30837" operator="beginsWith" text="Entreprise">
      <formula>LEFT(AE56,LEN("Entreprise"))="Entreprise"</formula>
    </cfRule>
    <cfRule type="beginsWith" dxfId="13705" priority="30838" operator="beginsWith" text="Voltaire">
      <formula>LEFT(AE56,LEN("Voltaire"))="Voltaire"</formula>
    </cfRule>
  </conditionalFormatting>
  <conditionalFormatting sqref="AE66:AE70">
    <cfRule type="beginsWith" dxfId="13704" priority="30727" operator="beginsWith" text="Projet professionnel : Séminaire PFI">
      <formula>LEFT(AE66,LEN("Projet professionnel : Séminaire PFI"))="Projet professionnel : Séminaire PFI"</formula>
    </cfRule>
    <cfRule type="beginsWith" dxfId="13703" priority="30728" operator="beginsWith" text="Lancement Projet fil rouge">
      <formula>LEFT(AE66,LEN("Lancement Projet fil rouge"))="Lancement Projet fil rouge"</formula>
    </cfRule>
    <cfRule type="beginsWith" dxfId="13702" priority="30729" operator="beginsWith" text="Vacances">
      <formula>LEFT(AE66,LEN("Vacances"))="Vacances"</formula>
    </cfRule>
    <cfRule type="beginsWith" dxfId="13701" priority="30730" operator="beginsWith" text="Séminaire d'intégration">
      <formula>LEFT(AE66,LEN("Séminaire d'intégration"))="Séminaire d'intégration"</formula>
    </cfRule>
    <cfRule type="beginsWith" dxfId="13700" priority="30731" operator="beginsWith" text="Accueil">
      <formula>LEFT(AE66,LEN("Accueil"))="Accueil"</formula>
    </cfRule>
    <cfRule type="beginsWith" dxfId="13699" priority="30732" operator="beginsWith" text="Stage">
      <formula>LEFT(AE66,LEN("Stage"))="Stage"</formula>
    </cfRule>
    <cfRule type="beginsWith" dxfId="13698" priority="30733" operator="beginsWith" text="Entreprise">
      <formula>LEFT(AE66,LEN("Entreprise"))="Entreprise"</formula>
    </cfRule>
    <cfRule type="beginsWith" dxfId="13697" priority="30734" operator="beginsWith" text="Voltaire">
      <formula>LEFT(AE66,LEN("Voltaire"))="Voltaire"</formula>
    </cfRule>
  </conditionalFormatting>
  <conditionalFormatting sqref="AE86">
    <cfRule type="beginsWith" dxfId="13696" priority="30735" operator="beginsWith" text="Projet professionnel : Séminaire PFI">
      <formula>LEFT(AE86,LEN("Projet professionnel : Séminaire PFI"))="Projet professionnel : Séminaire PFI"</formula>
    </cfRule>
    <cfRule type="beginsWith" dxfId="13695" priority="30737" operator="beginsWith" text="Vacances">
      <formula>LEFT(AE86,LEN("Vacances"))="Vacances"</formula>
    </cfRule>
    <cfRule type="beginsWith" dxfId="13694" priority="30738" operator="beginsWith" text="Séminaire d'intégration">
      <formula>LEFT(AE86,LEN("Séminaire d'intégration"))="Séminaire d'intégration"</formula>
    </cfRule>
    <cfRule type="beginsWith" dxfId="13693" priority="30739" operator="beginsWith" text="Accueil">
      <formula>LEFT(AE86,LEN("Accueil"))="Accueil"</formula>
    </cfRule>
    <cfRule type="beginsWith" dxfId="13692" priority="30740" operator="beginsWith" text="Stage">
      <formula>LEFT(AE86,LEN("Stage"))="Stage"</formula>
    </cfRule>
    <cfRule type="beginsWith" dxfId="13691" priority="30741" operator="beginsWith" text="Entreprise">
      <formula>LEFT(AE86,LEN("Entreprise"))="Entreprise"</formula>
    </cfRule>
    <cfRule type="beginsWith" dxfId="13690" priority="30742" operator="beginsWith" text="Voltaire">
      <formula>LEFT(AE86,LEN("Voltaire"))="Voltaire"</formula>
    </cfRule>
  </conditionalFormatting>
  <conditionalFormatting sqref="AE91:AE95 AE101:AE105">
    <cfRule type="beginsWith" dxfId="13689" priority="30759" operator="beginsWith" text="Projet professionnel : Séminaire PFI">
      <formula>LEFT(AE91,LEN("Projet professionnel : Séminaire PFI"))="Projet professionnel : Séminaire PFI"</formula>
    </cfRule>
    <cfRule type="beginsWith" dxfId="13688" priority="30760" operator="beginsWith" text="Lancement Projet fil rouge">
      <formula>LEFT(AE91,LEN("Lancement Projet fil rouge"))="Lancement Projet fil rouge"</formula>
    </cfRule>
    <cfRule type="beginsWith" dxfId="13687" priority="30761" operator="beginsWith" text="Vacances">
      <formula>LEFT(AE91,LEN("Vacances"))="Vacances"</formula>
    </cfRule>
    <cfRule type="beginsWith" dxfId="13686" priority="30762" operator="beginsWith" text="Séminaire d'intégration">
      <formula>LEFT(AE91,LEN("Séminaire d'intégration"))="Séminaire d'intégration"</formula>
    </cfRule>
    <cfRule type="beginsWith" dxfId="13685" priority="30763" operator="beginsWith" text="Accueil">
      <formula>LEFT(AE91,LEN("Accueil"))="Accueil"</formula>
    </cfRule>
    <cfRule type="beginsWith" dxfId="13684" priority="30764" operator="beginsWith" text="Stage">
      <formula>LEFT(AE91,LEN("Stage"))="Stage"</formula>
    </cfRule>
    <cfRule type="beginsWith" dxfId="13683" priority="30765" operator="beginsWith" text="Entreprise">
      <formula>LEFT(AE91,LEN("Entreprise"))="Entreprise"</formula>
    </cfRule>
    <cfRule type="beginsWith" dxfId="13682" priority="30766" operator="beginsWith" text="Voltaire">
      <formula>LEFT(AE91,LEN("Voltaire"))="Voltaire"</formula>
    </cfRule>
  </conditionalFormatting>
  <conditionalFormatting sqref="AE96">
    <cfRule type="beginsWith" dxfId="13681" priority="30751" operator="beginsWith" text="Projet professionnel : Séminaire PFI">
      <formula>LEFT(AE96,LEN("Projet professionnel : Séminaire PFI"))="Projet professionnel : Séminaire PFI"</formula>
    </cfRule>
    <cfRule type="beginsWith" dxfId="13680" priority="30752" operator="beginsWith" text="Lancement Projet fil rouge">
      <formula>LEFT(AE96,LEN("Lancement Projet fil rouge"))="Lancement Projet fil rouge"</formula>
    </cfRule>
    <cfRule type="beginsWith" dxfId="13679" priority="30753" operator="beginsWith" text="Vacances">
      <formula>LEFT(AE96,LEN("Vacances"))="Vacances"</formula>
    </cfRule>
    <cfRule type="beginsWith" dxfId="13678" priority="30754" operator="beginsWith" text="Séminaire d'intégration">
      <formula>LEFT(AE96,LEN("Séminaire d'intégration"))="Séminaire d'intégration"</formula>
    </cfRule>
    <cfRule type="beginsWith" dxfId="13677" priority="30755" operator="beginsWith" text="Accueil">
      <formula>LEFT(AE96,LEN("Accueil"))="Accueil"</formula>
    </cfRule>
    <cfRule type="beginsWith" dxfId="13676" priority="30756" operator="beginsWith" text="Stage">
      <formula>LEFT(AE96,LEN("Stage"))="Stage"</formula>
    </cfRule>
    <cfRule type="beginsWith" dxfId="13675" priority="30757" operator="beginsWith" text="Entreprise">
      <formula>LEFT(AE96,LEN("Entreprise"))="Entreprise"</formula>
    </cfRule>
    <cfRule type="beginsWith" dxfId="13674" priority="30758" operator="beginsWith" text="Voltaire">
      <formula>LEFT(AE96,LEN("Voltaire"))="Voltaire"</formula>
    </cfRule>
  </conditionalFormatting>
  <conditionalFormatting sqref="AE131">
    <cfRule type="beginsWith" dxfId="13673" priority="30863" operator="beginsWith" text="Projet professionnel : Séminaire PFI">
      <formula>LEFT(AE131,LEN("Projet professionnel : Séminaire PFI"))="Projet professionnel : Séminaire PFI"</formula>
    </cfRule>
    <cfRule type="beginsWith" dxfId="13672" priority="30864" operator="beginsWith" text="Lancement Projet fil rouge">
      <formula>LEFT(AE131,LEN("Lancement Projet fil rouge"))="Lancement Projet fil rouge"</formula>
    </cfRule>
    <cfRule type="beginsWith" dxfId="13671" priority="30865" operator="beginsWith" text="Vacances">
      <formula>LEFT(AE131,LEN("Vacances"))="Vacances"</formula>
    </cfRule>
    <cfRule type="beginsWith" dxfId="13670" priority="30866" operator="beginsWith" text="Séminaire d'intégration">
      <formula>LEFT(AE131,LEN("Séminaire d'intégration"))="Séminaire d'intégration"</formula>
    </cfRule>
    <cfRule type="beginsWith" dxfId="13669" priority="30867" operator="beginsWith" text="Accueil">
      <formula>LEFT(AE131,LEN("Accueil"))="Accueil"</formula>
    </cfRule>
    <cfRule type="beginsWith" dxfId="13668" priority="30868" operator="beginsWith" text="Stage">
      <formula>LEFT(AE131,LEN("Stage"))="Stage"</formula>
    </cfRule>
    <cfRule type="beginsWith" dxfId="13667" priority="30869" operator="beginsWith" text="Entreprise">
      <formula>LEFT(AE131,LEN("Entreprise"))="Entreprise"</formula>
    </cfRule>
    <cfRule type="beginsWith" dxfId="13666" priority="30870" operator="beginsWith" text="Voltaire">
      <formula>LEFT(AE131,LEN("Voltaire"))="Voltaire"</formula>
    </cfRule>
  </conditionalFormatting>
  <conditionalFormatting sqref="AE136:AE139">
    <cfRule type="beginsWith" dxfId="13665" priority="30855" operator="beginsWith" text="Projet professionnel : Séminaire PFI">
      <formula>LEFT(AE136,LEN("Projet professionnel : Séminaire PFI"))="Projet professionnel : Séminaire PFI"</formula>
    </cfRule>
    <cfRule type="beginsWith" dxfId="13664" priority="30856" operator="beginsWith" text="Lancement Projet fil rouge">
      <formula>LEFT(AE136,LEN("Lancement Projet fil rouge"))="Lancement Projet fil rouge"</formula>
    </cfRule>
    <cfRule type="beginsWith" dxfId="13663" priority="30857" operator="beginsWith" text="Vacances">
      <formula>LEFT(AE136,LEN("Vacances"))="Vacances"</formula>
    </cfRule>
    <cfRule type="beginsWith" dxfId="13662" priority="30858" operator="beginsWith" text="Séminaire d'intégration">
      <formula>LEFT(AE136,LEN("Séminaire d'intégration"))="Séminaire d'intégration"</formula>
    </cfRule>
    <cfRule type="beginsWith" dxfId="13661" priority="30859" operator="beginsWith" text="Accueil">
      <formula>LEFT(AE136,LEN("Accueil"))="Accueil"</formula>
    </cfRule>
    <cfRule type="beginsWith" dxfId="13660" priority="30860" operator="beginsWith" text="Stage">
      <formula>LEFT(AE136,LEN("Stage"))="Stage"</formula>
    </cfRule>
    <cfRule type="beginsWith" dxfId="13659" priority="30861" operator="beginsWith" text="Entreprise">
      <formula>LEFT(AE136,LEN("Entreprise"))="Entreprise"</formula>
    </cfRule>
    <cfRule type="beginsWith" dxfId="13658" priority="30862" operator="beginsWith" text="Voltaire">
      <formula>LEFT(AE136,LEN("Voltaire"))="Voltaire"</formula>
    </cfRule>
  </conditionalFormatting>
  <conditionalFormatting sqref="AE140">
    <cfRule type="beginsWith" dxfId="13657" priority="30775" operator="beginsWith" text="Projet professionnel : Séminaire PFI">
      <formula>LEFT(AE140,LEN("Projet professionnel : Séminaire PFI"))="Projet professionnel : Séminaire PFI"</formula>
    </cfRule>
    <cfRule type="beginsWith" dxfId="13656" priority="30776" operator="beginsWith" text="Lancement Projet fil rouge">
      <formula>LEFT(AE140,LEN("Lancement Projet fil rouge"))="Lancement Projet fil rouge"</formula>
    </cfRule>
    <cfRule type="beginsWith" dxfId="13655" priority="30777" operator="beginsWith" text="Vacances">
      <formula>LEFT(AE140,LEN("Vacances"))="Vacances"</formula>
    </cfRule>
    <cfRule type="beginsWith" dxfId="13654" priority="30778" operator="beginsWith" text="Séminaire d'intégration">
      <formula>LEFT(AE140,LEN("Séminaire d'intégration"))="Séminaire d'intégration"</formula>
    </cfRule>
    <cfRule type="beginsWith" dxfId="13653" priority="30779" operator="beginsWith" text="Accueil">
      <formula>LEFT(AE140,LEN("Accueil"))="Accueil"</formula>
    </cfRule>
    <cfRule type="beginsWith" dxfId="13652" priority="30780" operator="beginsWith" text="Stage">
      <formula>LEFT(AE140,LEN("Stage"))="Stage"</formula>
    </cfRule>
    <cfRule type="beginsWith" dxfId="13651" priority="30781" operator="beginsWith" text="Entreprise">
      <formula>LEFT(AE140,LEN("Entreprise"))="Entreprise"</formula>
    </cfRule>
    <cfRule type="beginsWith" dxfId="13650" priority="30782" operator="beginsWith" text="Voltaire">
      <formula>LEFT(AE140,LEN("Voltaire"))="Voltaire"</formula>
    </cfRule>
  </conditionalFormatting>
  <conditionalFormatting sqref="AE156:AE160">
    <cfRule type="beginsWith" dxfId="13649" priority="14828" operator="beginsWith" text="Projet professionnel : Séminaire PFI">
      <formula>LEFT(AE156,LEN("Projet professionnel : Séminaire PFI"))="Projet professionnel : Séminaire PFI"</formula>
    </cfRule>
    <cfRule type="beginsWith" dxfId="13648" priority="14829" operator="beginsWith" text="Lancement Projet fil rouge">
      <formula>LEFT(AE156,LEN("Lancement Projet fil rouge"))="Lancement Projet fil rouge"</formula>
    </cfRule>
    <cfRule type="beginsWith" dxfId="13647" priority="14830" operator="beginsWith" text="Vacances">
      <formula>LEFT(AE156,LEN("Vacances"))="Vacances"</formula>
    </cfRule>
    <cfRule type="beginsWith" dxfId="13646" priority="14831" operator="beginsWith" text="Séminaire d'intégration">
      <formula>LEFT(AE156,LEN("Séminaire d'intégration"))="Séminaire d'intégration"</formula>
    </cfRule>
    <cfRule type="beginsWith" dxfId="13645" priority="14832" operator="beginsWith" text="Accueil">
      <formula>LEFT(AE156,LEN("Accueil"))="Accueil"</formula>
    </cfRule>
    <cfRule type="beginsWith" dxfId="13644" priority="14833" operator="beginsWith" text="Stage">
      <formula>LEFT(AE156,LEN("Stage"))="Stage"</formula>
    </cfRule>
    <cfRule type="beginsWith" dxfId="13643" priority="14834" operator="beginsWith" text="Entreprise">
      <formula>LEFT(AE156,LEN("Entreprise"))="Entreprise"</formula>
    </cfRule>
    <cfRule type="beginsWith" dxfId="13642" priority="14835" operator="beginsWith" text="Voltaire">
      <formula>LEFT(AE156,LEN("Voltaire"))="Voltaire"</formula>
    </cfRule>
  </conditionalFormatting>
  <conditionalFormatting sqref="AE166">
    <cfRule type="beginsWith" dxfId="13641" priority="30799" operator="beginsWith" text="Projet professionnel : Séminaire PFI">
      <formula>LEFT(AE166,LEN("Projet professionnel : Séminaire PFI"))="Projet professionnel : Séminaire PFI"</formula>
    </cfRule>
    <cfRule type="beginsWith" dxfId="13640" priority="30800" operator="beginsWith" text="Lancement Projet fil rouge">
      <formula>LEFT(AE166,LEN("Lancement Projet fil rouge"))="Lancement Projet fil rouge"</formula>
    </cfRule>
    <cfRule type="beginsWith" dxfId="13639" priority="30801" operator="beginsWith" text="Vacances">
      <formula>LEFT(AE166,LEN("Vacances"))="Vacances"</formula>
    </cfRule>
    <cfRule type="beginsWith" dxfId="13638" priority="30802" operator="beginsWith" text="Séminaire d'intégration">
      <formula>LEFT(AE166,LEN("Séminaire d'intégration"))="Séminaire d'intégration"</formula>
    </cfRule>
    <cfRule type="beginsWith" dxfId="13637" priority="30803" operator="beginsWith" text="Accueil">
      <formula>LEFT(AE166,LEN("Accueil"))="Accueil"</formula>
    </cfRule>
    <cfRule type="beginsWith" dxfId="13636" priority="30804" operator="beginsWith" text="Stage">
      <formula>LEFT(AE166,LEN("Stage"))="Stage"</formula>
    </cfRule>
    <cfRule type="beginsWith" dxfId="13635" priority="30805" operator="beginsWith" text="Entreprise">
      <formula>LEFT(AE166,LEN("Entreprise"))="Entreprise"</formula>
    </cfRule>
    <cfRule type="beginsWith" dxfId="13634" priority="30806" operator="beginsWith" text="Voltaire">
      <formula>LEFT(AE166,LEN("Voltaire"))="Voltaire"</formula>
    </cfRule>
  </conditionalFormatting>
  <conditionalFormatting sqref="AE176">
    <cfRule type="beginsWith" dxfId="13633" priority="30783" operator="beginsWith" text="Projet professionnel : Séminaire PFI">
      <formula>LEFT(AE176,LEN("Projet professionnel : Séminaire PFI"))="Projet professionnel : Séminaire PFI"</formula>
    </cfRule>
    <cfRule type="beginsWith" dxfId="13632" priority="30784" operator="beginsWith" text="Lancement Projet fil rouge">
      <formula>LEFT(AE176,LEN("Lancement Projet fil rouge"))="Lancement Projet fil rouge"</formula>
    </cfRule>
    <cfRule type="beginsWith" dxfId="13631" priority="30785" operator="beginsWith" text="Vacances">
      <formula>LEFT(AE176,LEN("Vacances"))="Vacances"</formula>
    </cfRule>
    <cfRule type="beginsWith" dxfId="13630" priority="30786" operator="beginsWith" text="Séminaire d'intégration">
      <formula>LEFT(AE176,LEN("Séminaire d'intégration"))="Séminaire d'intégration"</formula>
    </cfRule>
    <cfRule type="beginsWith" dxfId="13629" priority="30787" operator="beginsWith" text="Accueil">
      <formula>LEFT(AE176,LEN("Accueil"))="Accueil"</formula>
    </cfRule>
    <cfRule type="beginsWith" dxfId="13628" priority="30788" operator="beginsWith" text="Stage">
      <formula>LEFT(AE176,LEN("Stage"))="Stage"</formula>
    </cfRule>
    <cfRule type="beginsWith" dxfId="13627" priority="30789" operator="beginsWith" text="Entreprise">
      <formula>LEFT(AE176,LEN("Entreprise"))="Entreprise"</formula>
    </cfRule>
    <cfRule type="beginsWith" dxfId="13626" priority="30790" operator="beginsWith" text="Voltaire">
      <formula>LEFT(AE176,LEN("Voltaire"))="Voltaire"</formula>
    </cfRule>
  </conditionalFormatting>
  <conditionalFormatting sqref="AE196:AE210">
    <cfRule type="beginsWith" dxfId="13625" priority="30719" operator="beginsWith" text="Projet professionnel : Séminaire PFI">
      <formula>LEFT(AE196,LEN("Projet professionnel : Séminaire PFI"))="Projet professionnel : Séminaire PFI"</formula>
    </cfRule>
    <cfRule type="beginsWith" dxfId="13624" priority="30720" operator="beginsWith" text="Lancement Projet fil rouge">
      <formula>LEFT(AE196,LEN("Lancement Projet fil rouge"))="Lancement Projet fil rouge"</formula>
    </cfRule>
    <cfRule type="beginsWith" dxfId="13623" priority="30721" operator="beginsWith" text="Vacances">
      <formula>LEFT(AE196,LEN("Vacances"))="Vacances"</formula>
    </cfRule>
    <cfRule type="beginsWith" dxfId="13622" priority="30722" operator="beginsWith" text="Séminaire d'intégration">
      <formula>LEFT(AE196,LEN("Séminaire d'intégration"))="Séminaire d'intégration"</formula>
    </cfRule>
    <cfRule type="beginsWith" dxfId="13621" priority="30723" operator="beginsWith" text="Accueil">
      <formula>LEFT(AE196,LEN("Accueil"))="Accueil"</formula>
    </cfRule>
    <cfRule type="beginsWith" dxfId="13620" priority="30724" operator="beginsWith" text="Stage">
      <formula>LEFT(AE196,LEN("Stage"))="Stage"</formula>
    </cfRule>
    <cfRule type="beginsWith" dxfId="13619" priority="30725" operator="beginsWith" text="Entreprise">
      <formula>LEFT(AE196,LEN("Entreprise"))="Entreprise"</formula>
    </cfRule>
    <cfRule type="beginsWith" dxfId="13618" priority="30726" operator="beginsWith" text="Voltaire">
      <formula>LEFT(AE196,LEN("Voltaire"))="Voltaire"</formula>
    </cfRule>
  </conditionalFormatting>
  <conditionalFormatting sqref="AE1:AE3 AE5 AE43:AE55 AE61 AE171">
    <cfRule type="beginsWith" dxfId="13617" priority="30887" operator="beginsWith" text="Projet professionnel : Séminaire PFI">
      <formula>LEFT(AE1,LEN("Projet professionnel : Séminaire PFI"))="Projet professionnel : Séminaire PFI"</formula>
    </cfRule>
    <cfRule type="beginsWith" dxfId="13616" priority="30889" operator="beginsWith" text="Vacances">
      <formula>LEFT(AE1,LEN("Vacances"))="Vacances"</formula>
    </cfRule>
    <cfRule type="beginsWith" dxfId="13615" priority="30890" operator="beginsWith" text="Séminaire d'intégration">
      <formula>LEFT(AE1,LEN("Séminaire d'intégration"))="Séminaire d'intégration"</formula>
    </cfRule>
    <cfRule type="beginsWith" dxfId="13614" priority="30891" operator="beginsWith" text="Accueil">
      <formula>LEFT(AE1,LEN("Accueil"))="Accueil"</formula>
    </cfRule>
    <cfRule type="beginsWith" dxfId="13613" priority="30892" operator="beginsWith" text="Stage">
      <formula>LEFT(AE1,LEN("Stage"))="Stage"</formula>
    </cfRule>
    <cfRule type="beginsWith" dxfId="13612" priority="30893" operator="beginsWith" text="Entreprise">
      <formula>LEFT(AE1,LEN("Entreprise"))="Entreprise"</formula>
    </cfRule>
    <cfRule type="beginsWith" dxfId="13611" priority="30894" operator="beginsWith" text="Voltaire">
      <formula>LEFT(AE1,LEN("Voltaire"))="Voltaire"</formula>
    </cfRule>
  </conditionalFormatting>
  <conditionalFormatting sqref="AE226:AE229">
    <cfRule type="beginsWith" dxfId="13610" priority="30711" operator="beginsWith" text="Projet professionnel : Séminaire PFI">
      <formula>LEFT(AE226,LEN("Projet professionnel : Séminaire PFI"))="Projet professionnel : Séminaire PFI"</formula>
    </cfRule>
    <cfRule type="beginsWith" dxfId="13609" priority="30712" operator="beginsWith" text="Lancement Projet fil rouge">
      <formula>LEFT(AE226,LEN("Lancement Projet fil rouge"))="Lancement Projet fil rouge"</formula>
    </cfRule>
    <cfRule type="beginsWith" dxfId="13608" priority="30713" operator="beginsWith" text="Vacances">
      <formula>LEFT(AE226,LEN("Vacances"))="Vacances"</formula>
    </cfRule>
    <cfRule type="beginsWith" dxfId="13607" priority="30714" operator="beginsWith" text="Séminaire d'intégration">
      <formula>LEFT(AE226,LEN("Séminaire d'intégration"))="Séminaire d'intégration"</formula>
    </cfRule>
    <cfRule type="beginsWith" dxfId="13606" priority="30715" operator="beginsWith" text="Accueil">
      <formula>LEFT(AE226,LEN("Accueil"))="Accueil"</formula>
    </cfRule>
    <cfRule type="beginsWith" dxfId="13605" priority="30716" operator="beginsWith" text="Stage">
      <formula>LEFT(AE226,LEN("Stage"))="Stage"</formula>
    </cfRule>
    <cfRule type="beginsWith" dxfId="13604" priority="30717" operator="beginsWith" text="Entreprise">
      <formula>LEFT(AE226,LEN("Entreprise"))="Entreprise"</formula>
    </cfRule>
    <cfRule type="beginsWith" dxfId="13603" priority="30718" operator="beginsWith" text="Voltaire">
      <formula>LEFT(AE226,LEN("Voltaire"))="Voltaire"</formula>
    </cfRule>
  </conditionalFormatting>
  <conditionalFormatting sqref="AE236">
    <cfRule type="beginsWith" dxfId="13602" priority="30703" operator="beginsWith" text="Projet professionnel : Séminaire PFI">
      <formula>LEFT(AE236,LEN("Projet professionnel : Séminaire PFI"))="Projet professionnel : Séminaire PFI"</formula>
    </cfRule>
    <cfRule type="beginsWith" dxfId="13601" priority="30704" operator="beginsWith" text="Lancement Projet fil rouge">
      <formula>LEFT(AE236,LEN("Lancement Projet fil rouge"))="Lancement Projet fil rouge"</formula>
    </cfRule>
    <cfRule type="beginsWith" dxfId="13600" priority="30705" operator="beginsWith" text="Vacances">
      <formula>LEFT(AE236,LEN("Vacances"))="Vacances"</formula>
    </cfRule>
    <cfRule type="beginsWith" dxfId="13599" priority="30706" operator="beginsWith" text="Séminaire d'intégration">
      <formula>LEFT(AE236,LEN("Séminaire d'intégration"))="Séminaire d'intégration"</formula>
    </cfRule>
    <cfRule type="beginsWith" dxfId="13598" priority="30707" operator="beginsWith" text="Accueil">
      <formula>LEFT(AE236,LEN("Accueil"))="Accueil"</formula>
    </cfRule>
    <cfRule type="beginsWith" dxfId="13597" priority="30708" operator="beginsWith" text="Stage">
      <formula>LEFT(AE236,LEN("Stage"))="Stage"</formula>
    </cfRule>
    <cfRule type="beginsWith" dxfId="13596" priority="30709" operator="beginsWith" text="Entreprise">
      <formula>LEFT(AE236,LEN("Entreprise"))="Entreprise"</formula>
    </cfRule>
    <cfRule type="beginsWith" dxfId="13595" priority="30710" operator="beginsWith" text="Voltaire">
      <formula>LEFT(AE236,LEN("Voltaire"))="Voltaire"</formula>
    </cfRule>
  </conditionalFormatting>
  <conditionalFormatting sqref="AE86:AG86">
    <cfRule type="beginsWith" dxfId="13594" priority="30736" operator="beginsWith" text="Lancement Projet fil rouge">
      <formula>LEFT(AE86,LEN("Lancement Projet fil rouge"))="Lancement Projet fil rouge"</formula>
    </cfRule>
  </conditionalFormatting>
  <conditionalFormatting sqref="AF6:AF10">
    <cfRule type="beginsWith" dxfId="13593" priority="18110" operator="beginsWith" text="Lancement Projet fil rouge">
      <formula>LEFT(AF6,LEN("Lancement Projet fil rouge"))="Lancement Projet fil rouge"</formula>
    </cfRule>
    <cfRule type="beginsWith" dxfId="13592" priority="18111" operator="beginsWith" text="Vacances">
      <formula>LEFT(AF6,LEN("Vacances"))="Vacances"</formula>
    </cfRule>
    <cfRule type="beginsWith" dxfId="13591" priority="18112" operator="beginsWith" text="Séminaire d'intégration">
      <formula>LEFT(AF6,LEN("Séminaire d'intégration"))="Séminaire d'intégration"</formula>
    </cfRule>
    <cfRule type="beginsWith" dxfId="13590" priority="18113" operator="beginsWith" text="Accueil">
      <formula>LEFT(AF6,LEN("Accueil"))="Accueil"</formula>
    </cfRule>
    <cfRule type="beginsWith" dxfId="13589" priority="18114" operator="beginsWith" text="Stage">
      <formula>LEFT(AF6,LEN("Stage"))="Stage"</formula>
    </cfRule>
    <cfRule type="beginsWith" dxfId="13588" priority="18115" operator="beginsWith" text="Entreprise">
      <formula>LEFT(AF6,LEN("Entreprise"))="Entreprise"</formula>
    </cfRule>
    <cfRule type="beginsWith" dxfId="13587" priority="18116" operator="beginsWith" text="Voltaire">
      <formula>LEFT(AF6,LEN("Voltaire"))="Voltaire"</formula>
    </cfRule>
  </conditionalFormatting>
  <conditionalFormatting sqref="AF68">
    <cfRule type="beginsWith" dxfId="13586" priority="20050" operator="beginsWith" text="Lancement Projet fil rouge">
      <formula>LEFT(AF68,LEN("Lancement Projet fil rouge"))="Lancement Projet fil rouge"</formula>
    </cfRule>
    <cfRule type="beginsWith" dxfId="13585" priority="20051" operator="beginsWith" text="Vacances">
      <formula>LEFT(AF68,LEN("Vacances"))="Vacances"</formula>
    </cfRule>
    <cfRule type="beginsWith" dxfId="13584" priority="20052" operator="beginsWith" text="Séminaire d'intégration">
      <formula>LEFT(AF68,LEN("Séminaire d'intégration"))="Séminaire d'intégration"</formula>
    </cfRule>
    <cfRule type="beginsWith" dxfId="13583" priority="20053" operator="beginsWith" text="Accueil">
      <formula>LEFT(AF68,LEN("Accueil"))="Accueil"</formula>
    </cfRule>
    <cfRule type="beginsWith" dxfId="13582" priority="20054" operator="beginsWith" text="Stage">
      <formula>LEFT(AF68,LEN("Stage"))="Stage"</formula>
    </cfRule>
    <cfRule type="beginsWith" dxfId="13581" priority="20055" operator="beginsWith" text="Entreprise">
      <formula>LEFT(AF68,LEN("Entreprise"))="Entreprise"</formula>
    </cfRule>
    <cfRule type="beginsWith" dxfId="13580" priority="20056" operator="beginsWith" text="Voltaire">
      <formula>LEFT(AF68,LEN("Voltaire"))="Voltaire"</formula>
    </cfRule>
  </conditionalFormatting>
  <conditionalFormatting sqref="AF171 AF226:AF229">
    <cfRule type="beginsWith" dxfId="13579" priority="13623" operator="beginsWith" text="Lancement Projet fil rouge">
      <formula>LEFT(AF171,LEN("Lancement Projet fil rouge"))="Lancement Projet fil rouge"</formula>
    </cfRule>
    <cfRule type="beginsWith" dxfId="13578" priority="13624" operator="beginsWith" text="Vacances">
      <formula>LEFT(AF171,LEN("Vacances"))="Vacances"</formula>
    </cfRule>
    <cfRule type="beginsWith" dxfId="13577" priority="13625" operator="beginsWith" text="Séminaire d'intégration">
      <formula>LEFT(AF171,LEN("Séminaire d'intégration"))="Séminaire d'intégration"</formula>
    </cfRule>
    <cfRule type="beginsWith" dxfId="13576" priority="13626" operator="beginsWith" text="Accueil">
      <formula>LEFT(AF171,LEN("Accueil"))="Accueil"</formula>
    </cfRule>
    <cfRule type="beginsWith" dxfId="13575" priority="13627" operator="beginsWith" text="Stage">
      <formula>LEFT(AF171,LEN("Stage"))="Stage"</formula>
    </cfRule>
    <cfRule type="beginsWith" dxfId="13574" priority="13628" operator="beginsWith" text="Entreprise">
      <formula>LEFT(AF171,LEN("Entreprise"))="Entreprise"</formula>
    </cfRule>
    <cfRule type="beginsWith" dxfId="13573" priority="13629" operator="beginsWith" text="Voltaire">
      <formula>LEFT(AF171,LEN("Voltaire"))="Voltaire"</formula>
    </cfRule>
  </conditionalFormatting>
  <conditionalFormatting sqref="AF221:AF225">
    <cfRule type="beginsWith" dxfId="13572" priority="11029" operator="beginsWith" text="Lancement Projet fil rouge">
      <formula>LEFT(AF221,LEN("Lancement Projet fil rouge"))="Lancement Projet fil rouge"</formula>
    </cfRule>
    <cfRule type="beginsWith" dxfId="13571" priority="11030" operator="beginsWith" text="Vacances">
      <formula>LEFT(AF221,LEN("Vacances"))="Vacances"</formula>
    </cfRule>
    <cfRule type="beginsWith" dxfId="13570" priority="11031" operator="beginsWith" text="Séminaire d'intégration">
      <formula>LEFT(AF221,LEN("Séminaire d'intégration"))="Séminaire d'intégration"</formula>
    </cfRule>
    <cfRule type="beginsWith" dxfId="13569" priority="11032" operator="beginsWith" text="Accueil">
      <formula>LEFT(AF221,LEN("Accueil"))="Accueil"</formula>
    </cfRule>
    <cfRule type="beginsWith" dxfId="13568" priority="11033" operator="beginsWith" text="Stage">
      <formula>LEFT(AF221,LEN("Stage"))="Stage"</formula>
    </cfRule>
    <cfRule type="beginsWith" dxfId="13567" priority="11034" operator="beginsWith" text="Entreprise">
      <formula>LEFT(AF221,LEN("Entreprise"))="Entreprise"</formula>
    </cfRule>
    <cfRule type="beginsWith" dxfId="13566" priority="11035" operator="beginsWith" text="Voltaire">
      <formula>LEFT(AF221,LEN("Voltaire"))="Voltaire"</formula>
    </cfRule>
  </conditionalFormatting>
  <conditionalFormatting sqref="AF230:AF235">
    <cfRule type="beginsWith" dxfId="13565" priority="10994" operator="beginsWith" text="Lancement Projet fil rouge">
      <formula>LEFT(AF230,LEN("Lancement Projet fil rouge"))="Lancement Projet fil rouge"</formula>
    </cfRule>
    <cfRule type="beginsWith" dxfId="13564" priority="10995" operator="beginsWith" text="Vacances">
      <formula>LEFT(AF230,LEN("Vacances"))="Vacances"</formula>
    </cfRule>
    <cfRule type="beginsWith" dxfId="13563" priority="10996" operator="beginsWith" text="Séminaire d'intégration">
      <formula>LEFT(AF230,LEN("Séminaire d'intégration"))="Séminaire d'intégration"</formula>
    </cfRule>
    <cfRule type="beginsWith" dxfId="13562" priority="10997" operator="beginsWith" text="Accueil">
      <formula>LEFT(AF230,LEN("Accueil"))="Accueil"</formula>
    </cfRule>
    <cfRule type="beginsWith" dxfId="13561" priority="10998" operator="beginsWith" text="Stage">
      <formula>LEFT(AF230,LEN("Stage"))="Stage"</formula>
    </cfRule>
    <cfRule type="beginsWith" dxfId="13560" priority="10999" operator="beginsWith" text="Entreprise">
      <formula>LEFT(AF230,LEN("Entreprise"))="Entreprise"</formula>
    </cfRule>
    <cfRule type="beginsWith" dxfId="13559" priority="11000" operator="beginsWith" text="Voltaire">
      <formula>LEFT(AF230,LEN("Voltaire"))="Voltaire"</formula>
    </cfRule>
  </conditionalFormatting>
  <conditionalFormatting sqref="AF236">
    <cfRule type="beginsWith" dxfId="13558" priority="10966" operator="beginsWith" text="Lancement Projet fil rouge">
      <formula>LEFT(AF236,LEN("Lancement Projet fil rouge"))="Lancement Projet fil rouge"</formula>
    </cfRule>
    <cfRule type="beginsWith" dxfId="13557" priority="10967" operator="beginsWith" text="Vacances">
      <formula>LEFT(AF236,LEN("Vacances"))="Vacances"</formula>
    </cfRule>
    <cfRule type="beginsWith" dxfId="13556" priority="10968" operator="beginsWith" text="Séminaire d'intégration">
      <formula>LEFT(AF236,LEN("Séminaire d'intégration"))="Séminaire d'intégration"</formula>
    </cfRule>
    <cfRule type="beginsWith" dxfId="13555" priority="10969" operator="beginsWith" text="Accueil">
      <formula>LEFT(AF236,LEN("Accueil"))="Accueil"</formula>
    </cfRule>
    <cfRule type="beginsWith" dxfId="13554" priority="10970" operator="beginsWith" text="Stage">
      <formula>LEFT(AF236,LEN("Stage"))="Stage"</formula>
    </cfRule>
    <cfRule type="beginsWith" dxfId="13553" priority="10971" operator="beginsWith" text="Entreprise">
      <formula>LEFT(AF236,LEN("Entreprise"))="Entreprise"</formula>
    </cfRule>
    <cfRule type="beginsWith" dxfId="13552" priority="10972" operator="beginsWith" text="Voltaire">
      <formula>LEFT(AF236,LEN("Voltaire"))="Voltaire"</formula>
    </cfRule>
  </conditionalFormatting>
  <conditionalFormatting sqref="AF66:AM66 AU66:AV66">
    <cfRule type="beginsWith" dxfId="13551" priority="30648" operator="beginsWith" text="Lancement Projet fil rouge">
      <formula>LEFT(AF66,LEN("Lancement Projet fil rouge"))="Lancement Projet fil rouge"</formula>
    </cfRule>
  </conditionalFormatting>
  <conditionalFormatting sqref="AG6:AG10">
    <cfRule type="beginsWith" dxfId="13550" priority="18103" operator="beginsWith" text="Lancement Projet fil rouge">
      <formula>LEFT(AG6,LEN("Lancement Projet fil rouge"))="Lancement Projet fil rouge"</formula>
    </cfRule>
    <cfRule type="beginsWith" dxfId="13549" priority="18104" operator="beginsWith" text="Vacances">
      <formula>LEFT(AG6,LEN("Vacances"))="Vacances"</formula>
    </cfRule>
    <cfRule type="beginsWith" dxfId="13548" priority="18105" operator="beginsWith" text="Séminaire d'intégration">
      <formula>LEFT(AG6,LEN("Séminaire d'intégration"))="Séminaire d'intégration"</formula>
    </cfRule>
    <cfRule type="beginsWith" dxfId="13547" priority="18106" operator="beginsWith" text="Accueil">
      <formula>LEFT(AG6,LEN("Accueil"))="Accueil"</formula>
    </cfRule>
    <cfRule type="beginsWith" dxfId="13546" priority="18107" operator="beginsWith" text="Stage">
      <formula>LEFT(AG6,LEN("Stage"))="Stage"</formula>
    </cfRule>
    <cfRule type="beginsWith" dxfId="13545" priority="18108" operator="beginsWith" text="Entreprise">
      <formula>LEFT(AG6,LEN("Entreprise"))="Entreprise"</formula>
    </cfRule>
    <cfRule type="beginsWith" dxfId="13544" priority="18109" operator="beginsWith" text="Voltaire">
      <formula>LEFT(AG6,LEN("Voltaire"))="Voltaire"</formula>
    </cfRule>
  </conditionalFormatting>
  <conditionalFormatting sqref="AG171 AG226:AG228">
    <cfRule type="beginsWith" dxfId="13543" priority="13616" operator="beginsWith" text="Lancement Projet fil rouge">
      <formula>LEFT(AG171,LEN("Lancement Projet fil rouge"))="Lancement Projet fil rouge"</formula>
    </cfRule>
    <cfRule type="beginsWith" dxfId="13542" priority="13617" operator="beginsWith" text="Vacances">
      <formula>LEFT(AG171,LEN("Vacances"))="Vacances"</formula>
    </cfRule>
    <cfRule type="beginsWith" dxfId="13541" priority="13618" operator="beginsWith" text="Séminaire d'intégration">
      <formula>LEFT(AG171,LEN("Séminaire d'intégration"))="Séminaire d'intégration"</formula>
    </cfRule>
    <cfRule type="beginsWith" dxfId="13540" priority="13619" operator="beginsWith" text="Accueil">
      <formula>LEFT(AG171,LEN("Accueil"))="Accueil"</formula>
    </cfRule>
    <cfRule type="beginsWith" dxfId="13539" priority="13620" operator="beginsWith" text="Stage">
      <formula>LEFT(AG171,LEN("Stage"))="Stage"</formula>
    </cfRule>
    <cfRule type="beginsWith" dxfId="13538" priority="13621" operator="beginsWith" text="Entreprise">
      <formula>LEFT(AG171,LEN("Entreprise"))="Entreprise"</formula>
    </cfRule>
    <cfRule type="beginsWith" dxfId="13537" priority="13622" operator="beginsWith" text="Voltaire">
      <formula>LEFT(AG171,LEN("Voltaire"))="Voltaire"</formula>
    </cfRule>
  </conditionalFormatting>
  <conditionalFormatting sqref="AG221:AG225">
    <cfRule type="beginsWith" dxfId="13536" priority="11022" operator="beginsWith" text="Lancement Projet fil rouge">
      <formula>LEFT(AG221,LEN("Lancement Projet fil rouge"))="Lancement Projet fil rouge"</formula>
    </cfRule>
    <cfRule type="beginsWith" dxfId="13535" priority="11023" operator="beginsWith" text="Vacances">
      <formula>LEFT(AG221,LEN("Vacances"))="Vacances"</formula>
    </cfRule>
    <cfRule type="beginsWith" dxfId="13534" priority="11024" operator="beginsWith" text="Séminaire d'intégration">
      <formula>LEFT(AG221,LEN("Séminaire d'intégration"))="Séminaire d'intégration"</formula>
    </cfRule>
    <cfRule type="beginsWith" dxfId="13533" priority="11025" operator="beginsWith" text="Accueil">
      <formula>LEFT(AG221,LEN("Accueil"))="Accueil"</formula>
    </cfRule>
    <cfRule type="beginsWith" dxfId="13532" priority="11026" operator="beginsWith" text="Stage">
      <formula>LEFT(AG221,LEN("Stage"))="Stage"</formula>
    </cfRule>
    <cfRule type="beginsWith" dxfId="13531" priority="11027" operator="beginsWith" text="Entreprise">
      <formula>LEFT(AG221,LEN("Entreprise"))="Entreprise"</formula>
    </cfRule>
    <cfRule type="beginsWith" dxfId="13530" priority="11028" operator="beginsWith" text="Voltaire">
      <formula>LEFT(AG221,LEN("Voltaire"))="Voltaire"</formula>
    </cfRule>
  </conditionalFormatting>
  <conditionalFormatting sqref="AG229:AG235">
    <cfRule type="beginsWith" dxfId="13529" priority="10987" operator="beginsWith" text="Lancement Projet fil rouge">
      <formula>LEFT(AG229,LEN("Lancement Projet fil rouge"))="Lancement Projet fil rouge"</formula>
    </cfRule>
    <cfRule type="beginsWith" dxfId="13528" priority="10988" operator="beginsWith" text="Vacances">
      <formula>LEFT(AG229,LEN("Vacances"))="Vacances"</formula>
    </cfRule>
    <cfRule type="beginsWith" dxfId="13527" priority="10989" operator="beginsWith" text="Séminaire d'intégration">
      <formula>LEFT(AG229,LEN("Séminaire d'intégration"))="Séminaire d'intégration"</formula>
    </cfRule>
    <cfRule type="beginsWith" dxfId="13526" priority="10990" operator="beginsWith" text="Accueil">
      <formula>LEFT(AG229,LEN("Accueil"))="Accueil"</formula>
    </cfRule>
    <cfRule type="beginsWith" dxfId="13525" priority="10991" operator="beginsWith" text="Stage">
      <formula>LEFT(AG229,LEN("Stage"))="Stage"</formula>
    </cfRule>
    <cfRule type="beginsWith" dxfId="13524" priority="10992" operator="beginsWith" text="Entreprise">
      <formula>LEFT(AG229,LEN("Entreprise"))="Entreprise"</formula>
    </cfRule>
    <cfRule type="beginsWith" dxfId="13523" priority="10993" operator="beginsWith" text="Voltaire">
      <formula>LEFT(AG229,LEN("Voltaire"))="Voltaire"</formula>
    </cfRule>
  </conditionalFormatting>
  <conditionalFormatting sqref="AG236">
    <cfRule type="beginsWith" dxfId="13522" priority="10959" operator="beginsWith" text="Lancement Projet fil rouge">
      <formula>LEFT(AG236,LEN("Lancement Projet fil rouge"))="Lancement Projet fil rouge"</formula>
    </cfRule>
    <cfRule type="beginsWith" dxfId="13521" priority="10960" operator="beginsWith" text="Vacances">
      <formula>LEFT(AG236,LEN("Vacances"))="Vacances"</formula>
    </cfRule>
    <cfRule type="beginsWith" dxfId="13520" priority="10961" operator="beginsWith" text="Séminaire d'intégration">
      <formula>LEFT(AG236,LEN("Séminaire d'intégration"))="Séminaire d'intégration"</formula>
    </cfRule>
    <cfRule type="beginsWith" dxfId="13519" priority="10962" operator="beginsWith" text="Accueil">
      <formula>LEFT(AG236,LEN("Accueil"))="Accueil"</formula>
    </cfRule>
    <cfRule type="beginsWith" dxfId="13518" priority="10963" operator="beginsWith" text="Stage">
      <formula>LEFT(AG236,LEN("Stage"))="Stage"</formula>
    </cfRule>
    <cfRule type="beginsWith" dxfId="13517" priority="10964" operator="beginsWith" text="Entreprise">
      <formula>LEFT(AG236,LEN("Entreprise"))="Entreprise"</formula>
    </cfRule>
    <cfRule type="beginsWith" dxfId="13516" priority="10965" operator="beginsWith" text="Voltaire">
      <formula>LEFT(AG236,LEN("Voltaire"))="Voltaire"</formula>
    </cfRule>
  </conditionalFormatting>
  <conditionalFormatting sqref="AH6:AH10">
    <cfRule type="beginsWith" dxfId="13515" priority="18096" operator="beginsWith" text="Lancement Projet fil rouge">
      <formula>LEFT(AH6,LEN("Lancement Projet fil rouge"))="Lancement Projet fil rouge"</formula>
    </cfRule>
    <cfRule type="beginsWith" dxfId="13514" priority="18097" operator="beginsWith" text="Vacances">
      <formula>LEFT(AH6,LEN("Vacances"))="Vacances"</formula>
    </cfRule>
    <cfRule type="beginsWith" dxfId="13513" priority="18098" operator="beginsWith" text="Séminaire d'intégration">
      <formula>LEFT(AH6,LEN("Séminaire d'intégration"))="Séminaire d'intégration"</formula>
    </cfRule>
    <cfRule type="beginsWith" dxfId="13512" priority="18099" operator="beginsWith" text="Accueil">
      <formula>LEFT(AH6,LEN("Accueil"))="Accueil"</formula>
    </cfRule>
    <cfRule type="beginsWith" dxfId="13511" priority="18100" operator="beginsWith" text="Stage">
      <formula>LEFT(AH6,LEN("Stage"))="Stage"</formula>
    </cfRule>
    <cfRule type="beginsWith" dxfId="13510" priority="18101" operator="beginsWith" text="Entreprise">
      <formula>LEFT(AH6,LEN("Entreprise"))="Entreprise"</formula>
    </cfRule>
    <cfRule type="beginsWith" dxfId="13509" priority="18102" operator="beginsWith" text="Voltaire">
      <formula>LEFT(AH6,LEN("Voltaire"))="Voltaire"</formula>
    </cfRule>
  </conditionalFormatting>
  <conditionalFormatting sqref="AH68">
    <cfRule type="beginsWith" dxfId="13508" priority="20011" operator="beginsWith" text="Lancement Projet fil rouge">
      <formula>LEFT(AH68,LEN("Lancement Projet fil rouge"))="Lancement Projet fil rouge"</formula>
    </cfRule>
    <cfRule type="beginsWith" dxfId="13507" priority="20012" operator="beginsWith" text="Vacances">
      <formula>LEFT(AH68,LEN("Vacances"))="Vacances"</formula>
    </cfRule>
    <cfRule type="beginsWith" dxfId="13506" priority="20013" operator="beginsWith" text="Séminaire d'intégration">
      <formula>LEFT(AH68,LEN("Séminaire d'intégration"))="Séminaire d'intégration"</formula>
    </cfRule>
    <cfRule type="beginsWith" dxfId="13505" priority="20014" operator="beginsWith" text="Accueil">
      <formula>LEFT(AH68,LEN("Accueil"))="Accueil"</formula>
    </cfRule>
    <cfRule type="beginsWith" dxfId="13504" priority="20015" operator="beginsWith" text="Stage">
      <formula>LEFT(AH68,LEN("Stage"))="Stage"</formula>
    </cfRule>
    <cfRule type="beginsWith" dxfId="13503" priority="20016" operator="beginsWith" text="Entreprise">
      <formula>LEFT(AH68,LEN("Entreprise"))="Entreprise"</formula>
    </cfRule>
    <cfRule type="beginsWith" dxfId="13502" priority="20017" operator="beginsWith" text="Voltaire">
      <formula>LEFT(AH68,LEN("Voltaire"))="Voltaire"</formula>
    </cfRule>
  </conditionalFormatting>
  <conditionalFormatting sqref="AH171">
    <cfRule type="beginsWith" dxfId="13501" priority="11015" operator="beginsWith" text="Lancement Projet fil rouge">
      <formula>LEFT(AH171,LEN("Lancement Projet fil rouge"))="Lancement Projet fil rouge"</formula>
    </cfRule>
    <cfRule type="beginsWith" dxfId="13500" priority="11016" operator="beginsWith" text="Vacances">
      <formula>LEFT(AH171,LEN("Vacances"))="Vacances"</formula>
    </cfRule>
    <cfRule type="beginsWith" dxfId="13499" priority="11017" operator="beginsWith" text="Séminaire d'intégration">
      <formula>LEFT(AH171,LEN("Séminaire d'intégration"))="Séminaire d'intégration"</formula>
    </cfRule>
    <cfRule type="beginsWith" dxfId="13498" priority="11018" operator="beginsWith" text="Accueil">
      <formula>LEFT(AH171,LEN("Accueil"))="Accueil"</formula>
    </cfRule>
    <cfRule type="beginsWith" dxfId="13497" priority="11019" operator="beginsWith" text="Stage">
      <formula>LEFT(AH171,LEN("Stage"))="Stage"</formula>
    </cfRule>
    <cfRule type="beginsWith" dxfId="13496" priority="11020" operator="beginsWith" text="Entreprise">
      <formula>LEFT(AH171,LEN("Entreprise"))="Entreprise"</formula>
    </cfRule>
    <cfRule type="beginsWith" dxfId="13495" priority="11021" operator="beginsWith" text="Voltaire">
      <formula>LEFT(AH171,LEN("Voltaire"))="Voltaire"</formula>
    </cfRule>
  </conditionalFormatting>
  <conditionalFormatting sqref="AH221:AH225">
    <cfRule type="beginsWith" dxfId="13494" priority="11008" operator="beginsWith" text="Lancement Projet fil rouge">
      <formula>LEFT(AH221,LEN("Lancement Projet fil rouge"))="Lancement Projet fil rouge"</formula>
    </cfRule>
    <cfRule type="beginsWith" dxfId="13493" priority="11009" operator="beginsWith" text="Vacances">
      <formula>LEFT(AH221,LEN("Vacances"))="Vacances"</formula>
    </cfRule>
    <cfRule type="beginsWith" dxfId="13492" priority="11010" operator="beginsWith" text="Séminaire d'intégration">
      <formula>LEFT(AH221,LEN("Séminaire d'intégration"))="Séminaire d'intégration"</formula>
    </cfRule>
    <cfRule type="beginsWith" dxfId="13491" priority="11011" operator="beginsWith" text="Accueil">
      <formula>LEFT(AH221,LEN("Accueil"))="Accueil"</formula>
    </cfRule>
    <cfRule type="beginsWith" dxfId="13490" priority="11012" operator="beginsWith" text="Stage">
      <formula>LEFT(AH221,LEN("Stage"))="Stage"</formula>
    </cfRule>
    <cfRule type="beginsWith" dxfId="13489" priority="11013" operator="beginsWith" text="Entreprise">
      <formula>LEFT(AH221,LEN("Entreprise"))="Entreprise"</formula>
    </cfRule>
    <cfRule type="beginsWith" dxfId="13488" priority="11014" operator="beginsWith" text="Voltaire">
      <formula>LEFT(AH221,LEN("Voltaire"))="Voltaire"</formula>
    </cfRule>
  </conditionalFormatting>
  <conditionalFormatting sqref="AH226:AH228">
    <cfRule type="beginsWith" dxfId="13487" priority="13609" operator="beginsWith" text="Lancement Projet fil rouge">
      <formula>LEFT(AH226,LEN("Lancement Projet fil rouge"))="Lancement Projet fil rouge"</formula>
    </cfRule>
    <cfRule type="beginsWith" dxfId="13486" priority="13610" operator="beginsWith" text="Vacances">
      <formula>LEFT(AH226,LEN("Vacances"))="Vacances"</formula>
    </cfRule>
    <cfRule type="beginsWith" dxfId="13485" priority="13611" operator="beginsWith" text="Séminaire d'intégration">
      <formula>LEFT(AH226,LEN("Séminaire d'intégration"))="Séminaire d'intégration"</formula>
    </cfRule>
    <cfRule type="beginsWith" dxfId="13484" priority="13612" operator="beginsWith" text="Accueil">
      <formula>LEFT(AH226,LEN("Accueil"))="Accueil"</formula>
    </cfRule>
    <cfRule type="beginsWith" dxfId="13483" priority="13613" operator="beginsWith" text="Stage">
      <formula>LEFT(AH226,LEN("Stage"))="Stage"</formula>
    </cfRule>
    <cfRule type="beginsWith" dxfId="13482" priority="13614" operator="beginsWith" text="Entreprise">
      <formula>LEFT(AH226,LEN("Entreprise"))="Entreprise"</formula>
    </cfRule>
    <cfRule type="beginsWith" dxfId="13481" priority="13615" operator="beginsWith" text="Voltaire">
      <formula>LEFT(AH226,LEN("Voltaire"))="Voltaire"</formula>
    </cfRule>
  </conditionalFormatting>
  <conditionalFormatting sqref="AH229:AH235">
    <cfRule type="beginsWith" dxfId="13480" priority="10980" operator="beginsWith" text="Lancement Projet fil rouge">
      <formula>LEFT(AH229,LEN("Lancement Projet fil rouge"))="Lancement Projet fil rouge"</formula>
    </cfRule>
    <cfRule type="beginsWith" dxfId="13479" priority="10981" operator="beginsWith" text="Vacances">
      <formula>LEFT(AH229,LEN("Vacances"))="Vacances"</formula>
    </cfRule>
    <cfRule type="beginsWith" dxfId="13478" priority="10982" operator="beginsWith" text="Séminaire d'intégration">
      <formula>LEFT(AH229,LEN("Séminaire d'intégration"))="Séminaire d'intégration"</formula>
    </cfRule>
    <cfRule type="beginsWith" dxfId="13477" priority="10983" operator="beginsWith" text="Accueil">
      <formula>LEFT(AH229,LEN("Accueil"))="Accueil"</formula>
    </cfRule>
    <cfRule type="beginsWith" dxfId="13476" priority="10984" operator="beginsWith" text="Stage">
      <formula>LEFT(AH229,LEN("Stage"))="Stage"</formula>
    </cfRule>
    <cfRule type="beginsWith" dxfId="13475" priority="10985" operator="beginsWith" text="Entreprise">
      <formula>LEFT(AH229,LEN("Entreprise"))="Entreprise"</formula>
    </cfRule>
    <cfRule type="beginsWith" dxfId="13474" priority="10986" operator="beginsWith" text="Voltaire">
      <formula>LEFT(AH229,LEN("Voltaire"))="Voltaire"</formula>
    </cfRule>
  </conditionalFormatting>
  <conditionalFormatting sqref="AH236">
    <cfRule type="beginsWith" dxfId="13473" priority="10952" operator="beginsWith" text="Lancement Projet fil rouge">
      <formula>LEFT(AH236,LEN("Lancement Projet fil rouge"))="Lancement Projet fil rouge"</formula>
    </cfRule>
    <cfRule type="beginsWith" dxfId="13472" priority="10953" operator="beginsWith" text="Vacances">
      <formula>LEFT(AH236,LEN("Vacances"))="Vacances"</formula>
    </cfRule>
    <cfRule type="beginsWith" dxfId="13471" priority="10954" operator="beginsWith" text="Séminaire d'intégration">
      <formula>LEFT(AH236,LEN("Séminaire d'intégration"))="Séminaire d'intégration"</formula>
    </cfRule>
    <cfRule type="beginsWith" dxfId="13470" priority="10955" operator="beginsWith" text="Accueil">
      <formula>LEFT(AH236,LEN("Accueil"))="Accueil"</formula>
    </cfRule>
    <cfRule type="beginsWith" dxfId="13469" priority="10956" operator="beginsWith" text="Stage">
      <formula>LEFT(AH236,LEN("Stage"))="Stage"</formula>
    </cfRule>
    <cfRule type="beginsWith" dxfId="13468" priority="10957" operator="beginsWith" text="Entreprise">
      <formula>LEFT(AH236,LEN("Entreprise"))="Entreprise"</formula>
    </cfRule>
    <cfRule type="beginsWith" dxfId="13467" priority="10958" operator="beginsWith" text="Voltaire">
      <formula>LEFT(AH236,LEN("Voltaire"))="Voltaire"</formula>
    </cfRule>
  </conditionalFormatting>
  <conditionalFormatting sqref="AI6:AI10">
    <cfRule type="beginsWith" dxfId="13466" priority="18089" operator="beginsWith" text="Lancement Projet fil rouge">
      <formula>LEFT(AI6,LEN("Lancement Projet fil rouge"))="Lancement Projet fil rouge"</formula>
    </cfRule>
    <cfRule type="beginsWith" dxfId="13465" priority="18090" operator="beginsWith" text="Vacances">
      <formula>LEFT(AI6,LEN("Vacances"))="Vacances"</formula>
    </cfRule>
    <cfRule type="beginsWith" dxfId="13464" priority="18091" operator="beginsWith" text="Séminaire d'intégration">
      <formula>LEFT(AI6,LEN("Séminaire d'intégration"))="Séminaire d'intégration"</formula>
    </cfRule>
    <cfRule type="beginsWith" dxfId="13463" priority="18092" operator="beginsWith" text="Accueil">
      <formula>LEFT(AI6,LEN("Accueil"))="Accueil"</formula>
    </cfRule>
    <cfRule type="beginsWith" dxfId="13462" priority="18093" operator="beginsWith" text="Stage">
      <formula>LEFT(AI6,LEN("Stage"))="Stage"</formula>
    </cfRule>
    <cfRule type="beginsWith" dxfId="13461" priority="18094" operator="beginsWith" text="Entreprise">
      <formula>LEFT(AI6,LEN("Entreprise"))="Entreprise"</formula>
    </cfRule>
    <cfRule type="beginsWith" dxfId="13460" priority="18095" operator="beginsWith" text="Voltaire">
      <formula>LEFT(AI6,LEN("Voltaire"))="Voltaire"</formula>
    </cfRule>
  </conditionalFormatting>
  <conditionalFormatting sqref="AI68">
    <cfRule type="beginsWith" dxfId="13459" priority="20043" operator="beginsWith" text="Lancement Projet fil rouge">
      <formula>LEFT(AI68,LEN("Lancement Projet fil rouge"))="Lancement Projet fil rouge"</formula>
    </cfRule>
    <cfRule type="beginsWith" dxfId="13458" priority="20044" operator="beginsWith" text="Vacances">
      <formula>LEFT(AI68,LEN("Vacances"))="Vacances"</formula>
    </cfRule>
    <cfRule type="beginsWith" dxfId="13457" priority="20045" operator="beginsWith" text="Séminaire d'intégration">
      <formula>LEFT(AI68,LEN("Séminaire d'intégration"))="Séminaire d'intégration"</formula>
    </cfRule>
    <cfRule type="beginsWith" dxfId="13456" priority="20046" operator="beginsWith" text="Accueil">
      <formula>LEFT(AI68,LEN("Accueil"))="Accueil"</formula>
    </cfRule>
    <cfRule type="beginsWith" dxfId="13455" priority="20047" operator="beginsWith" text="Stage">
      <formula>LEFT(AI68,LEN("Stage"))="Stage"</formula>
    </cfRule>
    <cfRule type="beginsWith" dxfId="13454" priority="20048" operator="beginsWith" text="Entreprise">
      <formula>LEFT(AI68,LEN("Entreprise"))="Entreprise"</formula>
    </cfRule>
    <cfRule type="beginsWith" dxfId="13453" priority="20049" operator="beginsWith" text="Voltaire">
      <formula>LEFT(AI68,LEN("Voltaire"))="Voltaire"</formula>
    </cfRule>
  </conditionalFormatting>
  <conditionalFormatting sqref="AI171 AI226:AI228">
    <cfRule type="beginsWith" dxfId="13452" priority="13602" operator="beginsWith" text="Lancement Projet fil rouge">
      <formula>LEFT(AI171,LEN("Lancement Projet fil rouge"))="Lancement Projet fil rouge"</formula>
    </cfRule>
    <cfRule type="beginsWith" dxfId="13451" priority="13603" operator="beginsWith" text="Vacances">
      <formula>LEFT(AI171,LEN("Vacances"))="Vacances"</formula>
    </cfRule>
    <cfRule type="beginsWith" dxfId="13450" priority="13604" operator="beginsWith" text="Séminaire d'intégration">
      <formula>LEFT(AI171,LEN("Séminaire d'intégration"))="Séminaire d'intégration"</formula>
    </cfRule>
    <cfRule type="beginsWith" dxfId="13449" priority="13605" operator="beginsWith" text="Accueil">
      <formula>LEFT(AI171,LEN("Accueil"))="Accueil"</formula>
    </cfRule>
    <cfRule type="beginsWith" dxfId="13448" priority="13606" operator="beginsWith" text="Stage">
      <formula>LEFT(AI171,LEN("Stage"))="Stage"</formula>
    </cfRule>
    <cfRule type="beginsWith" dxfId="13447" priority="13607" operator="beginsWith" text="Entreprise">
      <formula>LEFT(AI171,LEN("Entreprise"))="Entreprise"</formula>
    </cfRule>
    <cfRule type="beginsWith" dxfId="13446" priority="13608" operator="beginsWith" text="Voltaire">
      <formula>LEFT(AI171,LEN("Voltaire"))="Voltaire"</formula>
    </cfRule>
  </conditionalFormatting>
  <conditionalFormatting sqref="AI221:AI225">
    <cfRule type="beginsWith" dxfId="13445" priority="11001" operator="beginsWith" text="Lancement Projet fil rouge">
      <formula>LEFT(AI221,LEN("Lancement Projet fil rouge"))="Lancement Projet fil rouge"</formula>
    </cfRule>
    <cfRule type="beginsWith" dxfId="13444" priority="11002" operator="beginsWith" text="Vacances">
      <formula>LEFT(AI221,LEN("Vacances"))="Vacances"</formula>
    </cfRule>
    <cfRule type="beginsWith" dxfId="13443" priority="11003" operator="beginsWith" text="Séminaire d'intégration">
      <formula>LEFT(AI221,LEN("Séminaire d'intégration"))="Séminaire d'intégration"</formula>
    </cfRule>
    <cfRule type="beginsWith" dxfId="13442" priority="11004" operator="beginsWith" text="Accueil">
      <formula>LEFT(AI221,LEN("Accueil"))="Accueil"</formula>
    </cfRule>
    <cfRule type="beginsWith" dxfId="13441" priority="11005" operator="beginsWith" text="Stage">
      <formula>LEFT(AI221,LEN("Stage"))="Stage"</formula>
    </cfRule>
    <cfRule type="beginsWith" dxfId="13440" priority="11006" operator="beginsWith" text="Entreprise">
      <formula>LEFT(AI221,LEN("Entreprise"))="Entreprise"</formula>
    </cfRule>
    <cfRule type="beginsWith" dxfId="13439" priority="11007" operator="beginsWith" text="Voltaire">
      <formula>LEFT(AI221,LEN("Voltaire"))="Voltaire"</formula>
    </cfRule>
  </conditionalFormatting>
  <conditionalFormatting sqref="AI229:AI235">
    <cfRule type="beginsWith" dxfId="13438" priority="10973" operator="beginsWith" text="Lancement Projet fil rouge">
      <formula>LEFT(AI229,LEN("Lancement Projet fil rouge"))="Lancement Projet fil rouge"</formula>
    </cfRule>
    <cfRule type="beginsWith" dxfId="13437" priority="10974" operator="beginsWith" text="Vacances">
      <formula>LEFT(AI229,LEN("Vacances"))="Vacances"</formula>
    </cfRule>
    <cfRule type="beginsWith" dxfId="13436" priority="10975" operator="beginsWith" text="Séminaire d'intégration">
      <formula>LEFT(AI229,LEN("Séminaire d'intégration"))="Séminaire d'intégration"</formula>
    </cfRule>
    <cfRule type="beginsWith" dxfId="13435" priority="10976" operator="beginsWith" text="Accueil">
      <formula>LEFT(AI229,LEN("Accueil"))="Accueil"</formula>
    </cfRule>
    <cfRule type="beginsWith" dxfId="13434" priority="10977" operator="beginsWith" text="Stage">
      <formula>LEFT(AI229,LEN("Stage"))="Stage"</formula>
    </cfRule>
    <cfRule type="beginsWith" dxfId="13433" priority="10978" operator="beginsWith" text="Entreprise">
      <formula>LEFT(AI229,LEN("Entreprise"))="Entreprise"</formula>
    </cfRule>
    <cfRule type="beginsWith" dxfId="13432" priority="10979" operator="beginsWith" text="Voltaire">
      <formula>LEFT(AI229,LEN("Voltaire"))="Voltaire"</formula>
    </cfRule>
  </conditionalFormatting>
  <conditionalFormatting sqref="AI236">
    <cfRule type="beginsWith" dxfId="13431" priority="10945" operator="beginsWith" text="Lancement Projet fil rouge">
      <formula>LEFT(AI236,LEN("Lancement Projet fil rouge"))="Lancement Projet fil rouge"</formula>
    </cfRule>
    <cfRule type="beginsWith" dxfId="13430" priority="10946" operator="beginsWith" text="Vacances">
      <formula>LEFT(AI236,LEN("Vacances"))="Vacances"</formula>
    </cfRule>
    <cfRule type="beginsWith" dxfId="13429" priority="10947" operator="beginsWith" text="Séminaire d'intégration">
      <formula>LEFT(AI236,LEN("Séminaire d'intégration"))="Séminaire d'intégration"</formula>
    </cfRule>
    <cfRule type="beginsWith" dxfId="13428" priority="10948" operator="beginsWith" text="Accueil">
      <formula>LEFT(AI236,LEN("Accueil"))="Accueil"</formula>
    </cfRule>
    <cfRule type="beginsWith" dxfId="13427" priority="10949" operator="beginsWith" text="Stage">
      <formula>LEFT(AI236,LEN("Stage"))="Stage"</formula>
    </cfRule>
    <cfRule type="beginsWith" dxfId="13426" priority="10950" operator="beginsWith" text="Entreprise">
      <formula>LEFT(AI236,LEN("Entreprise"))="Entreprise"</formula>
    </cfRule>
    <cfRule type="beginsWith" dxfId="13425" priority="10951" operator="beginsWith" text="Voltaire">
      <formula>LEFT(AI236,LEN("Voltaire"))="Voltaire"</formula>
    </cfRule>
  </conditionalFormatting>
  <conditionalFormatting sqref="AJ68">
    <cfRule type="beginsWith" dxfId="13424" priority="20035" operator="beginsWith" text="Lancement Projet fil rouge">
      <formula>LEFT(AJ68,LEN("Lancement Projet fil rouge"))="Lancement Projet fil rouge"</formula>
    </cfRule>
    <cfRule type="beginsWith" dxfId="13423" priority="20036" operator="beginsWith" text="Vacances">
      <formula>LEFT(AJ68,LEN("Vacances"))="Vacances"</formula>
    </cfRule>
    <cfRule type="beginsWith" dxfId="13422" priority="20037" operator="beginsWith" text="Séminaire d'intégration">
      <formula>LEFT(AJ68,LEN("Séminaire d'intégration"))="Séminaire d'intégration"</formula>
    </cfRule>
    <cfRule type="beginsWith" dxfId="13421" priority="20038" operator="beginsWith" text="Accueil">
      <formula>LEFT(AJ68,LEN("Accueil"))="Accueil"</formula>
    </cfRule>
    <cfRule type="beginsWith" dxfId="13420" priority="20039" operator="beginsWith" text="Stage">
      <formula>LEFT(AJ68,LEN("Stage"))="Stage"</formula>
    </cfRule>
    <cfRule type="beginsWith" dxfId="13419" priority="20040" operator="beginsWith" text="Entreprise">
      <formula>LEFT(AJ68,LEN("Entreprise"))="Entreprise"</formula>
    </cfRule>
    <cfRule type="beginsWith" dxfId="13418" priority="20041" operator="beginsWith" text="Voltaire">
      <formula>LEFT(AJ68,LEN("Voltaire"))="Voltaire"</formula>
    </cfRule>
    <cfRule type="notContainsBlanks" dxfId="13417" priority="20042">
      <formula>LEN(TRIM(AJ68))&gt;0</formula>
    </cfRule>
  </conditionalFormatting>
  <conditionalFormatting sqref="AJ6:AM10 AX6:BA10 BX6:CA10 CP6:CS10 DD6:DH10 DK7:DM10 DN6:DN10 DT6 DQ7:DT10 DW6:EA10 ED6:EG10 EJ6:EM10 K6:O10 A6:H10 CC6:CC10 CE6:CG10 BG6:BG10 AU6:AU10">
    <cfRule type="beginsWith" dxfId="13416" priority="18330" operator="beginsWith" text="Lancement Projet fil rouge">
      <formula>LEFT(A6,LEN("Lancement Projet fil rouge"))="Lancement Projet fil rouge"</formula>
    </cfRule>
    <cfRule type="beginsWith" dxfId="13415" priority="18331" operator="beginsWith" text="Vacances">
      <formula>LEFT(A6,LEN("Vacances"))="Vacances"</formula>
    </cfRule>
    <cfRule type="beginsWith" dxfId="13414" priority="18332" operator="beginsWith" text="Séminaire d'intégration">
      <formula>LEFT(A6,LEN("Séminaire d'intégration"))="Séminaire d'intégration"</formula>
    </cfRule>
    <cfRule type="beginsWith" dxfId="13413" priority="18333" operator="beginsWith" text="Accueil">
      <formula>LEFT(A6,LEN("Accueil"))="Accueil"</formula>
    </cfRule>
    <cfRule type="beginsWith" dxfId="13412" priority="18336" operator="beginsWith" text="Stage">
      <formula>LEFT(A6,LEN("Stage"))="Stage"</formula>
    </cfRule>
    <cfRule type="beginsWith" dxfId="13411" priority="18337" operator="beginsWith" text="Entreprise">
      <formula>LEFT(A6,LEN("Entreprise"))="Entreprise"</formula>
    </cfRule>
    <cfRule type="beginsWith" dxfId="13410" priority="18339" operator="beginsWith" text="Voltaire">
      <formula>LEFT(A6,LEN("Voltaire"))="Voltaire"</formula>
    </cfRule>
  </conditionalFormatting>
  <conditionalFormatting sqref="AJ11:AM15 AX11:BA15 BX11:CA15 CP11:CS15 DD11:DH15 DK12:DM15 DN11:DN15 DT11 DQ12:DT15 DW11:EA15 ED11:EG15 EJ11:EM15 O11:O15 A11:H15 CC11:CC15 CE11:CG15 BG11:BG15 AU11:AU15">
    <cfRule type="beginsWith" dxfId="13409" priority="30990" operator="beginsWith" text="Vacances">
      <formula>LEFT(A11,LEN("Vacances"))="Vacances"</formula>
    </cfRule>
    <cfRule type="beginsWith" dxfId="13408" priority="30991" operator="beginsWith" text="Séminaire d'intégration">
      <formula>LEFT(A11,LEN("Séminaire d'intégration"))="Séminaire d'intégration"</formula>
    </cfRule>
    <cfRule type="beginsWith" dxfId="13407" priority="30992" operator="beginsWith" text="Accueil">
      <formula>LEFT(A11,LEN("Accueil"))="Accueil"</formula>
    </cfRule>
    <cfRule type="beginsWith" dxfId="13406" priority="30995" operator="beginsWith" text="Stage">
      <formula>LEFT(A11,LEN("Stage"))="Stage"</formula>
    </cfRule>
    <cfRule type="beginsWith" dxfId="13405" priority="30996" operator="beginsWith" text="Entreprise">
      <formula>LEFT(A11,LEN("Entreprise"))="Entreprise"</formula>
    </cfRule>
    <cfRule type="beginsWith" dxfId="13404" priority="30998" operator="beginsWith" text="Voltaire">
      <formula>LEFT(A11,LEN("Voltaire"))="Voltaire"</formula>
    </cfRule>
  </conditionalFormatting>
  <conditionalFormatting sqref="AK68">
    <cfRule type="beginsWith" dxfId="13403" priority="20028" operator="beginsWith" text="Lancement Projet fil rouge">
      <formula>LEFT(AK68,LEN("Lancement Projet fil rouge"))="Lancement Projet fil rouge"</formula>
    </cfRule>
    <cfRule type="beginsWith" dxfId="13402" priority="20029" operator="beginsWith" text="Vacances">
      <formula>LEFT(AK68,LEN("Vacances"))="Vacances"</formula>
    </cfRule>
    <cfRule type="beginsWith" dxfId="13401" priority="20030" operator="beginsWith" text="Séminaire d'intégration">
      <formula>LEFT(AK68,LEN("Séminaire d'intégration"))="Séminaire d'intégration"</formula>
    </cfRule>
    <cfRule type="beginsWith" dxfId="13400" priority="20031" operator="beginsWith" text="Accueil">
      <formula>LEFT(AK68,LEN("Accueil"))="Accueil"</formula>
    </cfRule>
    <cfRule type="beginsWith" dxfId="13399" priority="20032" operator="beginsWith" text="Stage">
      <formula>LEFT(AK68,LEN("Stage"))="Stage"</formula>
    </cfRule>
    <cfRule type="beginsWith" dxfId="13398" priority="20033" operator="beginsWith" text="Entreprise">
      <formula>LEFT(AK68,LEN("Entreprise"))="Entreprise"</formula>
    </cfRule>
    <cfRule type="beginsWith" dxfId="13397" priority="20034" operator="beginsWith" text="Voltaire">
      <formula>LEFT(AK68,LEN("Voltaire"))="Voltaire"</formula>
    </cfRule>
  </conditionalFormatting>
  <conditionalFormatting sqref="AL94">
    <cfRule type="beginsWith" dxfId="13396" priority="10489" operator="beginsWith" text="Lancement Projet fil rouge">
      <formula>LEFT(AL94,LEN("Lancement Projet fil rouge"))="Lancement Projet fil rouge"</formula>
    </cfRule>
    <cfRule type="beginsWith" dxfId="13395" priority="10490" operator="beginsWith" text="Vacances">
      <formula>LEFT(AL94,LEN("Vacances"))="Vacances"</formula>
    </cfRule>
    <cfRule type="beginsWith" dxfId="13394" priority="10491" operator="beginsWith" text="Séminaire d'intégration">
      <formula>LEFT(AL94,LEN("Séminaire d'intégration"))="Séminaire d'intégration"</formula>
    </cfRule>
    <cfRule type="beginsWith" dxfId="13393" priority="10492" operator="beginsWith" text="Accueil">
      <formula>LEFT(AL94,LEN("Accueil"))="Accueil"</formula>
    </cfRule>
    <cfRule type="beginsWith" dxfId="13392" priority="10493" operator="beginsWith" text="TOPHYC">
      <formula>LEFT(AL94,LEN("TOPHYC"))="TOPHYC"</formula>
    </cfRule>
    <cfRule type="beginsWith" dxfId="13391" priority="10494" operator="beginsWith" text="Global Exam">
      <formula>LEFT(AL94,LEN("Global Exam"))="Global Exam"</formula>
    </cfRule>
    <cfRule type="beginsWith" dxfId="13390" priority="10495" operator="beginsWith" text="Stage">
      <formula>LEFT(AL94,LEN("Stage"))="Stage"</formula>
    </cfRule>
    <cfRule type="beginsWith" dxfId="13389" priority="10496" operator="beginsWith" text="Entreprise">
      <formula>LEFT(AL94,LEN("Entreprise"))="Entreprise"</formula>
    </cfRule>
    <cfRule type="beginsWith" dxfId="13388" priority="10497" operator="beginsWith" text="TOMIC">
      <formula>LEFT(AL94,LEN("TOMIC"))="TOMIC"</formula>
    </cfRule>
    <cfRule type="beginsWith" dxfId="13387" priority="10498" operator="beginsWith" text="Voltaire">
      <formula>LEFT(AL94,LEN("Voltaire"))="Voltaire"</formula>
    </cfRule>
  </conditionalFormatting>
  <conditionalFormatting sqref="AL124">
    <cfRule type="beginsWith" dxfId="13386" priority="10479" operator="beginsWith" text="Lancement Projet fil rouge">
      <formula>LEFT(AL124,LEN("Lancement Projet fil rouge"))="Lancement Projet fil rouge"</formula>
    </cfRule>
    <cfRule type="beginsWith" dxfId="13385" priority="10480" operator="beginsWith" text="Vacances">
      <formula>LEFT(AL124,LEN("Vacances"))="Vacances"</formula>
    </cfRule>
    <cfRule type="beginsWith" dxfId="13384" priority="10481" operator="beginsWith" text="Séminaire d'intégration">
      <formula>LEFT(AL124,LEN("Séminaire d'intégration"))="Séminaire d'intégration"</formula>
    </cfRule>
    <cfRule type="beginsWith" dxfId="13383" priority="10482" operator="beginsWith" text="Accueil">
      <formula>LEFT(AL124,LEN("Accueil"))="Accueil"</formula>
    </cfRule>
    <cfRule type="beginsWith" dxfId="13382" priority="10483" operator="beginsWith" text="TOPHYC">
      <formula>LEFT(AL124,LEN("TOPHYC"))="TOPHYC"</formula>
    </cfRule>
    <cfRule type="beginsWith" dxfId="13381" priority="10484" operator="beginsWith" text="Global Exam">
      <formula>LEFT(AL124,LEN("Global Exam"))="Global Exam"</formula>
    </cfRule>
    <cfRule type="beginsWith" dxfId="13380" priority="10485" operator="beginsWith" text="Stage">
      <formula>LEFT(AL124,LEN("Stage"))="Stage"</formula>
    </cfRule>
    <cfRule type="beginsWith" dxfId="13379" priority="10486" operator="beginsWith" text="Entreprise">
      <formula>LEFT(AL124,LEN("Entreprise"))="Entreprise"</formula>
    </cfRule>
    <cfRule type="beginsWith" dxfId="13378" priority="10487" operator="beginsWith" text="TOMIC">
      <formula>LEFT(AL124,LEN("TOMIC"))="TOMIC"</formula>
    </cfRule>
    <cfRule type="beginsWith" dxfId="13377" priority="10488" operator="beginsWith" text="Voltaire">
      <formula>LEFT(AL124,LEN("Voltaire"))="Voltaire"</formula>
    </cfRule>
  </conditionalFormatting>
  <conditionalFormatting sqref="AL149">
    <cfRule type="beginsWith" dxfId="13376" priority="22079" operator="beginsWith" text="Lancement Projet fil rouge">
      <formula>LEFT(AL149,LEN("Lancement Projet fil rouge"))="Lancement Projet fil rouge"</formula>
    </cfRule>
    <cfRule type="beginsWith" dxfId="13375" priority="22080" operator="beginsWith" text="Vacances">
      <formula>LEFT(AL149,LEN("Vacances"))="Vacances"</formula>
    </cfRule>
    <cfRule type="beginsWith" dxfId="13374" priority="22081" operator="beginsWith" text="Séminaire d'intégration">
      <formula>LEFT(AL149,LEN("Séminaire d'intégration"))="Séminaire d'intégration"</formula>
    </cfRule>
    <cfRule type="beginsWith" dxfId="13373" priority="22082" operator="beginsWith" text="Accueil">
      <formula>LEFT(AL149,LEN("Accueil"))="Accueil"</formula>
    </cfRule>
    <cfRule type="beginsWith" dxfId="13372" priority="22083" operator="beginsWith" text="Stage">
      <formula>LEFT(AL149,LEN("Stage"))="Stage"</formula>
    </cfRule>
    <cfRule type="beginsWith" dxfId="13371" priority="22084" operator="beginsWith" text="Entreprise">
      <formula>LEFT(AL149,LEN("Entreprise"))="Entreprise"</formula>
    </cfRule>
    <cfRule type="beginsWith" dxfId="13370" priority="22085" operator="beginsWith" text="Voltaire">
      <formula>LEFT(AL149,LEN("Voltaire"))="Voltaire"</formula>
    </cfRule>
    <cfRule type="beginsWith" dxfId="13369" priority="22086" operator="beginsWith" text="Lancement Projet fil rouge">
      <formula>LEFT(AL149,LEN("Lancement Projet fil rouge"))="Lancement Projet fil rouge"</formula>
    </cfRule>
    <cfRule type="beginsWith" dxfId="13368" priority="22087" operator="beginsWith" text="Vacances">
      <formula>LEFT(AL149,LEN("Vacances"))="Vacances"</formula>
    </cfRule>
    <cfRule type="beginsWith" dxfId="13367" priority="22088" operator="beginsWith" text="Séminaire d'intégration">
      <formula>LEFT(AL149,LEN("Séminaire d'intégration"))="Séminaire d'intégration"</formula>
    </cfRule>
    <cfRule type="beginsWith" dxfId="13366" priority="22089" operator="beginsWith" text="Accueil">
      <formula>LEFT(AL149,LEN("Accueil"))="Accueil"</formula>
    </cfRule>
    <cfRule type="beginsWith" dxfId="13365" priority="22090" operator="beginsWith" text="TOPHYC">
      <formula>LEFT(AL149,LEN("TOPHYC"))="TOPHYC"</formula>
    </cfRule>
    <cfRule type="beginsWith" dxfId="13364" priority="22091" operator="beginsWith" text="Global Exam">
      <formula>LEFT(AL149,LEN("Global Exam"))="Global Exam"</formula>
    </cfRule>
    <cfRule type="beginsWith" dxfId="13363" priority="22092" operator="beginsWith" text="Stage">
      <formula>LEFT(AL149,LEN("Stage"))="Stage"</formula>
    </cfRule>
    <cfRule type="beginsWith" dxfId="13362" priority="22093" operator="beginsWith" text="Entreprise">
      <formula>LEFT(AL149,LEN("Entreprise"))="Entreprise"</formula>
    </cfRule>
    <cfRule type="beginsWith" dxfId="13361" priority="22094" operator="beginsWith" text="TOMIC">
      <formula>LEFT(AL149,LEN("TOMIC"))="TOMIC"</formula>
    </cfRule>
    <cfRule type="beginsWith" dxfId="13360" priority="22095" operator="beginsWith" text="Voltaire">
      <formula>LEFT(AL149,LEN("Voltaire"))="Voltaire"</formula>
    </cfRule>
  </conditionalFormatting>
  <conditionalFormatting sqref="AL154">
    <cfRule type="beginsWith" dxfId="13359" priority="10714" operator="beginsWith" text="Lancement Projet fil rouge">
      <formula>LEFT(AL154,LEN("Lancement Projet fil rouge"))="Lancement Projet fil rouge"</formula>
    </cfRule>
    <cfRule type="beginsWith" dxfId="13358" priority="10715" operator="beginsWith" text="Vacances">
      <formula>LEFT(AL154,LEN("Vacances"))="Vacances"</formula>
    </cfRule>
    <cfRule type="beginsWith" dxfId="13357" priority="10716" operator="beginsWith" text="Séminaire d'intégration">
      <formula>LEFT(AL154,LEN("Séminaire d'intégration"))="Séminaire d'intégration"</formula>
    </cfRule>
    <cfRule type="beginsWith" dxfId="13356" priority="10717" operator="beginsWith" text="Accueil">
      <formula>LEFT(AL154,LEN("Accueil"))="Accueil"</formula>
    </cfRule>
    <cfRule type="beginsWith" dxfId="13355" priority="10718" operator="beginsWith" text="Stage">
      <formula>LEFT(AL154,LEN("Stage"))="Stage"</formula>
    </cfRule>
    <cfRule type="beginsWith" dxfId="13354" priority="10719" operator="beginsWith" text="Entreprise">
      <formula>LEFT(AL154,LEN("Entreprise"))="Entreprise"</formula>
    </cfRule>
    <cfRule type="beginsWith" dxfId="13353" priority="10720" operator="beginsWith" text="Voltaire">
      <formula>LEFT(AL154,LEN("Voltaire"))="Voltaire"</formula>
    </cfRule>
    <cfRule type="beginsWith" dxfId="13352" priority="10721" operator="beginsWith" text="Lancement Projet fil rouge">
      <formula>LEFT(AL154,LEN("Lancement Projet fil rouge"))="Lancement Projet fil rouge"</formula>
    </cfRule>
    <cfRule type="beginsWith" dxfId="13351" priority="10722" operator="beginsWith" text="Vacances">
      <formula>LEFT(AL154,LEN("Vacances"))="Vacances"</formula>
    </cfRule>
    <cfRule type="beginsWith" dxfId="13350" priority="10723" operator="beginsWith" text="Séminaire d'intégration">
      <formula>LEFT(AL154,LEN("Séminaire d'intégration"))="Séminaire d'intégration"</formula>
    </cfRule>
    <cfRule type="beginsWith" dxfId="13349" priority="10724" operator="beginsWith" text="Accueil">
      <formula>LEFT(AL154,LEN("Accueil"))="Accueil"</formula>
    </cfRule>
    <cfRule type="beginsWith" dxfId="13348" priority="10725" operator="beginsWith" text="TOPHYC">
      <formula>LEFT(AL154,LEN("TOPHYC"))="TOPHYC"</formula>
    </cfRule>
    <cfRule type="beginsWith" dxfId="13347" priority="10726" operator="beginsWith" text="Global Exam">
      <formula>LEFT(AL154,LEN("Global Exam"))="Global Exam"</formula>
    </cfRule>
    <cfRule type="beginsWith" dxfId="13346" priority="10727" operator="beginsWith" text="Stage">
      <formula>LEFT(AL154,LEN("Stage"))="Stage"</formula>
    </cfRule>
    <cfRule type="beginsWith" dxfId="13345" priority="10728" operator="beginsWith" text="Entreprise">
      <formula>LEFT(AL154,LEN("Entreprise"))="Entreprise"</formula>
    </cfRule>
    <cfRule type="beginsWith" dxfId="13344" priority="10729" operator="beginsWith" text="TOMIC">
      <formula>LEFT(AL154,LEN("TOMIC"))="TOMIC"</formula>
    </cfRule>
    <cfRule type="beginsWith" dxfId="13343" priority="10730" operator="beginsWith" text="Voltaire">
      <formula>LEFT(AL154,LEN("Voltaire"))="Voltaire"</formula>
    </cfRule>
  </conditionalFormatting>
  <conditionalFormatting sqref="AL201:AL205">
    <cfRule type="beginsWith" dxfId="13342" priority="14798" operator="beginsWith" text="Lancement Projet fil rouge">
      <formula>LEFT(AL201,LEN("Lancement Projet fil rouge"))="Lancement Projet fil rouge"</formula>
    </cfRule>
    <cfRule type="beginsWith" dxfId="13341" priority="14799" operator="beginsWith" text="Vacances">
      <formula>LEFT(AL201,LEN("Vacances"))="Vacances"</formula>
    </cfRule>
    <cfRule type="beginsWith" dxfId="13340" priority="14800" operator="beginsWith" text="Séminaire d'intégration">
      <formula>LEFT(AL201,LEN("Séminaire d'intégration"))="Séminaire d'intégration"</formula>
    </cfRule>
    <cfRule type="beginsWith" dxfId="13339" priority="14801" operator="beginsWith" text="Accueil">
      <formula>LEFT(AL201,LEN("Accueil"))="Accueil"</formula>
    </cfRule>
    <cfRule type="beginsWith" dxfId="13338" priority="14802" operator="beginsWith" text="TOPHYC">
      <formula>LEFT(AL201,LEN("TOPHYC"))="TOPHYC"</formula>
    </cfRule>
    <cfRule type="beginsWith" dxfId="13337" priority="14803" operator="beginsWith" text="Global Exam">
      <formula>LEFT(AL201,LEN("Global Exam"))="Global Exam"</formula>
    </cfRule>
    <cfRule type="beginsWith" dxfId="13336" priority="14804" operator="beginsWith" text="Stage">
      <formula>LEFT(AL201,LEN("Stage"))="Stage"</formula>
    </cfRule>
    <cfRule type="beginsWith" dxfId="13335" priority="14805" operator="beginsWith" text="Entreprise">
      <formula>LEFT(AL201,LEN("Entreprise"))="Entreprise"</formula>
    </cfRule>
    <cfRule type="beginsWith" dxfId="13334" priority="14806" operator="beginsWith" text="TOMIC">
      <formula>LEFT(AL201,LEN("TOMIC"))="TOMIC"</formula>
    </cfRule>
    <cfRule type="beginsWith" dxfId="13333" priority="14807" operator="beginsWith" text="Voltaire">
      <formula>LEFT(AL201,LEN("Voltaire"))="Voltaire"</formula>
    </cfRule>
  </conditionalFormatting>
  <conditionalFormatting sqref="AL211:AL215">
    <cfRule type="beginsWith" dxfId="13332" priority="10731" operator="beginsWith" text="Lancement Projet fil rouge">
      <formula>LEFT(AL211,LEN("Lancement Projet fil rouge"))="Lancement Projet fil rouge"</formula>
    </cfRule>
    <cfRule type="beginsWith" dxfId="13331" priority="10732" operator="beginsWith" text="Vacances">
      <formula>LEFT(AL211,LEN("Vacances"))="Vacances"</formula>
    </cfRule>
    <cfRule type="beginsWith" dxfId="13330" priority="10733" operator="beginsWith" text="Séminaire d'intégration">
      <formula>LEFT(AL211,LEN("Séminaire d'intégration"))="Séminaire d'intégration"</formula>
    </cfRule>
    <cfRule type="beginsWith" dxfId="13329" priority="10734" operator="beginsWith" text="Accueil">
      <formula>LEFT(AL211,LEN("Accueil"))="Accueil"</formula>
    </cfRule>
    <cfRule type="beginsWith" dxfId="13328" priority="10735" operator="beginsWith" text="TOPHYC">
      <formula>LEFT(AL211,LEN("TOPHYC"))="TOPHYC"</formula>
    </cfRule>
    <cfRule type="beginsWith" dxfId="13327" priority="10736" operator="beginsWith" text="Global Exam">
      <formula>LEFT(AL211,LEN("Global Exam"))="Global Exam"</formula>
    </cfRule>
    <cfRule type="beginsWith" dxfId="13326" priority="10737" operator="beginsWith" text="Stage">
      <formula>LEFT(AL211,LEN("Stage"))="Stage"</formula>
    </cfRule>
    <cfRule type="beginsWith" dxfId="13325" priority="10738" operator="beginsWith" text="Entreprise">
      <formula>LEFT(AL211,LEN("Entreprise"))="Entreprise"</formula>
    </cfRule>
    <cfRule type="beginsWith" dxfId="13324" priority="10739" operator="beginsWith" text="TOMIC">
      <formula>LEFT(AL211,LEN("TOMIC"))="TOMIC"</formula>
    </cfRule>
    <cfRule type="beginsWith" dxfId="13323" priority="10740" operator="beginsWith" text="Voltaire">
      <formula>LEFT(AL211,LEN("Voltaire"))="Voltaire"</formula>
    </cfRule>
  </conditionalFormatting>
  <conditionalFormatting sqref="AM31:AM35">
    <cfRule type="beginsWith" dxfId="13322" priority="14788" operator="beginsWith" text="Lancement Projet fil rouge">
      <formula>LEFT(AM31,LEN("Lancement Projet fil rouge"))="Lancement Projet fil rouge"</formula>
    </cfRule>
    <cfRule type="beginsWith" dxfId="13321" priority="14789" operator="beginsWith" text="Vacances">
      <formula>LEFT(AM31,LEN("Vacances"))="Vacances"</formula>
    </cfRule>
    <cfRule type="beginsWith" dxfId="13320" priority="14790" operator="beginsWith" text="Séminaire d'intégration">
      <formula>LEFT(AM31,LEN("Séminaire d'intégration"))="Séminaire d'intégration"</formula>
    </cfRule>
    <cfRule type="beginsWith" dxfId="13319" priority="14791" operator="beginsWith" text="Accueil">
      <formula>LEFT(AM31,LEN("Accueil"))="Accueil"</formula>
    </cfRule>
    <cfRule type="beginsWith" dxfId="13318" priority="14792" operator="beginsWith" text="TOPHYC">
      <formula>LEFT(AM31,LEN("TOPHYC"))="TOPHYC"</formula>
    </cfRule>
    <cfRule type="beginsWith" dxfId="13317" priority="14793" operator="beginsWith" text="Global Exam">
      <formula>LEFT(AM31,LEN("Global Exam"))="Global Exam"</formula>
    </cfRule>
    <cfRule type="beginsWith" dxfId="13316" priority="14794" operator="beginsWith" text="Stage">
      <formula>LEFT(AM31,LEN("Stage"))="Stage"</formula>
    </cfRule>
    <cfRule type="beginsWith" dxfId="13315" priority="14795" operator="beginsWith" text="Entreprise">
      <formula>LEFT(AM31,LEN("Entreprise"))="Entreprise"</formula>
    </cfRule>
    <cfRule type="beginsWith" dxfId="13314" priority="14796" operator="beginsWith" text="TOMIC">
      <formula>LEFT(AM31,LEN("TOMIC"))="TOMIC"</formula>
    </cfRule>
    <cfRule type="beginsWith" dxfId="13313" priority="14797" operator="beginsWith" text="Voltaire">
      <formula>LEFT(AM31,LEN("Voltaire"))="Voltaire"</formula>
    </cfRule>
  </conditionalFormatting>
  <conditionalFormatting sqref="AM41">
    <cfRule type="beginsWith" dxfId="13312" priority="20408" operator="beginsWith" text="Lancement Projet fil rouge">
      <formula>LEFT(AM41,LEN("Lancement Projet fil rouge"))="Lancement Projet fil rouge"</formula>
    </cfRule>
    <cfRule type="beginsWith" dxfId="13311" priority="20409" operator="beginsWith" text="Vacances">
      <formula>LEFT(AM41,LEN("Vacances"))="Vacances"</formula>
    </cfRule>
    <cfRule type="beginsWith" dxfId="13310" priority="20410" operator="beginsWith" text="Séminaire d'intégration">
      <formula>LEFT(AM41,LEN("Séminaire d'intégration"))="Séminaire d'intégration"</formula>
    </cfRule>
    <cfRule type="beginsWith" dxfId="13309" priority="20411" operator="beginsWith" text="Accueil">
      <formula>LEFT(AM41,LEN("Accueil"))="Accueil"</formula>
    </cfRule>
    <cfRule type="beginsWith" dxfId="13308" priority="20412" operator="beginsWith" text="TOPHYC">
      <formula>LEFT(AM41,LEN("TOPHYC"))="TOPHYC"</formula>
    </cfRule>
    <cfRule type="beginsWith" dxfId="13307" priority="20413" operator="beginsWith" text="Global Exam">
      <formula>LEFT(AM41,LEN("Global Exam"))="Global Exam"</formula>
    </cfRule>
    <cfRule type="beginsWith" dxfId="13306" priority="20414" operator="beginsWith" text="Stage">
      <formula>LEFT(AM41,LEN("Stage"))="Stage"</formula>
    </cfRule>
    <cfRule type="beginsWith" dxfId="13305" priority="20415" operator="beginsWith" text="Entreprise">
      <formula>LEFT(AM41,LEN("Entreprise"))="Entreprise"</formula>
    </cfRule>
    <cfRule type="beginsWith" dxfId="13304" priority="20416" operator="beginsWith" text="TOMIC">
      <formula>LEFT(AM41,LEN("TOMIC"))="TOMIC"</formula>
    </cfRule>
    <cfRule type="beginsWith" dxfId="13303" priority="20417" operator="beginsWith" text="Voltaire">
      <formula>LEFT(AM41,LEN("Voltaire"))="Voltaire"</formula>
    </cfRule>
  </conditionalFormatting>
  <conditionalFormatting sqref="AM68">
    <cfRule type="beginsWith" dxfId="13302" priority="12324" operator="beginsWith" text="TOPHYC">
      <formula>LEFT(AM68,LEN("TOPHYC"))="TOPHYC"</formula>
    </cfRule>
    <cfRule type="beginsWith" dxfId="13301" priority="12325" operator="beginsWith" text="Global Exam">
      <formula>LEFT(AM68,LEN("Global Exam"))="Global Exam"</formula>
    </cfRule>
    <cfRule type="beginsWith" dxfId="13300" priority="12326" operator="beginsWith" text="TOMIC">
      <formula>LEFT(AM68,LEN("TOMIC"))="TOMIC"</formula>
    </cfRule>
    <cfRule type="beginsWith" dxfId="13299" priority="12327" operator="beginsWith" text="Lancement Projet fil rouge">
      <formula>LEFT(AM68,LEN("Lancement Projet fil rouge"))="Lancement Projet fil rouge"</formula>
    </cfRule>
    <cfRule type="beginsWith" dxfId="13298" priority="12328" operator="beginsWith" text="Vacances">
      <formula>LEFT(AM68,LEN("Vacances"))="Vacances"</formula>
    </cfRule>
    <cfRule type="beginsWith" dxfId="13297" priority="12329" operator="beginsWith" text="Séminaire d'intégration">
      <formula>LEFT(AM68,LEN("Séminaire d'intégration"))="Séminaire d'intégration"</formula>
    </cfRule>
    <cfRule type="beginsWith" dxfId="13296" priority="12330" operator="beginsWith" text="Accueil">
      <formula>LEFT(AM68,LEN("Accueil"))="Accueil"</formula>
    </cfRule>
    <cfRule type="beginsWith" dxfId="13295" priority="12331" operator="beginsWith" text="Stage">
      <formula>LEFT(AM68,LEN("Stage"))="Stage"</formula>
    </cfRule>
    <cfRule type="beginsWith" dxfId="13294" priority="12332" operator="beginsWith" text="Entreprise">
      <formula>LEFT(AM68,LEN("Entreprise"))="Entreprise"</formula>
    </cfRule>
    <cfRule type="beginsWith" dxfId="13293" priority="12333" operator="beginsWith" text="Voltaire">
      <formula>LEFT(AM68,LEN("Voltaire"))="Voltaire"</formula>
    </cfRule>
  </conditionalFormatting>
  <conditionalFormatting sqref="AM106:AM110">
    <cfRule type="beginsWith" dxfId="13292" priority="12321" operator="beginsWith" text="TOPHYC">
      <formula>LEFT(AM106,LEN("TOPHYC"))="TOPHYC"</formula>
    </cfRule>
    <cfRule type="beginsWith" dxfId="13291" priority="12322" operator="beginsWith" text="Global Exam">
      <formula>LEFT(AM106,LEN("Global Exam"))="Global Exam"</formula>
    </cfRule>
    <cfRule type="beginsWith" dxfId="13290" priority="12323" operator="beginsWith" text="TOMIC">
      <formula>LEFT(AM106,LEN("TOMIC"))="TOMIC"</formula>
    </cfRule>
  </conditionalFormatting>
  <conditionalFormatting sqref="AM121:AM125">
    <cfRule type="beginsWith" dxfId="13289" priority="21144" operator="beginsWith" text="TOPHYC">
      <formula>LEFT(AM121,LEN("TOPHYC"))="TOPHYC"</formula>
    </cfRule>
    <cfRule type="beginsWith" dxfId="13288" priority="21145" operator="beginsWith" text="Global Exam">
      <formula>LEFT(AM121,LEN("Global Exam"))="Global Exam"</formula>
    </cfRule>
    <cfRule type="beginsWith" dxfId="13287" priority="21146" operator="beginsWith" text="TOMIC">
      <formula>LEFT(AM121,LEN("TOMIC"))="TOMIC"</formula>
    </cfRule>
  </conditionalFormatting>
  <conditionalFormatting sqref="AM146:AM150">
    <cfRule type="beginsWith" dxfId="13286" priority="12301" operator="beginsWith" text="Lancement Projet fil rouge">
      <formula>LEFT(AM146,LEN("Lancement Projet fil rouge"))="Lancement Projet fil rouge"</formula>
    </cfRule>
    <cfRule type="beginsWith" dxfId="13285" priority="12302" operator="beginsWith" text="Vacances">
      <formula>LEFT(AM146,LEN("Vacances"))="Vacances"</formula>
    </cfRule>
    <cfRule type="beginsWith" dxfId="13284" priority="12303" operator="beginsWith" text="Séminaire d'intégration">
      <formula>LEFT(AM146,LEN("Séminaire d'intégration"))="Séminaire d'intégration"</formula>
    </cfRule>
    <cfRule type="beginsWith" dxfId="13283" priority="12304" operator="beginsWith" text="Accueil">
      <formula>LEFT(AM146,LEN("Accueil"))="Accueil"</formula>
    </cfRule>
    <cfRule type="beginsWith" dxfId="13282" priority="12305" operator="beginsWith" text="Stage">
      <formula>LEFT(AM146,LEN("Stage"))="Stage"</formula>
    </cfRule>
    <cfRule type="beginsWith" dxfId="13281" priority="12306" operator="beginsWith" text="Entreprise">
      <formula>LEFT(AM146,LEN("Entreprise"))="Entreprise"</formula>
    </cfRule>
    <cfRule type="beginsWith" dxfId="13280" priority="12307" operator="beginsWith" text="Voltaire">
      <formula>LEFT(AM146,LEN("Voltaire"))="Voltaire"</formula>
    </cfRule>
    <cfRule type="beginsWith" dxfId="13279" priority="12308" operator="beginsWith" text="TOPHYC">
      <formula>LEFT(AM146,LEN("TOPHYC"))="TOPHYC"</formula>
    </cfRule>
    <cfRule type="beginsWith" dxfId="13278" priority="12309" operator="beginsWith" text="Global Exam">
      <formula>LEFT(AM146,LEN("Global Exam"))="Global Exam"</formula>
    </cfRule>
    <cfRule type="beginsWith" dxfId="13277" priority="12310" operator="beginsWith" text="TOMIC">
      <formula>LEFT(AM146,LEN("TOMIC"))="TOMIC"</formula>
    </cfRule>
  </conditionalFormatting>
  <conditionalFormatting sqref="AM236 AU236:AV236">
    <cfRule type="beginsWith" dxfId="13276" priority="30640" operator="beginsWith" text="Lancement Projet fil rouge">
      <formula>LEFT(AM236,LEN("Lancement Projet fil rouge"))="Lancement Projet fil rouge"</formula>
    </cfRule>
  </conditionalFormatting>
  <conditionalFormatting sqref="AV3">
    <cfRule type="beginsWith" dxfId="13275" priority="30440" operator="beginsWith" text="Lancement Projet fil rouge">
      <formula>LEFT(AV3,LEN("Lancement Projet fil rouge"))="Lancement Projet fil rouge"</formula>
    </cfRule>
    <cfRule type="beginsWith" dxfId="13274" priority="30441" operator="beginsWith" text="Vacances">
      <formula>LEFT(AV3,LEN("Vacances"))="Vacances"</formula>
    </cfRule>
    <cfRule type="beginsWith" dxfId="13273" priority="30442" operator="beginsWith" text="Séminaire d'intégration">
      <formula>LEFT(AV3,LEN("Séminaire d'intégration"))="Séminaire d'intégration"</formula>
    </cfRule>
    <cfRule type="beginsWith" dxfId="13272" priority="30443" operator="beginsWith" text="Accueil">
      <formula>LEFT(AV3,LEN("Accueil"))="Accueil"</formula>
    </cfRule>
    <cfRule type="beginsWith" dxfId="13271" priority="30444" operator="beginsWith" text="Stage">
      <formula>LEFT(AV3,LEN("Stage"))="Stage"</formula>
    </cfRule>
    <cfRule type="beginsWith" dxfId="13270" priority="30445" operator="beginsWith" text="Entreprise">
      <formula>LEFT(AV3,LEN("Entreprise"))="Entreprise"</formula>
    </cfRule>
    <cfRule type="beginsWith" dxfId="13269" priority="30446" operator="beginsWith" text="Voltaire">
      <formula>LEFT(AV3,LEN("Voltaire"))="Voltaire"</formula>
    </cfRule>
  </conditionalFormatting>
  <conditionalFormatting sqref="AV6">
    <cfRule type="beginsWith" dxfId="13268" priority="18285" operator="beginsWith" text="Projet professionnel : Séminaire PFI">
      <formula>LEFT(AV6,LEN("Projet professionnel : Séminaire PFI"))="Projet professionnel : Séminaire PFI"</formula>
    </cfRule>
    <cfRule type="beginsWith" dxfId="13267" priority="18286" operator="beginsWith" text="Lancement Projet fil rouge">
      <formula>LEFT(AV6,LEN("Lancement Projet fil rouge"))="Lancement Projet fil rouge"</formula>
    </cfRule>
    <cfRule type="beginsWith" dxfId="13266" priority="18287" operator="beginsWith" text="Vacances">
      <formula>LEFT(AV6,LEN("Vacances"))="Vacances"</formula>
    </cfRule>
    <cfRule type="beginsWith" dxfId="13265" priority="18288" operator="beginsWith" text="Séminaire d'intégration">
      <formula>LEFT(AV6,LEN("Séminaire d'intégration"))="Séminaire d'intégration"</formula>
    </cfRule>
    <cfRule type="beginsWith" dxfId="13264" priority="18289" operator="beginsWith" text="Accueil">
      <formula>LEFT(AV6,LEN("Accueil"))="Accueil"</formula>
    </cfRule>
    <cfRule type="beginsWith" dxfId="13263" priority="18290" operator="beginsWith" text="Stage">
      <formula>LEFT(AV6,LEN("Stage"))="Stage"</formula>
    </cfRule>
    <cfRule type="beginsWith" dxfId="13262" priority="18291" operator="beginsWith" text="Entreprise">
      <formula>LEFT(AV6,LEN("Entreprise"))="Entreprise"</formula>
    </cfRule>
    <cfRule type="beginsWith" dxfId="13261" priority="18292" operator="beginsWith" text="Voltaire">
      <formula>LEFT(AV6,LEN("Voltaire"))="Voltaire"</formula>
    </cfRule>
  </conditionalFormatting>
  <conditionalFormatting sqref="AV16">
    <cfRule type="beginsWith" dxfId="13260" priority="30615" operator="beginsWith" text="Projet professionnel : Séminaire PFI">
      <formula>LEFT(AV16,LEN("Projet professionnel : Séminaire PFI"))="Projet professionnel : Séminaire PFI"</formula>
    </cfRule>
    <cfRule type="beginsWith" dxfId="13259" priority="30616" operator="beginsWith" text="Lancement Projet fil rouge">
      <formula>LEFT(AV16,LEN("Lancement Projet fil rouge"))="Lancement Projet fil rouge"</formula>
    </cfRule>
    <cfRule type="beginsWith" dxfId="13258" priority="30617" operator="beginsWith" text="Vacances">
      <formula>LEFT(AV16,LEN("Vacances"))="Vacances"</formula>
    </cfRule>
    <cfRule type="beginsWith" dxfId="13257" priority="30618" operator="beginsWith" text="Séminaire d'intégration">
      <formula>LEFT(AV16,LEN("Séminaire d'intégration"))="Séminaire d'intégration"</formula>
    </cfRule>
    <cfRule type="beginsWith" dxfId="13256" priority="30619" operator="beginsWith" text="Accueil">
      <formula>LEFT(AV16,LEN("Accueil"))="Accueil"</formula>
    </cfRule>
    <cfRule type="beginsWith" dxfId="13255" priority="30620" operator="beginsWith" text="Stage">
      <formula>LEFT(AV16,LEN("Stage"))="Stage"</formula>
    </cfRule>
    <cfRule type="beginsWith" dxfId="13254" priority="30621" operator="beginsWith" text="Entreprise">
      <formula>LEFT(AV16,LEN("Entreprise"))="Entreprise"</formula>
    </cfRule>
    <cfRule type="beginsWith" dxfId="13253" priority="30622" operator="beginsWith" text="Voltaire">
      <formula>LEFT(AV16,LEN("Voltaire"))="Voltaire"</formula>
    </cfRule>
  </conditionalFormatting>
  <conditionalFormatting sqref="AV26">
    <cfRule type="beginsWith" dxfId="13252" priority="30623" operator="beginsWith" text="Projet professionnel : Séminaire PFI">
      <formula>LEFT(AV26,LEN("Projet professionnel : Séminaire PFI"))="Projet professionnel : Séminaire PFI"</formula>
    </cfRule>
    <cfRule type="beginsWith" dxfId="13251" priority="30624" operator="beginsWith" text="Lancement Projet fil rouge">
      <formula>LEFT(AV26,LEN("Lancement Projet fil rouge"))="Lancement Projet fil rouge"</formula>
    </cfRule>
    <cfRule type="beginsWith" dxfId="13250" priority="30625" operator="beginsWith" text="Vacances">
      <formula>LEFT(AV26,LEN("Vacances"))="Vacances"</formula>
    </cfRule>
    <cfRule type="beginsWith" dxfId="13249" priority="30626" operator="beginsWith" text="Séminaire d'intégration">
      <formula>LEFT(AV26,LEN("Séminaire d'intégration"))="Séminaire d'intégration"</formula>
    </cfRule>
    <cfRule type="beginsWith" dxfId="13248" priority="30627" operator="beginsWith" text="Accueil">
      <formula>LEFT(AV26,LEN("Accueil"))="Accueil"</formula>
    </cfRule>
    <cfRule type="beginsWith" dxfId="13247" priority="30628" operator="beginsWith" text="Stage">
      <formula>LEFT(AV26,LEN("Stage"))="Stage"</formula>
    </cfRule>
    <cfRule type="beginsWith" dxfId="13246" priority="30629" operator="beginsWith" text="Entreprise">
      <formula>LEFT(AV26,LEN("Entreprise"))="Entreprise"</formula>
    </cfRule>
    <cfRule type="beginsWith" dxfId="13245" priority="30630" operator="beginsWith" text="Voltaire">
      <formula>LEFT(AV26,LEN("Voltaire"))="Voltaire"</formula>
    </cfRule>
  </conditionalFormatting>
  <conditionalFormatting sqref="AV36 AV102:AV105 AV116:AV124 AV1:AV2 AV5 AV46:AV61">
    <cfRule type="beginsWith" dxfId="13244" priority="30671" operator="beginsWith" text="Projet professionnel : Séminaire PFI">
      <formula>LEFT(AV1,LEN("Projet professionnel : Séminaire PFI"))="Projet professionnel : Séminaire PFI"</formula>
    </cfRule>
    <cfRule type="beginsWith" dxfId="13243" priority="30673" operator="beginsWith" text="Vacances">
      <formula>LEFT(AV1,LEN("Vacances"))="Vacances"</formula>
    </cfRule>
    <cfRule type="beginsWith" dxfId="13242" priority="30674" operator="beginsWith" text="Séminaire d'intégration">
      <formula>LEFT(AV1,LEN("Séminaire d'intégration"))="Séminaire d'intégration"</formula>
    </cfRule>
    <cfRule type="beginsWith" dxfId="13241" priority="30675" operator="beginsWith" text="Accueil">
      <formula>LEFT(AV1,LEN("Accueil"))="Accueil"</formula>
    </cfRule>
    <cfRule type="beginsWith" dxfId="13240" priority="30676" operator="beginsWith" text="Stage">
      <formula>LEFT(AV1,LEN("Stage"))="Stage"</formula>
    </cfRule>
    <cfRule type="beginsWith" dxfId="13239" priority="30677" operator="beginsWith" text="Entreprise">
      <formula>LEFT(AV1,LEN("Entreprise"))="Entreprise"</formula>
    </cfRule>
    <cfRule type="beginsWith" dxfId="13238" priority="30678" operator="beginsWith" text="Voltaire">
      <formula>LEFT(AV1,LEN("Voltaire"))="Voltaire"</formula>
    </cfRule>
  </conditionalFormatting>
  <conditionalFormatting sqref="AV41">
    <cfRule type="beginsWith" dxfId="13237" priority="30432" operator="beginsWith" text="Projet professionnel : Séminaire PFI">
      <formula>LEFT(AV41,LEN("Projet professionnel : Séminaire PFI"))="Projet professionnel : Séminaire PFI"</formula>
    </cfRule>
    <cfRule type="beginsWith" dxfId="13236" priority="30434" operator="beginsWith" text="Vacances">
      <formula>LEFT(AV41,LEN("Vacances"))="Vacances"</formula>
    </cfRule>
    <cfRule type="beginsWith" dxfId="13235" priority="30435" operator="beginsWith" text="Séminaire d'intégration">
      <formula>LEFT(AV41,LEN("Séminaire d'intégration"))="Séminaire d'intégration"</formula>
    </cfRule>
    <cfRule type="beginsWith" dxfId="13234" priority="30436" operator="beginsWith" text="Accueil">
      <formula>LEFT(AV41,LEN("Accueil"))="Accueil"</formula>
    </cfRule>
    <cfRule type="beginsWith" dxfId="13233" priority="30437" operator="beginsWith" text="Stage">
      <formula>LEFT(AV41,LEN("Stage"))="Stage"</formula>
    </cfRule>
    <cfRule type="beginsWith" dxfId="13232" priority="30438" operator="beginsWith" text="Entreprise">
      <formula>LEFT(AV41,LEN("Entreprise"))="Entreprise"</formula>
    </cfRule>
    <cfRule type="beginsWith" dxfId="13231" priority="30439" operator="beginsWith" text="Voltaire">
      <formula>LEFT(AV41,LEN("Voltaire"))="Voltaire"</formula>
    </cfRule>
  </conditionalFormatting>
  <conditionalFormatting sqref="AV66">
    <cfRule type="beginsWith" dxfId="13230" priority="30647" operator="beginsWith" text="Projet professionnel : Séminaire PFI">
      <formula>LEFT(AV66,LEN("Projet professionnel : Séminaire PFI"))="Projet professionnel : Séminaire PFI"</formula>
    </cfRule>
    <cfRule type="beginsWith" dxfId="13229" priority="30649" operator="beginsWith" text="Vacances">
      <formula>LEFT(AV66,LEN("Vacances"))="Vacances"</formula>
    </cfRule>
    <cfRule type="beginsWith" dxfId="13228" priority="30650" operator="beginsWith" text="Séminaire d'intégration">
      <formula>LEFT(AV66,LEN("Séminaire d'intégration"))="Séminaire d'intégration"</formula>
    </cfRule>
    <cfRule type="beginsWith" dxfId="13227" priority="30651" operator="beginsWith" text="Accueil">
      <formula>LEFT(AV66,LEN("Accueil"))="Accueil"</formula>
    </cfRule>
    <cfRule type="beginsWith" dxfId="13226" priority="30652" operator="beginsWith" text="Stage">
      <formula>LEFT(AV66,LEN("Stage"))="Stage"</formula>
    </cfRule>
    <cfRule type="beginsWith" dxfId="13225" priority="30653" operator="beginsWith" text="Entreprise">
      <formula>LEFT(AV66,LEN("Entreprise"))="Entreprise"</formula>
    </cfRule>
    <cfRule type="beginsWith" dxfId="13224" priority="30654" operator="beginsWith" text="Voltaire">
      <formula>LEFT(AV66,LEN("Voltaire"))="Voltaire"</formula>
    </cfRule>
  </conditionalFormatting>
  <conditionalFormatting sqref="AV71">
    <cfRule type="beginsWith" dxfId="13223" priority="30567" operator="beginsWith" text="Projet professionnel : Séminaire PFI">
      <formula>LEFT(AV71,LEN("Projet professionnel : Séminaire PFI"))="Projet professionnel : Séminaire PFI"</formula>
    </cfRule>
    <cfRule type="beginsWith" dxfId="13222" priority="30568" operator="beginsWith" text="Lancement Projet fil rouge">
      <formula>LEFT(AV71,LEN("Lancement Projet fil rouge"))="Lancement Projet fil rouge"</formula>
    </cfRule>
    <cfRule type="beginsWith" dxfId="13221" priority="30569" operator="beginsWith" text="Vacances">
      <formula>LEFT(AV71,LEN("Vacances"))="Vacances"</formula>
    </cfRule>
    <cfRule type="beginsWith" dxfId="13220" priority="30570" operator="beginsWith" text="Séminaire d'intégration">
      <formula>LEFT(AV71,LEN("Séminaire d'intégration"))="Séminaire d'intégration"</formula>
    </cfRule>
    <cfRule type="beginsWith" dxfId="13219" priority="30571" operator="beginsWith" text="Accueil">
      <formula>LEFT(AV71,LEN("Accueil"))="Accueil"</formula>
    </cfRule>
    <cfRule type="beginsWith" dxfId="13218" priority="30572" operator="beginsWith" text="Stage">
      <formula>LEFT(AV71,LEN("Stage"))="Stage"</formula>
    </cfRule>
    <cfRule type="beginsWith" dxfId="13217" priority="30573" operator="beginsWith" text="Entreprise">
      <formula>LEFT(AV71,LEN("Entreprise"))="Entreprise"</formula>
    </cfRule>
    <cfRule type="beginsWith" dxfId="13216" priority="30574" operator="beginsWith" text="Voltaire">
      <formula>LEFT(AV71,LEN("Voltaire"))="Voltaire"</formula>
    </cfRule>
  </conditionalFormatting>
  <conditionalFormatting sqref="AV81">
    <cfRule type="beginsWith" dxfId="13215" priority="30575" operator="beginsWith" text="Projet professionnel : Séminaire PFI">
      <formula>LEFT(AV81,LEN("Projet professionnel : Séminaire PFI"))="Projet professionnel : Séminaire PFI"</formula>
    </cfRule>
    <cfRule type="beginsWith" dxfId="13214" priority="30576" operator="beginsWith" text="Lancement Projet fil rouge">
      <formula>LEFT(AV81,LEN("Lancement Projet fil rouge"))="Lancement Projet fil rouge"</formula>
    </cfRule>
    <cfRule type="beginsWith" dxfId="13213" priority="30577" operator="beginsWith" text="Vacances">
      <formula>LEFT(AV81,LEN("Vacances"))="Vacances"</formula>
    </cfRule>
    <cfRule type="beginsWith" dxfId="13212" priority="30578" operator="beginsWith" text="Séminaire d'intégration">
      <formula>LEFT(AV81,LEN("Séminaire d'intégration"))="Séminaire d'intégration"</formula>
    </cfRule>
    <cfRule type="beginsWith" dxfId="13211" priority="30579" operator="beginsWith" text="Accueil">
      <formula>LEFT(AV81,LEN("Accueil"))="Accueil"</formula>
    </cfRule>
    <cfRule type="beginsWith" dxfId="13210" priority="30580" operator="beginsWith" text="Stage">
      <formula>LEFT(AV81,LEN("Stage"))="Stage"</formula>
    </cfRule>
    <cfRule type="beginsWith" dxfId="13209" priority="30581" operator="beginsWith" text="Entreprise">
      <formula>LEFT(AV81,LEN("Entreprise"))="Entreprise"</formula>
    </cfRule>
    <cfRule type="beginsWith" dxfId="13208" priority="30582" operator="beginsWith" text="Voltaire">
      <formula>LEFT(AV81,LEN("Voltaire"))="Voltaire"</formula>
    </cfRule>
  </conditionalFormatting>
  <conditionalFormatting sqref="AV96:AV101">
    <cfRule type="beginsWith" dxfId="13207" priority="30416" operator="beginsWith" text="Projet professionnel : Séminaire PFI">
      <formula>LEFT(AV96,LEN("Projet professionnel : Séminaire PFI"))="Projet professionnel : Séminaire PFI"</formula>
    </cfRule>
    <cfRule type="beginsWith" dxfId="13206" priority="30417" operator="beginsWith" text="Lancement Projet fil rouge">
      <formula>LEFT(AV96,LEN("Lancement Projet fil rouge"))="Lancement Projet fil rouge"</formula>
    </cfRule>
    <cfRule type="beginsWith" dxfId="13205" priority="30418" operator="beginsWith" text="Vacances">
      <formula>LEFT(AV96,LEN("Vacances"))="Vacances"</formula>
    </cfRule>
    <cfRule type="beginsWith" dxfId="13204" priority="30419" operator="beginsWith" text="Séminaire d'intégration">
      <formula>LEFT(AV96,LEN("Séminaire d'intégration"))="Séminaire d'intégration"</formula>
    </cfRule>
    <cfRule type="beginsWith" dxfId="13203" priority="30420" operator="beginsWith" text="Accueil">
      <formula>LEFT(AV96,LEN("Accueil"))="Accueil"</formula>
    </cfRule>
    <cfRule type="beginsWith" dxfId="13202" priority="30421" operator="beginsWith" text="Stage">
      <formula>LEFT(AV96,LEN("Stage"))="Stage"</formula>
    </cfRule>
    <cfRule type="beginsWith" dxfId="13201" priority="30422" operator="beginsWith" text="Entreprise">
      <formula>LEFT(AV96,LEN("Entreprise"))="Entreprise"</formula>
    </cfRule>
    <cfRule type="beginsWith" dxfId="13200" priority="30423" operator="beginsWith" text="Voltaire">
      <formula>LEFT(AV96,LEN("Voltaire"))="Voltaire"</formula>
    </cfRule>
  </conditionalFormatting>
  <conditionalFormatting sqref="AV106">
    <cfRule type="beginsWith" dxfId="13199" priority="30424" operator="beginsWith" text="Projet professionnel : Séminaire PFI">
      <formula>LEFT(AV106,LEN("Projet professionnel : Séminaire PFI"))="Projet professionnel : Séminaire PFI"</formula>
    </cfRule>
    <cfRule type="beginsWith" dxfId="13198" priority="30425" operator="beginsWith" text="Lancement Projet fil rouge">
      <formula>LEFT(AV106,LEN("Lancement Projet fil rouge"))="Lancement Projet fil rouge"</formula>
    </cfRule>
    <cfRule type="beginsWith" dxfId="13197" priority="30426" operator="beginsWith" text="Vacances">
      <formula>LEFT(AV106,LEN("Vacances"))="Vacances"</formula>
    </cfRule>
    <cfRule type="beginsWith" dxfId="13196" priority="30427" operator="beginsWith" text="Séminaire d'intégration">
      <formula>LEFT(AV106,LEN("Séminaire d'intégration"))="Séminaire d'intégration"</formula>
    </cfRule>
    <cfRule type="beginsWith" dxfId="13195" priority="30428" operator="beginsWith" text="Accueil">
      <formula>LEFT(AV106,LEN("Accueil"))="Accueil"</formula>
    </cfRule>
    <cfRule type="beginsWith" dxfId="13194" priority="30429" operator="beginsWith" text="Stage">
      <formula>LEFT(AV106,LEN("Stage"))="Stage"</formula>
    </cfRule>
    <cfRule type="beginsWith" dxfId="13193" priority="30430" operator="beginsWith" text="Entreprise">
      <formula>LEFT(AV106,LEN("Entreprise"))="Entreprise"</formula>
    </cfRule>
    <cfRule type="beginsWith" dxfId="13192" priority="30431" operator="beginsWith" text="Voltaire">
      <formula>LEFT(AV106,LEN("Voltaire"))="Voltaire"</formula>
    </cfRule>
  </conditionalFormatting>
  <conditionalFormatting sqref="AV111">
    <cfRule type="beginsWith" dxfId="13191" priority="30559" operator="beginsWith" text="Projet professionnel : Séminaire PFI">
      <formula>LEFT(AV111,LEN("Projet professionnel : Séminaire PFI"))="Projet professionnel : Séminaire PFI"</formula>
    </cfRule>
    <cfRule type="beginsWith" dxfId="13190" priority="30560" operator="beginsWith" text="Lancement Projet fil rouge">
      <formula>LEFT(AV111,LEN("Lancement Projet fil rouge"))="Lancement Projet fil rouge"</formula>
    </cfRule>
    <cfRule type="beginsWith" dxfId="13189" priority="30561" operator="beginsWith" text="Vacances">
      <formula>LEFT(AV111,LEN("Vacances"))="Vacances"</formula>
    </cfRule>
    <cfRule type="beginsWith" dxfId="13188" priority="30562" operator="beginsWith" text="Séminaire d'intégration">
      <formula>LEFT(AV111,LEN("Séminaire d'intégration"))="Séminaire d'intégration"</formula>
    </cfRule>
    <cfRule type="beginsWith" dxfId="13187" priority="30563" operator="beginsWith" text="Accueil">
      <formula>LEFT(AV111,LEN("Accueil"))="Accueil"</formula>
    </cfRule>
    <cfRule type="beginsWith" dxfId="13186" priority="30564" operator="beginsWith" text="Stage">
      <formula>LEFT(AV111,LEN("Stage"))="Stage"</formula>
    </cfRule>
    <cfRule type="beginsWith" dxfId="13185" priority="30565" operator="beginsWith" text="Entreprise">
      <formula>LEFT(AV111,LEN("Entreprise"))="Entreprise"</formula>
    </cfRule>
    <cfRule type="beginsWith" dxfId="13184" priority="30566" operator="beginsWith" text="Voltaire">
      <formula>LEFT(AV111,LEN("Voltaire"))="Voltaire"</formula>
    </cfRule>
  </conditionalFormatting>
  <conditionalFormatting sqref="AV125">
    <cfRule type="beginsWith" dxfId="13183" priority="30551" operator="beginsWith" text="Projet professionnel : Séminaire PFI">
      <formula>LEFT(AV125,LEN("Projet professionnel : Séminaire PFI"))="Projet professionnel : Séminaire PFI"</formula>
    </cfRule>
    <cfRule type="beginsWith" dxfId="13182" priority="30552" operator="beginsWith" text="Lancement Projet fil rouge">
      <formula>LEFT(AV125,LEN("Lancement Projet fil rouge"))="Lancement Projet fil rouge"</formula>
    </cfRule>
    <cfRule type="beginsWith" dxfId="13181" priority="30553" operator="beginsWith" text="Vacances">
      <formula>LEFT(AV125,LEN("Vacances"))="Vacances"</formula>
    </cfRule>
    <cfRule type="beginsWith" dxfId="13180" priority="30554" operator="beginsWith" text="Séminaire d'intégration">
      <formula>LEFT(AV125,LEN("Séminaire d'intégration"))="Séminaire d'intégration"</formula>
    </cfRule>
    <cfRule type="beginsWith" dxfId="13179" priority="30555" operator="beginsWith" text="Accueil">
      <formula>LEFT(AV125,LEN("Accueil"))="Accueil"</formula>
    </cfRule>
    <cfRule type="beginsWith" dxfId="13178" priority="30556" operator="beginsWith" text="Stage">
      <formula>LEFT(AV125,LEN("Stage"))="Stage"</formula>
    </cfRule>
    <cfRule type="beginsWith" dxfId="13177" priority="30557" operator="beginsWith" text="Entreprise">
      <formula>LEFT(AV125,LEN("Entreprise"))="Entreprise"</formula>
    </cfRule>
    <cfRule type="beginsWith" dxfId="13176" priority="30558" operator="beginsWith" text="Voltaire">
      <formula>LEFT(AV125,LEN("Voltaire"))="Voltaire"</formula>
    </cfRule>
  </conditionalFormatting>
  <conditionalFormatting sqref="AV171">
    <cfRule type="beginsWith" dxfId="13175" priority="17509" operator="beginsWith" text="Projet professionnel : Séminaire PFI">
      <formula>LEFT(AV171,LEN("Projet professionnel : Séminaire PFI"))="Projet professionnel : Séminaire PFI"</formula>
    </cfRule>
    <cfRule type="beginsWith" dxfId="13174" priority="17510" operator="beginsWith" text="Lancement Projet fil rouge">
      <formula>LEFT(AV171,LEN("Lancement Projet fil rouge"))="Lancement Projet fil rouge"</formula>
    </cfRule>
    <cfRule type="beginsWith" dxfId="13173" priority="17511" operator="beginsWith" text="Vacances">
      <formula>LEFT(AV171,LEN("Vacances"))="Vacances"</formula>
    </cfRule>
    <cfRule type="beginsWith" dxfId="13172" priority="17512" operator="beginsWith" text="Séminaire d'intégration">
      <formula>LEFT(AV171,LEN("Séminaire d'intégration"))="Séminaire d'intégration"</formula>
    </cfRule>
    <cfRule type="beginsWith" dxfId="13171" priority="17513" operator="beginsWith" text="Accueil">
      <formula>LEFT(AV171,LEN("Accueil"))="Accueil"</formula>
    </cfRule>
    <cfRule type="beginsWith" dxfId="13170" priority="17514" operator="beginsWith" text="Stage">
      <formula>LEFT(AV171,LEN("Stage"))="Stage"</formula>
    </cfRule>
    <cfRule type="beginsWith" dxfId="13169" priority="17515" operator="beginsWith" text="Entreprise">
      <formula>LEFT(AV171,LEN("Entreprise"))="Entreprise"</formula>
    </cfRule>
    <cfRule type="beginsWith" dxfId="13168" priority="17516" operator="beginsWith" text="Voltaire">
      <formula>LEFT(AV171,LEN("Voltaire"))="Voltaire"</formula>
    </cfRule>
    <cfRule type="beginsWith" dxfId="13167" priority="17517" operator="beginsWith" text="Projet professionnel : Séminaire PFI">
      <formula>LEFT(AV171,LEN("Projet professionnel : Séminaire PFI"))="Projet professionnel : Séminaire PFI"</formula>
    </cfRule>
    <cfRule type="beginsWith" dxfId="13166" priority="17518" operator="beginsWith" text="Lancement Projet fil rouge">
      <formula>LEFT(AV171,LEN("Lancement Projet fil rouge"))="Lancement Projet fil rouge"</formula>
    </cfRule>
    <cfRule type="beginsWith" dxfId="13165" priority="17519" operator="beginsWith" text="Vacances">
      <formula>LEFT(AV171,LEN("Vacances"))="Vacances"</formula>
    </cfRule>
    <cfRule type="beginsWith" dxfId="13164" priority="17520" operator="beginsWith" text="Séminaire d'intégration">
      <formula>LEFT(AV171,LEN("Séminaire d'intégration"))="Séminaire d'intégration"</formula>
    </cfRule>
    <cfRule type="beginsWith" dxfId="13163" priority="17521" operator="beginsWith" text="Accueil">
      <formula>LEFT(AV171,LEN("Accueil"))="Accueil"</formula>
    </cfRule>
    <cfRule type="beginsWith" dxfId="13162" priority="17522" operator="beginsWith" text="Stage">
      <formula>LEFT(AV171,LEN("Stage"))="Stage"</formula>
    </cfRule>
    <cfRule type="beginsWith" dxfId="13161" priority="17523" operator="beginsWith" text="Entreprise">
      <formula>LEFT(AV171,LEN("Entreprise"))="Entreprise"</formula>
    </cfRule>
    <cfRule type="beginsWith" dxfId="13160" priority="17524" operator="beginsWith" text="Voltaire">
      <formula>LEFT(AV171,LEN("Voltaire"))="Voltaire"</formula>
    </cfRule>
  </conditionalFormatting>
  <conditionalFormatting sqref="AV176:AV188">
    <cfRule type="beginsWith" dxfId="13159" priority="17501" operator="beginsWith" text="Projet professionnel : Séminaire PFI">
      <formula>LEFT(AV176,LEN("Projet professionnel : Séminaire PFI"))="Projet professionnel : Séminaire PFI"</formula>
    </cfRule>
    <cfRule type="beginsWith" dxfId="13158" priority="17502" operator="beginsWith" text="Lancement Projet fil rouge">
      <formula>LEFT(AV176,LEN("Lancement Projet fil rouge"))="Lancement Projet fil rouge"</formula>
    </cfRule>
    <cfRule type="beginsWith" dxfId="13157" priority="17503" operator="beginsWith" text="Vacances">
      <formula>LEFT(AV176,LEN("Vacances"))="Vacances"</formula>
    </cfRule>
    <cfRule type="beginsWith" dxfId="13156" priority="17504" operator="beginsWith" text="Séminaire d'intégration">
      <formula>LEFT(AV176,LEN("Séminaire d'intégration"))="Séminaire d'intégration"</formula>
    </cfRule>
    <cfRule type="beginsWith" dxfId="13155" priority="17505" operator="beginsWith" text="Accueil">
      <formula>LEFT(AV176,LEN("Accueil"))="Accueil"</formula>
    </cfRule>
    <cfRule type="beginsWith" dxfId="13154" priority="17506" operator="beginsWith" text="Stage">
      <formula>LEFT(AV176,LEN("Stage"))="Stage"</formula>
    </cfRule>
    <cfRule type="beginsWith" dxfId="13153" priority="17507" operator="beginsWith" text="Entreprise">
      <formula>LEFT(AV176,LEN("Entreprise"))="Entreprise"</formula>
    </cfRule>
    <cfRule type="beginsWith" dxfId="13152" priority="17508" operator="beginsWith" text="Voltaire">
      <formula>LEFT(AV176,LEN("Voltaire"))="Voltaire"</formula>
    </cfRule>
  </conditionalFormatting>
  <conditionalFormatting sqref="AV189:AV190">
    <cfRule type="beginsWith" dxfId="13151" priority="30527" operator="beginsWith" text="Projet professionnel : Séminaire PFI">
      <formula>LEFT(AV189,LEN("Projet professionnel : Séminaire PFI"))="Projet professionnel : Séminaire PFI"</formula>
    </cfRule>
    <cfRule type="beginsWith" dxfId="13150" priority="30528" operator="beginsWith" text="Lancement Projet fil rouge">
      <formula>LEFT(AV189,LEN("Lancement Projet fil rouge"))="Lancement Projet fil rouge"</formula>
    </cfRule>
    <cfRule type="beginsWith" dxfId="13149" priority="30529" operator="beginsWith" text="Vacances">
      <formula>LEFT(AV189,LEN("Vacances"))="Vacances"</formula>
    </cfRule>
    <cfRule type="beginsWith" dxfId="13148" priority="30530" operator="beginsWith" text="Séminaire d'intégration">
      <formula>LEFT(AV189,LEN("Séminaire d'intégration"))="Séminaire d'intégration"</formula>
    </cfRule>
    <cfRule type="beginsWith" dxfId="13147" priority="30531" operator="beginsWith" text="Accueil">
      <formula>LEFT(AV189,LEN("Accueil"))="Accueil"</formula>
    </cfRule>
    <cfRule type="beginsWith" dxfId="13146" priority="30532" operator="beginsWith" text="Stage">
      <formula>LEFT(AV189,LEN("Stage"))="Stage"</formula>
    </cfRule>
    <cfRule type="beginsWith" dxfId="13145" priority="30533" operator="beginsWith" text="Entreprise">
      <formula>LEFT(AV189,LEN("Entreprise"))="Entreprise"</formula>
    </cfRule>
    <cfRule type="beginsWith" dxfId="13144" priority="30534" operator="beginsWith" text="Voltaire">
      <formula>LEFT(AV189,LEN("Voltaire"))="Voltaire"</formula>
    </cfRule>
  </conditionalFormatting>
  <conditionalFormatting sqref="AV196">
    <cfRule type="beginsWith" dxfId="13143" priority="17485" operator="beginsWith" text="Projet professionnel : Séminaire PFI">
      <formula>LEFT(AV196,LEN("Projet professionnel : Séminaire PFI"))="Projet professionnel : Séminaire PFI"</formula>
    </cfRule>
    <cfRule type="beginsWith" dxfId="13142" priority="17486" operator="beginsWith" text="Lancement Projet fil rouge">
      <formula>LEFT(AV196,LEN("Lancement Projet fil rouge"))="Lancement Projet fil rouge"</formula>
    </cfRule>
    <cfRule type="beginsWith" dxfId="13141" priority="17487" operator="beginsWith" text="Vacances">
      <formula>LEFT(AV196,LEN("Vacances"))="Vacances"</formula>
    </cfRule>
    <cfRule type="beginsWith" dxfId="13140" priority="17488" operator="beginsWith" text="Séminaire d'intégration">
      <formula>LEFT(AV196,LEN("Séminaire d'intégration"))="Séminaire d'intégration"</formula>
    </cfRule>
    <cfRule type="beginsWith" dxfId="13139" priority="17489" operator="beginsWith" text="Accueil">
      <formula>LEFT(AV196,LEN("Accueil"))="Accueil"</formula>
    </cfRule>
    <cfRule type="beginsWith" dxfId="13138" priority="17490" operator="beginsWith" text="Stage">
      <formula>LEFT(AV196,LEN("Stage"))="Stage"</formula>
    </cfRule>
    <cfRule type="beginsWith" dxfId="13137" priority="17491" operator="beginsWith" text="Entreprise">
      <formula>LEFT(AV196,LEN("Entreprise"))="Entreprise"</formula>
    </cfRule>
    <cfRule type="beginsWith" dxfId="13136" priority="17492" operator="beginsWith" text="Voltaire">
      <formula>LEFT(AV196,LEN("Voltaire"))="Voltaire"</formula>
    </cfRule>
  </conditionalFormatting>
  <conditionalFormatting sqref="AV201">
    <cfRule type="beginsWith" dxfId="13135" priority="17493" operator="beginsWith" text="Projet professionnel : Séminaire PFI">
      <formula>LEFT(AV201,LEN("Projet professionnel : Séminaire PFI"))="Projet professionnel : Séminaire PFI"</formula>
    </cfRule>
    <cfRule type="beginsWith" dxfId="13134" priority="17494" operator="beginsWith" text="Lancement Projet fil rouge">
      <formula>LEFT(AV201,LEN("Lancement Projet fil rouge"))="Lancement Projet fil rouge"</formula>
    </cfRule>
    <cfRule type="beginsWith" dxfId="13133" priority="17495" operator="beginsWith" text="Vacances">
      <formula>LEFT(AV201,LEN("Vacances"))="Vacances"</formula>
    </cfRule>
    <cfRule type="beginsWith" dxfId="13132" priority="17496" operator="beginsWith" text="Séminaire d'intégration">
      <formula>LEFT(AV201,LEN("Séminaire d'intégration"))="Séminaire d'intégration"</formula>
    </cfRule>
    <cfRule type="beginsWith" dxfId="13131" priority="17497" operator="beginsWith" text="Accueil">
      <formula>LEFT(AV201,LEN("Accueil"))="Accueil"</formula>
    </cfRule>
    <cfRule type="beginsWith" dxfId="13130" priority="17498" operator="beginsWith" text="Stage">
      <formula>LEFT(AV201,LEN("Stage"))="Stage"</formula>
    </cfRule>
    <cfRule type="beginsWith" dxfId="13129" priority="17499" operator="beginsWith" text="Entreprise">
      <formula>LEFT(AV201,LEN("Entreprise"))="Entreprise"</formula>
    </cfRule>
    <cfRule type="beginsWith" dxfId="13128" priority="17500" operator="beginsWith" text="Voltaire">
      <formula>LEFT(AV201,LEN("Voltaire"))="Voltaire"</formula>
    </cfRule>
  </conditionalFormatting>
  <conditionalFormatting sqref="AV206">
    <cfRule type="beginsWith" dxfId="13127" priority="17461" operator="beginsWith" text="Projet professionnel : Séminaire PFI">
      <formula>LEFT(AV206,LEN("Projet professionnel : Séminaire PFI"))="Projet professionnel : Séminaire PFI"</formula>
    </cfRule>
    <cfRule type="beginsWith" dxfId="13126" priority="17462" operator="beginsWith" text="Lancement Projet fil rouge">
      <formula>LEFT(AV206,LEN("Lancement Projet fil rouge"))="Lancement Projet fil rouge"</formula>
    </cfRule>
    <cfRule type="beginsWith" dxfId="13125" priority="17463" operator="beginsWith" text="Vacances">
      <formula>LEFT(AV206,LEN("Vacances"))="Vacances"</formula>
    </cfRule>
    <cfRule type="beginsWith" dxfId="13124" priority="17464" operator="beginsWith" text="Séminaire d'intégration">
      <formula>LEFT(AV206,LEN("Séminaire d'intégration"))="Séminaire d'intégration"</formula>
    </cfRule>
    <cfRule type="beginsWith" dxfId="13123" priority="17465" operator="beginsWith" text="Accueil">
      <formula>LEFT(AV206,LEN("Accueil"))="Accueil"</formula>
    </cfRule>
    <cfRule type="beginsWith" dxfId="13122" priority="17466" operator="beginsWith" text="Stage">
      <formula>LEFT(AV206,LEN("Stage"))="Stage"</formula>
    </cfRule>
    <cfRule type="beginsWith" dxfId="13121" priority="17467" operator="beginsWith" text="Entreprise">
      <formula>LEFT(AV206,LEN("Entreprise"))="Entreprise"</formula>
    </cfRule>
    <cfRule type="beginsWith" dxfId="13120" priority="17468" operator="beginsWith" text="Voltaire">
      <formula>LEFT(AV206,LEN("Voltaire"))="Voltaire"</formula>
    </cfRule>
  </conditionalFormatting>
  <conditionalFormatting sqref="AV221">
    <cfRule type="beginsWith" dxfId="13119" priority="17477" operator="beginsWith" text="Projet professionnel : Séminaire PFI">
      <formula>LEFT(AV221,LEN("Projet professionnel : Séminaire PFI"))="Projet professionnel : Séminaire PFI"</formula>
    </cfRule>
    <cfRule type="beginsWith" dxfId="13118" priority="17478" operator="beginsWith" text="Lancement Projet fil rouge">
      <formula>LEFT(AV221,LEN("Lancement Projet fil rouge"))="Lancement Projet fil rouge"</formula>
    </cfRule>
    <cfRule type="beginsWith" dxfId="13117" priority="17479" operator="beginsWith" text="Vacances">
      <formula>LEFT(AV221,LEN("Vacances"))="Vacances"</formula>
    </cfRule>
    <cfRule type="beginsWith" dxfId="13116" priority="17480" operator="beginsWith" text="Séminaire d'intégration">
      <formula>LEFT(AV221,LEN("Séminaire d'intégration"))="Séminaire d'intégration"</formula>
    </cfRule>
    <cfRule type="beginsWith" dxfId="13115" priority="17481" operator="beginsWith" text="Accueil">
      <formula>LEFT(AV221,LEN("Accueil"))="Accueil"</formula>
    </cfRule>
    <cfRule type="beginsWith" dxfId="13114" priority="17482" operator="beginsWith" text="Stage">
      <formula>LEFT(AV221,LEN("Stage"))="Stage"</formula>
    </cfRule>
    <cfRule type="beginsWith" dxfId="13113" priority="17483" operator="beginsWith" text="Entreprise">
      <formula>LEFT(AV221,LEN("Entreprise"))="Entreprise"</formula>
    </cfRule>
    <cfRule type="beginsWith" dxfId="13112" priority="17484" operator="beginsWith" text="Voltaire">
      <formula>LEFT(AV221,LEN("Voltaire"))="Voltaire"</formula>
    </cfRule>
  </conditionalFormatting>
  <conditionalFormatting sqref="AV226">
    <cfRule type="beginsWith" dxfId="13111" priority="17469" operator="beginsWith" text="Projet professionnel : Séminaire PFI">
      <formula>LEFT(AV226,LEN("Projet professionnel : Séminaire PFI"))="Projet professionnel : Séminaire PFI"</formula>
    </cfRule>
    <cfRule type="beginsWith" dxfId="13110" priority="17470" operator="beginsWith" text="Lancement Projet fil rouge">
      <formula>LEFT(AV226,LEN("Lancement Projet fil rouge"))="Lancement Projet fil rouge"</formula>
    </cfRule>
    <cfRule type="beginsWith" dxfId="13109" priority="17471" operator="beginsWith" text="Vacances">
      <formula>LEFT(AV226,LEN("Vacances"))="Vacances"</formula>
    </cfRule>
    <cfRule type="beginsWith" dxfId="13108" priority="17472" operator="beginsWith" text="Séminaire d'intégration">
      <formula>LEFT(AV226,LEN("Séminaire d'intégration"))="Séminaire d'intégration"</formula>
    </cfRule>
    <cfRule type="beginsWith" dxfId="13107" priority="17473" operator="beginsWith" text="Accueil">
      <formula>LEFT(AV226,LEN("Accueil"))="Accueil"</formula>
    </cfRule>
    <cfRule type="beginsWith" dxfId="13106" priority="17474" operator="beginsWith" text="Stage">
      <formula>LEFT(AV226,LEN("Stage"))="Stage"</formula>
    </cfRule>
    <cfRule type="beginsWith" dxfId="13105" priority="17475" operator="beginsWith" text="Entreprise">
      <formula>LEFT(AV226,LEN("Entreprise"))="Entreprise"</formula>
    </cfRule>
    <cfRule type="beginsWith" dxfId="13104" priority="17476" operator="beginsWith" text="Voltaire">
      <formula>LEFT(AV226,LEN("Voltaire"))="Voltaire"</formula>
    </cfRule>
  </conditionalFormatting>
  <conditionalFormatting sqref="AV236">
    <cfRule type="beginsWith" dxfId="13103" priority="30639" operator="beginsWith" text="Projet professionnel : Séminaire PFI">
      <formula>LEFT(AV236,LEN("Projet professionnel : Séminaire PFI"))="Projet professionnel : Séminaire PFI"</formula>
    </cfRule>
    <cfRule type="beginsWith" dxfId="13102" priority="30641" operator="beginsWith" text="Vacances">
      <formula>LEFT(AV236,LEN("Vacances"))="Vacances"</formula>
    </cfRule>
    <cfRule type="beginsWith" dxfId="13101" priority="30642" operator="beginsWith" text="Séminaire d'intégration">
      <formula>LEFT(AV236,LEN("Séminaire d'intégration"))="Séminaire d'intégration"</formula>
    </cfRule>
    <cfRule type="beginsWith" dxfId="13100" priority="30643" operator="beginsWith" text="Accueil">
      <formula>LEFT(AV236,LEN("Accueil"))="Accueil"</formula>
    </cfRule>
    <cfRule type="beginsWith" dxfId="13099" priority="30644" operator="beginsWith" text="Stage">
      <formula>LEFT(AV236,LEN("Stage"))="Stage"</formula>
    </cfRule>
    <cfRule type="beginsWith" dxfId="13098" priority="30645" operator="beginsWith" text="Entreprise">
      <formula>LEFT(AV236,LEN("Entreprise"))="Entreprise"</formula>
    </cfRule>
    <cfRule type="beginsWith" dxfId="13097" priority="30646" operator="beginsWith" text="Voltaire">
      <formula>LEFT(AV236,LEN("Voltaire"))="Voltaire"</formula>
    </cfRule>
  </conditionalFormatting>
  <conditionalFormatting sqref="AV250:AV251">
    <cfRule type="beginsWith" dxfId="13096" priority="30447" operator="beginsWith" text="Projet professionnel : Séminaire PFI">
      <formula>LEFT(AV250,LEN("Projet professionnel : Séminaire PFI"))="Projet professionnel : Séminaire PFI"</formula>
    </cfRule>
    <cfRule type="beginsWith" dxfId="13095" priority="30448" operator="beginsWith" text="Lancement Projet fil rouge">
      <formula>LEFT(AV250,LEN("Lancement Projet fil rouge"))="Lancement Projet fil rouge"</formula>
    </cfRule>
    <cfRule type="beginsWith" dxfId="13094" priority="30449" operator="beginsWith" text="Vacances">
      <formula>LEFT(AV250,LEN("Vacances"))="Vacances"</formula>
    </cfRule>
    <cfRule type="beginsWith" dxfId="13093" priority="30450" operator="beginsWith" text="Séminaire d'intégration">
      <formula>LEFT(AV250,LEN("Séminaire d'intégration"))="Séminaire d'intégration"</formula>
    </cfRule>
    <cfRule type="beginsWith" dxfId="13092" priority="30451" operator="beginsWith" text="Accueil">
      <formula>LEFT(AV250,LEN("Accueil"))="Accueil"</formula>
    </cfRule>
    <cfRule type="beginsWith" dxfId="13091" priority="30452" operator="beginsWith" text="Stage">
      <formula>LEFT(AV250,LEN("Stage"))="Stage"</formula>
    </cfRule>
    <cfRule type="beginsWith" dxfId="13090" priority="30453" operator="beginsWith" text="Entreprise">
      <formula>LEFT(AV250,LEN("Entreprise"))="Entreprise"</formula>
    </cfRule>
    <cfRule type="beginsWith" dxfId="13089" priority="30454" operator="beginsWith" text="Voltaire">
      <formula>LEFT(AV250,LEN("Voltaire"))="Voltaire"</formula>
    </cfRule>
  </conditionalFormatting>
  <conditionalFormatting sqref="AV1:BA2 AV5:BA5 AV36 AV46:AV61 AV102:AV105 AV116:AV124 BG5 BG1:BG2">
    <cfRule type="beginsWith" dxfId="13088" priority="30672" operator="beginsWith" text="Lancement Projet fil rouge">
      <formula>LEFT(AV1,LEN("Lancement Projet fil rouge"))="Lancement Projet fil rouge"</formula>
    </cfRule>
  </conditionalFormatting>
  <conditionalFormatting sqref="AV41:BA41 BG41">
    <cfRule type="beginsWith" dxfId="13087" priority="30433" operator="beginsWith" text="Lancement Projet fil rouge">
      <formula>LEFT(AV41,LEN("Lancement Projet fil rouge"))="Lancement Projet fil rouge"</formula>
    </cfRule>
  </conditionalFormatting>
  <conditionalFormatting sqref="AW6:AW10">
    <cfRule type="beginsWith" dxfId="13086" priority="18082" operator="beginsWith" text="Lancement Projet fil rouge">
      <formula>LEFT(AW6,LEN("Lancement Projet fil rouge"))="Lancement Projet fil rouge"</formula>
    </cfRule>
    <cfRule type="beginsWith" dxfId="13085" priority="18083" operator="beginsWith" text="Vacances">
      <formula>LEFT(AW6,LEN("Vacances"))="Vacances"</formula>
    </cfRule>
    <cfRule type="beginsWith" dxfId="13084" priority="18084" operator="beginsWith" text="Séminaire d'intégration">
      <formula>LEFT(AW6,LEN("Séminaire d'intégration"))="Séminaire d'intégration"</formula>
    </cfRule>
    <cfRule type="beginsWith" dxfId="13083" priority="18085" operator="beginsWith" text="Accueil">
      <formula>LEFT(AW6,LEN("Accueil"))="Accueil"</formula>
    </cfRule>
    <cfRule type="beginsWith" dxfId="13082" priority="18086" operator="beginsWith" text="Stage">
      <formula>LEFT(AW6,LEN("Stage"))="Stage"</formula>
    </cfRule>
    <cfRule type="beginsWith" dxfId="13081" priority="18087" operator="beginsWith" text="Entreprise">
      <formula>LEFT(AW6,LEN("Entreprise"))="Entreprise"</formula>
    </cfRule>
    <cfRule type="beginsWith" dxfId="13080" priority="18088" operator="beginsWith" text="Voltaire">
      <formula>LEFT(AW6,LEN("Voltaire"))="Voltaire"</formula>
    </cfRule>
  </conditionalFormatting>
  <conditionalFormatting sqref="AW16:AW20">
    <cfRule type="beginsWith" dxfId="13079" priority="17678" operator="beginsWith" text="Projet professionnel : Séminaire PFI">
      <formula>LEFT(AW16,LEN("Projet professionnel : Séminaire PFI"))="Projet professionnel : Séminaire PFI"</formula>
    </cfRule>
    <cfRule type="beginsWith" dxfId="13078" priority="17679" operator="beginsWith" text="Lancement Projet fil rouge">
      <formula>LEFT(AW16,LEN("Lancement Projet fil rouge"))="Lancement Projet fil rouge"</formula>
    </cfRule>
    <cfRule type="beginsWith" dxfId="13077" priority="17680" operator="beginsWith" text="Vacances">
      <formula>LEFT(AW16,LEN("Vacances"))="Vacances"</formula>
    </cfRule>
    <cfRule type="beginsWith" dxfId="13076" priority="17681" operator="beginsWith" text="Séminaire d'intégration">
      <formula>LEFT(AW16,LEN("Séminaire d'intégration"))="Séminaire d'intégration"</formula>
    </cfRule>
    <cfRule type="beginsWith" dxfId="13075" priority="17682" operator="beginsWith" text="Accueil">
      <formula>LEFT(AW16,LEN("Accueil"))="Accueil"</formula>
    </cfRule>
    <cfRule type="beginsWith" dxfId="13074" priority="17683" operator="beginsWith" text="Stage">
      <formula>LEFT(AW16,LEN("Stage"))="Stage"</formula>
    </cfRule>
    <cfRule type="beginsWith" dxfId="13073" priority="17684" operator="beginsWith" text="Entreprise">
      <formula>LEFT(AW16,LEN("Entreprise"))="Entreprise"</formula>
    </cfRule>
    <cfRule type="beginsWith" dxfId="13072" priority="17685" operator="beginsWith" text="Voltaire">
      <formula>LEFT(AW16,LEN("Voltaire"))="Voltaire"</formula>
    </cfRule>
  </conditionalFormatting>
  <conditionalFormatting sqref="AW68">
    <cfRule type="beginsWith" dxfId="13071" priority="20004" operator="beginsWith" text="Lancement Projet fil rouge">
      <formula>LEFT(AW68,LEN("Lancement Projet fil rouge"))="Lancement Projet fil rouge"</formula>
    </cfRule>
    <cfRule type="beginsWith" dxfId="13070" priority="20005" operator="beginsWith" text="Vacances">
      <formula>LEFT(AW68,LEN("Vacances"))="Vacances"</formula>
    </cfRule>
    <cfRule type="beginsWith" dxfId="13069" priority="20006" operator="beginsWith" text="Séminaire d'intégration">
      <formula>LEFT(AW68,LEN("Séminaire d'intégration"))="Séminaire d'intégration"</formula>
    </cfRule>
    <cfRule type="beginsWith" dxfId="13068" priority="20007" operator="beginsWith" text="Accueil">
      <formula>LEFT(AW68,LEN("Accueil"))="Accueil"</formula>
    </cfRule>
    <cfRule type="beginsWith" dxfId="13067" priority="20008" operator="beginsWith" text="Stage">
      <formula>LEFT(AW68,LEN("Stage"))="Stage"</formula>
    </cfRule>
    <cfRule type="beginsWith" dxfId="13066" priority="20009" operator="beginsWith" text="Entreprise">
      <formula>LEFT(AW68,LEN("Entreprise"))="Entreprise"</formula>
    </cfRule>
    <cfRule type="beginsWith" dxfId="13065" priority="20010" operator="beginsWith" text="Voltaire">
      <formula>LEFT(AW68,LEN("Voltaire"))="Voltaire"</formula>
    </cfRule>
  </conditionalFormatting>
  <conditionalFormatting sqref="AW176">
    <cfRule type="beginsWith" dxfId="13064" priority="17671" operator="beginsWith" text="Lancement Projet fil rouge">
      <formula>LEFT(AW176,LEN("Lancement Projet fil rouge"))="Lancement Projet fil rouge"</formula>
    </cfRule>
    <cfRule type="beginsWith" dxfId="13063" priority="17672" operator="beginsWith" text="Vacances">
      <formula>LEFT(AW176,LEN("Vacances"))="Vacances"</formula>
    </cfRule>
    <cfRule type="beginsWith" dxfId="13062" priority="17673" operator="beginsWith" text="Séminaire d'intégration">
      <formula>LEFT(AW176,LEN("Séminaire d'intégration"))="Séminaire d'intégration"</formula>
    </cfRule>
    <cfRule type="beginsWith" dxfId="13061" priority="17674" operator="beginsWith" text="Accueil">
      <formula>LEFT(AW176,LEN("Accueil"))="Accueil"</formula>
    </cfRule>
    <cfRule type="beginsWith" dxfId="13060" priority="17675" operator="beginsWith" text="Stage">
      <formula>LEFT(AW176,LEN("Stage"))="Stage"</formula>
    </cfRule>
    <cfRule type="beginsWith" dxfId="13059" priority="17676" operator="beginsWith" text="Entreprise">
      <formula>LEFT(AW176,LEN("Entreprise"))="Entreprise"</formula>
    </cfRule>
    <cfRule type="beginsWith" dxfId="13058" priority="17677" operator="beginsWith" text="Voltaire">
      <formula>LEFT(AW176,LEN("Voltaire"))="Voltaire"</formula>
    </cfRule>
  </conditionalFormatting>
  <conditionalFormatting sqref="AW195">
    <cfRule type="beginsWith" dxfId="13057" priority="31753" operator="beginsWith" text="Vacances">
      <formula>LEFT(AW195,LEN("Vacances"))="Vacances"</formula>
    </cfRule>
    <cfRule type="beginsWith" dxfId="13056" priority="31754" operator="beginsWith" text="Séminaire d'intégration">
      <formula>LEFT(AW195,LEN("Séminaire d'intégration"))="Séminaire d'intégration"</formula>
    </cfRule>
    <cfRule type="beginsWith" dxfId="13055" priority="31755" operator="beginsWith" text="Accueil">
      <formula>LEFT(AW195,LEN("Accueil"))="Accueil"</formula>
    </cfRule>
    <cfRule type="beginsWith" dxfId="13054" priority="31756" operator="beginsWith" text="Stage">
      <formula>LEFT(AW195,LEN("Stage"))="Stage"</formula>
    </cfRule>
    <cfRule type="beginsWith" dxfId="13053" priority="31757" operator="beginsWith" text="Entreprise">
      <formula>LEFT(AW195,LEN("Entreprise"))="Entreprise"</formula>
    </cfRule>
    <cfRule type="beginsWith" dxfId="13052" priority="31758" operator="beginsWith" text="Voltaire">
      <formula>LEFT(AW195,LEN("Voltaire"))="Voltaire"</formula>
    </cfRule>
  </conditionalFormatting>
  <conditionalFormatting sqref="AW201">
    <cfRule type="beginsWith" dxfId="13051" priority="19635" operator="beginsWith" text="Lancement Projet fil rouge">
      <formula>LEFT(AW201,LEN("Lancement Projet fil rouge"))="Lancement Projet fil rouge"</formula>
    </cfRule>
    <cfRule type="beginsWith" dxfId="13050" priority="19636" operator="beginsWith" text="Vacances">
      <formula>LEFT(AW201,LEN("Vacances"))="Vacances"</formula>
    </cfRule>
    <cfRule type="beginsWith" dxfId="13049" priority="19637" operator="beginsWith" text="Séminaire d'intégration">
      <formula>LEFT(AW201,LEN("Séminaire d'intégration"))="Séminaire d'intégration"</formula>
    </cfRule>
    <cfRule type="beginsWith" dxfId="13048" priority="19638" operator="beginsWith" text="Accueil">
      <formula>LEFT(AW201,LEN("Accueil"))="Accueil"</formula>
    </cfRule>
    <cfRule type="beginsWith" dxfId="13047" priority="19639" operator="beginsWith" text="Stage">
      <formula>LEFT(AW201,LEN("Stage"))="Stage"</formula>
    </cfRule>
    <cfRule type="beginsWith" dxfId="13046" priority="19640" operator="beginsWith" text="Entreprise">
      <formula>LEFT(AW201,LEN("Entreprise"))="Entreprise"</formula>
    </cfRule>
    <cfRule type="beginsWith" dxfId="13045" priority="19641" operator="beginsWith" text="Voltaire">
      <formula>LEFT(AW201,LEN("Voltaire"))="Voltaire"</formula>
    </cfRule>
  </conditionalFormatting>
  <conditionalFormatting sqref="AW207">
    <cfRule type="beginsWith" dxfId="13044" priority="17594" operator="beginsWith" text="Lancement Projet fil rouge">
      <formula>LEFT(AW207,LEN("Lancement Projet fil rouge"))="Lancement Projet fil rouge"</formula>
    </cfRule>
    <cfRule type="beginsWith" dxfId="13043" priority="17595" operator="beginsWith" text="Vacances">
      <formula>LEFT(AW207,LEN("Vacances"))="Vacances"</formula>
    </cfRule>
    <cfRule type="beginsWith" dxfId="13042" priority="17596" operator="beginsWith" text="Séminaire d'intégration">
      <formula>LEFT(AW207,LEN("Séminaire d'intégration"))="Séminaire d'intégration"</formula>
    </cfRule>
    <cfRule type="beginsWith" dxfId="13041" priority="17597" operator="beginsWith" text="Accueil">
      <formula>LEFT(AW207,LEN("Accueil"))="Accueil"</formula>
    </cfRule>
    <cfRule type="beginsWith" dxfId="13040" priority="17598" operator="beginsWith" text="Stage">
      <formula>LEFT(AW207,LEN("Stage"))="Stage"</formula>
    </cfRule>
    <cfRule type="beginsWith" dxfId="13039" priority="17599" operator="beginsWith" text="Entreprise">
      <formula>LEFT(AW207,LEN("Entreprise"))="Entreprise"</formula>
    </cfRule>
    <cfRule type="beginsWith" dxfId="13038" priority="17600" operator="beginsWith" text="Voltaire">
      <formula>LEFT(AW207,LEN("Voltaire"))="Voltaire"</formula>
    </cfRule>
  </conditionalFormatting>
  <conditionalFormatting sqref="AW220">
    <cfRule type="beginsWith" dxfId="13037" priority="17583" operator="beginsWith" text="Projet professionnel : Séminaire PFI">
      <formula>LEFT(AW220,LEN("Projet professionnel : Séminaire PFI"))="Projet professionnel : Séminaire PFI"</formula>
    </cfRule>
    <cfRule type="beginsWith" dxfId="13036" priority="17584" operator="beginsWith" text="Lancement Projet fil rouge">
      <formula>LEFT(AW220,LEN("Lancement Projet fil rouge"))="Lancement Projet fil rouge"</formula>
    </cfRule>
    <cfRule type="beginsWith" dxfId="13035" priority="17585" operator="beginsWith" text="Vacances">
      <formula>LEFT(AW220,LEN("Vacances"))="Vacances"</formula>
    </cfRule>
    <cfRule type="beginsWith" dxfId="13034" priority="17586" operator="beginsWith" text="Séminaire d'intégration">
      <formula>LEFT(AW220,LEN("Séminaire d'intégration"))="Séminaire d'intégration"</formula>
    </cfRule>
    <cfRule type="beginsWith" dxfId="13033" priority="17587" operator="beginsWith" text="Accueil">
      <formula>LEFT(AW220,LEN("Accueil"))="Accueil"</formula>
    </cfRule>
    <cfRule type="beginsWith" dxfId="13032" priority="17588" operator="beginsWith" text="TOPHYC">
      <formula>LEFT(AW220,LEN("TOPHYC"))="TOPHYC"</formula>
    </cfRule>
    <cfRule type="beginsWith" dxfId="13031" priority="17589" operator="beginsWith" text="Global Exam">
      <formula>LEFT(AW220,LEN("Global Exam"))="Global Exam"</formula>
    </cfRule>
    <cfRule type="beginsWith" dxfId="13030" priority="17590" operator="beginsWith" text="Stage">
      <formula>LEFT(AW220,LEN("Stage"))="Stage"</formula>
    </cfRule>
    <cfRule type="beginsWith" dxfId="13029" priority="17591" operator="beginsWith" text="Entreprise">
      <formula>LEFT(AW220,LEN("Entreprise"))="Entreprise"</formula>
    </cfRule>
    <cfRule type="beginsWith" dxfId="13028" priority="17592" operator="beginsWith" text="TOMIC">
      <formula>LEFT(AW220,LEN("TOMIC"))="TOMIC"</formula>
    </cfRule>
    <cfRule type="beginsWith" dxfId="13027" priority="17593" operator="beginsWith" text="Voltaire">
      <formula>LEFT(AW220,LEN("Voltaire"))="Voltaire"</formula>
    </cfRule>
  </conditionalFormatting>
  <conditionalFormatting sqref="AW221">
    <cfRule type="beginsWith" dxfId="13026" priority="17576" operator="beginsWith" text="Lancement Projet fil rouge">
      <formula>LEFT(AW221,LEN("Lancement Projet fil rouge"))="Lancement Projet fil rouge"</formula>
    </cfRule>
    <cfRule type="beginsWith" dxfId="13025" priority="17577" operator="beginsWith" text="Vacances">
      <formula>LEFT(AW221,LEN("Vacances"))="Vacances"</formula>
    </cfRule>
    <cfRule type="beginsWith" dxfId="13024" priority="17578" operator="beginsWith" text="Séminaire d'intégration">
      <formula>LEFT(AW221,LEN("Séminaire d'intégration"))="Séminaire d'intégration"</formula>
    </cfRule>
    <cfRule type="beginsWith" dxfId="13023" priority="17579" operator="beginsWith" text="Accueil">
      <formula>LEFT(AW221,LEN("Accueil"))="Accueil"</formula>
    </cfRule>
    <cfRule type="beginsWith" dxfId="13022" priority="17580" operator="beginsWith" text="Stage">
      <formula>LEFT(AW221,LEN("Stage"))="Stage"</formula>
    </cfRule>
    <cfRule type="beginsWith" dxfId="13021" priority="17581" operator="beginsWith" text="Entreprise">
      <formula>LEFT(AW221,LEN("Entreprise"))="Entreprise"</formula>
    </cfRule>
    <cfRule type="beginsWith" dxfId="13020" priority="17582" operator="beginsWith" text="Voltaire">
      <formula>LEFT(AW221,LEN("Voltaire"))="Voltaire"</formula>
    </cfRule>
  </conditionalFormatting>
  <conditionalFormatting sqref="AW222">
    <cfRule type="beginsWith" dxfId="13019" priority="17559" operator="beginsWith" text="Lancement Projet fil rouge">
      <formula>LEFT(AW222,LEN("Lancement Projet fil rouge"))="Lancement Projet fil rouge"</formula>
    </cfRule>
    <cfRule type="beginsWith" dxfId="13018" priority="17560" operator="beginsWith" text="Vacances">
      <formula>LEFT(AW222,LEN("Vacances"))="Vacances"</formula>
    </cfRule>
    <cfRule type="beginsWith" dxfId="13017" priority="17561" operator="beginsWith" text="Séminaire d'intégration">
      <formula>LEFT(AW222,LEN("Séminaire d'intégration"))="Séminaire d'intégration"</formula>
    </cfRule>
    <cfRule type="beginsWith" dxfId="13016" priority="17562" operator="beginsWith" text="Accueil">
      <formula>LEFT(AW222,LEN("Accueil"))="Accueil"</formula>
    </cfRule>
    <cfRule type="beginsWith" dxfId="13015" priority="17563" operator="beginsWith" text="Stage">
      <formula>LEFT(AW222,LEN("Stage"))="Stage"</formula>
    </cfRule>
    <cfRule type="beginsWith" dxfId="13014" priority="17564" operator="beginsWith" text="Entreprise">
      <formula>LEFT(AW222,LEN("Entreprise"))="Entreprise"</formula>
    </cfRule>
    <cfRule type="beginsWith" dxfId="13013" priority="17565" operator="beginsWith" text="Voltaire">
      <formula>LEFT(AW222,LEN("Voltaire"))="Voltaire"</formula>
    </cfRule>
  </conditionalFormatting>
  <conditionalFormatting sqref="AW1:BA2 BW1:CA2 CE1:CG2 CI1:CM2 CO1:CS2 CU1:CY2 DC1:DH2 DJ1:DN2 DP1:DT2 DV1:EA2 EC1:EG2 EI1:EM2 A1:I3 K1:O5 AF1:AM5 A4:F4 A5:I5 AW5:BA5 BW5:CA5 CE5:CG5 CO5:CS5 CU5:CY5 DC5:DH5 DJ5:DN5 DP5:DT5 DV5:EA5 EC5:EG5 EI5:EM5 CJ5:CM40 CV6:CY60 A16:H20 K16:N20 AX16:BA25 AJ16:AM30 BX16:CA30 DD16:DH35 DW16:EA35 EJ16:EM55 CE16:CG60 CP16:CS95 DK17:DM55 DQ17:DT55 A21:D25 K21:M25 A26:F28 AW26:AZ31 M26:N45 A29:D29 A30:F33 AF31:AL35 BW31:CA60 AX32:AZ35 A34:D34 A35:F38 AF36:AM40 AX36:BA40 A39:D39 A40:F40 AW41:BA41 A41:D45 AF41:AL45 CJ41:CK45 AX42:BA50 A46:F46 DC46:DF46 K46:N50 DW46:DZ55 AF46:AM60 CJ46:CM67 A47:D50 DD47:DF50 M51:M53 DD51:DG54 A51:F55 AX51:AZ55 M55 DE55:DG55 DJ56:DN56 A56:O58 EK56:EK59 DD56:DG60 DV56:DZ60 AW56:BA61 DR56:DR65 DL57:DL60 A59:D59 F59:O59 A60:O60 A61:H61 AH61:AM61 DC61:DH61 DV61:EA61 BY61:BY65 CE61:CE65 CY61:CY65 DK61:DN65 EC61:EG95 A62:F63 AL62:AM65 AZ62:BA65 EK62:EK65 DD62:DH80 DW62:EA80 A64:D64 A65:F68 AF66:AM66 AY66:BA66 CV66:CY66 DP66:DT66 EI66:EM66 K66:O67 BW66:CA67 DJ66:DN67 CE66:CG1048576 AH67:AM67 AY67:AZ67 CW67:CY70 EK67:EK70 DR67:DR75 M68:O68 AL68:AL70 AZ68:AZ70 BX68:CA70 CK68:CM70 DL68:DN70 A69:D69 N69:O69 M70:O70 A70:F83 K71:O80 CW71:CW80 DK71:DN80 EK71:EM80 AI71:AM86 BY71:CA90 AX71:BA95 CJ72:CK75 CJ76:CM83 DJ81:DN81 DP81:DT81 EI81:EM81 DC81:DH86 M81:O95 DV81:EA95 DK82:DN95 DQ82:DT95 EJ82:EM95 A84:D84 CL84:CM84 A85:F88 CJ85:CM88 CU86:CY86 DE87:DH88 AF87:AM93 CV87:CY95 A89:D89 CL89:CM89 DC89:DH89 CJ90:CM90 DD90:DH94 A90:F95 BW91:CA111 AM94 DG95:DH95 AF95:AM123 A96:I103 K96:O108 AW96:BA111 CJ96:CM130 A104:D104 A105:I105 A106:H106 DZ106:EA106 CV106:CY110 DK106:DN110 DD106:DH120 EJ106:EM140 DQ106:DT145 CP106:CS155 A107:F108 DW107:EA120 A109:D109 N109:O109 A110:F113 K110:O120 BX112:CA125 AX112:BA170 A114:D114 A115:F118 DJ116:DM140 A119:D119 A120:F123 L121:O125 DC121:DG140 DV121:EA141 A124:D124 AM124 AF125:AM126 A125:F128 BW126:CA1048576 AF127:AL130 A129:D129 A130:F133 M131:O133 CK131:CM138 AF131:AM145 A134:D134 N134:O134 A135:F135 M135:O135 A136:H137 K136:O145 A138:I138 A139:D139 CL139:CM139 A140:H140 CK140:CM145 EL141:EM141 A141:F142 DK141:DN175 EJ142:EM145 DW142:EA155 ED142:EG171 A143:D147 AF146:AL146 DD146:DH160 CJ146:CM165 DR146:DT170 EK146:EM170 AJ147:AL148 M147:M150 A148:F153 AJ150:AL150 AJ151:AM153 CV151:CY160 M151:O168 A154:D154 AM154 A155:F158 AJ155:AM161 DZ156 DW156:DY159 CQ156:CR165 A159:D159 DV160:DY160 A160:F172 DC161:DH161 DV161:EA161 CW161:CY175 AL162:AM165 DD162:DH165 DW162:EA165 CI166:CK166 CP166:CR166 DC166:DF166 AJ166:AM182 DV166:EA186 CK167:CK170 CQ167:CR170 DF167:DF170 N169:O169 M170:O173 AW171:BA171 CP171:CR171 DP171:DT171 EI171:EM171 CJ171:CM172 DD171:DH172 AW172:AZ172 CP172:CQ172 EE172:EG175 EJ172:EM210 DQ172:DT215 AX173:AZ175 CK173:CM175 CQ173:CQ175 DF173:DH175 A173:D176 N174:O174 M175:O175 DJ176:DL176 K176:O180 AZ176:BA180 CJ176:CM180 CP176:CQ180 DD176:DH185 A177:F178 DK177:DL180 A179:D179 A180:F183 DK181:DN181 CK181:CM185 CV183:CY200 CP181:CS260 DL182:DN185 AM183:AM184 AZ183:AZ185 EE176:EE188 A184:D184 A185:F186 AJ185:AM187 DK186:DL186 BA186:BA187 CJ186:CM205 DC186:DH205 A187:D187 DL187:DL189 AM188 AZ188:BA189 A188:F192 EE189:EG189 AJ189:AM200 AX190:BA190 ED190:EG190 DJ190:DN190 DV190:EA191 L191:N191 EC191:EG191 AZ191:BA194 M192:M194 DY192:EA194 ED192:EG195 A193:D194 AX195:BA195 K195:N196 DW195:EA196 A195:F198 AZ196:BA198 ED196:EE200 M197:N197 DY197:EA198 N198 A199:D199 M199:N200 AX199:BA201 DW199:EA204 A200:F203 K201:N201 CW201:CY203 AM201:AM205 ED201:EG210 M202:N203 AZ202:BA205 A204:D204 N204 CX204:CY204 M205:N205 CW205:CY205 DZ205:EA205 A205:F208 L206:N206 AX206:BA206 DD206:DH206 DV206:EA206 CV206:CY208 AJ206:AM210 CK206:CM215 DF207:DH210 AZ207:BA215 M207:N220 DW207:EA220 A209:D209 A210:F213 DC211:DH212 AM211:AM215 EK211:EM220 DK212:DL215 DD213:DH216 A214:D214 A215:F218 CJ216:CM216 DJ216:DN216 AZ218:AZ220 AJ216:AM232 ED216:EG260 CK217:CK220 DF217:DH220 DK217:DN260 A219:D219 A220:F223 DC221:DH221 CJ221:CM230 DY221:DZ231 CV221:CY260 EJ221:EM260 DD222:DH234 A224:D224 AZ224:BA224 A225:F231 K226:N228 AX226:BA230 N229 K230:N232 DP231:DT231 CI231:CM1048576 DY232:DY234 DQ232:DT260 AM233:AM234 DY234:DZ234 K235:N235 AJ235:AM235 DZ235 DC235:DH290 N236:N240 A237:F238 AJ241:AM260 A239:D239 A240:F243 DW241:EA248 AX241:BA260 K241:N1048576 A244:D244 A245:F255 DZ249:EA249 DW250:EA260 A256:H260 A261:I262 CT261:CZ263 DV261:EA267 DJ261:DN272 CO261:CS277 BI261:BL369 AF261:AM1048576 AW261:BA1048576 DO261:DT1048576 EC261:EM1048576 A263:D263 A264:I264 CY264:CZ268 A265:D277 CT269:CZ1048576 A278:B278 A279:F279 A280:I1048576 DV290:EA1048576 DJ296:DN314 CO319:CS1048576 DC325:DH1048576 DJ340:DN1048576 Y1:Y2 CC1:CC2 EO1:XFD3 W1:W15 DA1:DA1048576 CA3:CA4 CG3:CG4 CM3:CM4 CS3:CS4 DH3:DH4 DN3:DN4 DT3:DT4 EA3:EA4 EG3:EG4 EM3:EM4 H4:I4 EP4:XFD5 Y5 CC5 CI5 EO6:XFD55 DT16 CC16:CC17 O16:O55 DN16:DN55 H21:H55 K26 K31 CC31 AX31:AX50 DV36 K36:K45 DH36:DH60 EA36:EA60 CM41:CM45 CI41:CI46 K51:K55 EP56:XFD60 DT56:DT65 EM56:EM65 CC56:CC96 DN57:DN60 EJ60 AF61 BW61 DP61 O61:O65 CA61:CA65 CG61:CG65 EO61:XFD160 Y56:Y62 AH62:AI62 AX62:AX65 H62:H95 Y66:Y67 AF67 CU67 DP67 K67:K68 EI67:EI68 EM67:EM70 DT67:DT80 CJ71 CM71:CM75 BW71:BW90 K81:K95 CJ84 AF86:AG86 CJ89 CJ91 CM91:CM95 CJ92:CL93 AF94:AK94 CJ94:CJ95 DD95:DE95 DC96 CS96:CS105 DH96:DH105 DN96:DN105 DT96:DT105 DV96:DV105 EA96:EA105 EC96:EC105 EG96:EG105 EM96:EM105 H104:I104 DV106:DX106 H107:H135 K109:L109 CC111 DN111:DN140 DB121:DB124 DH121:DH145 CD121:CD1048576 AF124:AK124 O126:O130 F129 K131:K135 CO136 H139 EJ141 H141:H181 Y87:Y146 O146:O150 DP146:DP151 K146:K160 AH147:AH159 AJ149:AK149 AJ154:AK154 CO156 EA156:EA160 CS156:CS180 EP161:XFD165 AJ162:AJ165 K166 CM166:CM170 DH166:DH170 DD166:DD172 EO166:XFD190 K171:K172 CO176 AX176:AX180 DN176:DN180 CO181 O181:O1048576 W181:W1048576 H182:I187 AJ183:AK184 DN186:DN189 DW187:DW189 AJ188:AK188 AX188:AX189 H188:H255 AX191:AX194 DW192:DW194 F193:F194 AX196:AX198 EG196:EG200 DW197:DW198 EP197:XFD198 K199:K200 EO199:XFD210 AJ201:AK205 AX202:AX205 DW205:DX205 AX207:AX215 F209 DD209:DD210 CI211 EI211 Y261:Y1048576 AJ211:AK215 EG211:EG215 EP211:XFD215 DN212:DN215 K216 DC216 DT216:DT230 EO216:XFD1048576 CM217:CM220 DV221:DW221 EA221:EA240 J222 DW222:DW234 K229:L229 AJ233:AK234 DV235:DW235 K236:L240 CC236:CC1048576 F239 DW249:DX249 DB252:DB290 AV252:AV1048576 CH252:CH1048576 CN252:CN1048576 DI252:DI1048576 DU252:DU1048576 EB252:EB1048576 BH253:BH1048576 AE254:AE1048576 BV261:BV1048576 CB261:CB1048576 H263 CT264:CT268 J264:J1048576 Q264:Q1048576 E265:F265 H265:I279 F266:G266 E267:F267 F268:G268 EA268:EA289 E269:F269 F270:G272 E273:F273 DN273:DN295 F274:G276 E277:F277 CO278:CO293 CS278:CS318 DH291:DH324 DN315:DN339 K233:L234 N233:N234 F235:F236 A232:D236 F232:F233 AJ236:AK240 AM236:AM240 AD87:AD146 AD66:AD67 AD31:AD61 AD1:AD5 AD171:AD1048576 AX231:AY240 BA231:BA240 ED16:EG60 EC106:EG141 AX218:AX220 BG16:BG1048576 BG1:BG5 AU16:AU1048576 AU1:AU5 EG176:EG188 DK191:DN211 CY181:CY182 EO195:XFD196 EP191:XFD194 DY187:EA189 BS31:BT125 BT166:BT168 BT171 BT173 BT175:BT178 BT211:BT213 BT215 BS221:BT223 BS225:BT225 BS1:BT2 BS5:BT5 BS241:BT1048576">
    <cfRule type="beginsWith" dxfId="13012" priority="32052" operator="beginsWith" text="Stage">
      <formula>LEFT(A1,LEN("Stage"))="Stage"</formula>
    </cfRule>
    <cfRule type="beginsWith" dxfId="13011" priority="32053" operator="beginsWith" text="Entreprise">
      <formula>LEFT(A1,LEN("Entreprise"))="Entreprise"</formula>
    </cfRule>
    <cfRule type="beginsWith" dxfId="13010" priority="32061" operator="beginsWith" text="Voltaire">
      <formula>LEFT(A1,LEN("Voltaire"))="Voltaire"</formula>
    </cfRule>
  </conditionalFormatting>
  <conditionalFormatting sqref="AW195:BA195 BG195">
    <cfRule type="beginsWith" dxfId="13009" priority="31752" operator="beginsWith" text="Lancement Projet fil rouge">
      <formula>LEFT(AW195,LEN("Lancement Projet fil rouge"))="Lancement Projet fil rouge"</formula>
    </cfRule>
  </conditionalFormatting>
  <conditionalFormatting sqref="AX62:AX70">
    <cfRule type="beginsWith" dxfId="13008" priority="31877" operator="beginsWith" text="Lancement Projet fil rouge">
      <formula>LEFT(AX62,LEN("Lancement Projet fil rouge"))="Lancement Projet fil rouge"</formula>
    </cfRule>
  </conditionalFormatting>
  <conditionalFormatting sqref="AX66:AX70">
    <cfRule type="beginsWith" dxfId="13007" priority="31876" operator="beginsWith" text="Projet professionnel : Séminaire PFI">
      <formula>LEFT(AX66,LEN("Projet professionnel : Séminaire PFI"))="Projet professionnel : Séminaire PFI"</formula>
    </cfRule>
    <cfRule type="beginsWith" dxfId="13006" priority="31878" operator="beginsWith" text="Vacances">
      <formula>LEFT(AX66,LEN("Vacances"))="Vacances"</formula>
    </cfRule>
    <cfRule type="beginsWith" dxfId="13005" priority="31879" operator="beginsWith" text="Séminaire d'intégration">
      <formula>LEFT(AX66,LEN("Séminaire d'intégration"))="Séminaire d'intégration"</formula>
    </cfRule>
    <cfRule type="beginsWith" dxfId="13004" priority="31880" operator="beginsWith" text="Accueil">
      <formula>LEFT(AX66,LEN("Accueil"))="Accueil"</formula>
    </cfRule>
    <cfRule type="beginsWith" dxfId="13003" priority="31881" operator="beginsWith" text="Stage">
      <formula>LEFT(AX66,LEN("Stage"))="Stage"</formula>
    </cfRule>
    <cfRule type="beginsWith" dxfId="13002" priority="31882" operator="beginsWith" text="Entreprise">
      <formula>LEFT(AX66,LEN("Entreprise"))="Entreprise"</formula>
    </cfRule>
    <cfRule type="beginsWith" dxfId="13001" priority="31883" operator="beginsWith" text="Voltaire">
      <formula>LEFT(AX66,LEN("Voltaire"))="Voltaire"</formula>
    </cfRule>
    <cfRule type="notContainsBlanks" dxfId="13000" priority="31884">
      <formula>LEN(TRIM(AX66))&gt;0</formula>
    </cfRule>
  </conditionalFormatting>
  <conditionalFormatting sqref="AX181:AX182 AZ181:AZ182">
    <cfRule type="beginsWith" dxfId="12999" priority="17640" operator="beginsWith" text="Lancement Projet fil rouge">
      <formula>LEFT(AX181,LEN("Lancement Projet fil rouge"))="Lancement Projet fil rouge"</formula>
    </cfRule>
    <cfRule type="beginsWith" dxfId="12998" priority="17641" operator="beginsWith" text="Vacances">
      <formula>LEFT(AX181,LEN("Vacances"))="Vacances"</formula>
    </cfRule>
    <cfRule type="beginsWith" dxfId="12997" priority="17642" operator="beginsWith" text="Séminaire d'intégration">
      <formula>LEFT(AX181,LEN("Séminaire d'intégration"))="Séminaire d'intégration"</formula>
    </cfRule>
    <cfRule type="beginsWith" dxfId="12996" priority="17643" operator="beginsWith" text="Accueil">
      <formula>LEFT(AX181,LEN("Accueil"))="Accueil"</formula>
    </cfRule>
    <cfRule type="beginsWith" dxfId="12995" priority="17646" operator="beginsWith" text="Stage">
      <formula>LEFT(AX181,LEN("Stage"))="Stage"</formula>
    </cfRule>
    <cfRule type="beginsWith" dxfId="12994" priority="17647" operator="beginsWith" text="Entreprise">
      <formula>LEFT(AX181,LEN("Entreprise"))="Entreprise"</formula>
    </cfRule>
    <cfRule type="beginsWith" dxfId="12993" priority="17649" operator="beginsWith" text="Voltaire">
      <formula>LEFT(AX181,LEN("Voltaire"))="Voltaire"</formula>
    </cfRule>
  </conditionalFormatting>
  <conditionalFormatting sqref="AX181:AX182">
    <cfRule type="notContainsBlanks" dxfId="12992" priority="17650">
      <formula>LEN(TRIM(AX181))&gt;0</formula>
    </cfRule>
  </conditionalFormatting>
  <conditionalFormatting sqref="AX183:AX185">
    <cfRule type="beginsWith" dxfId="12991" priority="22163" operator="beginsWith" text="Lancement Projet fil rouge">
      <formula>LEFT(AX183,LEN("Lancement Projet fil rouge"))="Lancement Projet fil rouge"</formula>
    </cfRule>
    <cfRule type="beginsWith" dxfId="12990" priority="22164" operator="beginsWith" text="Vacances">
      <formula>LEFT(AX183,LEN("Vacances"))="Vacances"</formula>
    </cfRule>
    <cfRule type="beginsWith" dxfId="12989" priority="22165" operator="beginsWith" text="Séminaire d'intégration">
      <formula>LEFT(AX183,LEN("Séminaire d'intégration"))="Séminaire d'intégration"</formula>
    </cfRule>
    <cfRule type="beginsWith" dxfId="12988" priority="22166" operator="beginsWith" text="Accueil">
      <formula>LEFT(AX183,LEN("Accueil"))="Accueil"</formula>
    </cfRule>
    <cfRule type="beginsWith" dxfId="12987" priority="22167" operator="beginsWith" text="Stage">
      <formula>LEFT(AX183,LEN("Stage"))="Stage"</formula>
    </cfRule>
    <cfRule type="beginsWith" dxfId="12986" priority="22168" operator="beginsWith" text="Entreprise">
      <formula>LEFT(AX183,LEN("Entreprise"))="Entreprise"</formula>
    </cfRule>
    <cfRule type="beginsWith" dxfId="12985" priority="22169" operator="beginsWith" text="Voltaire">
      <formula>LEFT(AX183,LEN("Voltaire"))="Voltaire"</formula>
    </cfRule>
  </conditionalFormatting>
  <conditionalFormatting sqref="AX186:AX187 AZ186:AZ187">
    <cfRule type="beginsWith" dxfId="12984" priority="17629" operator="beginsWith" text="Lancement Projet fil rouge">
      <formula>LEFT(AX186,LEN("Lancement Projet fil rouge"))="Lancement Projet fil rouge"</formula>
    </cfRule>
    <cfRule type="beginsWith" dxfId="12983" priority="17630" operator="beginsWith" text="Vacances">
      <formula>LEFT(AX186,LEN("Vacances"))="Vacances"</formula>
    </cfRule>
    <cfRule type="beginsWith" dxfId="12982" priority="17631" operator="beginsWith" text="Séminaire d'intégration">
      <formula>LEFT(AX186,LEN("Séminaire d'intégration"))="Séminaire d'intégration"</formula>
    </cfRule>
    <cfRule type="beginsWith" dxfId="12981" priority="17632" operator="beginsWith" text="Accueil">
      <formula>LEFT(AX186,LEN("Accueil"))="Accueil"</formula>
    </cfRule>
    <cfRule type="beginsWith" dxfId="12980" priority="17635" operator="beginsWith" text="Stage">
      <formula>LEFT(AX186,LEN("Stage"))="Stage"</formula>
    </cfRule>
    <cfRule type="beginsWith" dxfId="12979" priority="17636" operator="beginsWith" text="Entreprise">
      <formula>LEFT(AX186,LEN("Entreprise"))="Entreprise"</formula>
    </cfRule>
    <cfRule type="beginsWith" dxfId="12978" priority="17638" operator="beginsWith" text="Voltaire">
      <formula>LEFT(AX186,LEN("Voltaire"))="Voltaire"</formula>
    </cfRule>
  </conditionalFormatting>
  <conditionalFormatting sqref="AX186:AX187">
    <cfRule type="notContainsBlanks" dxfId="12977" priority="17639">
      <formula>LEN(TRIM(AX186))&gt;0</formula>
    </cfRule>
  </conditionalFormatting>
  <conditionalFormatting sqref="AX221">
    <cfRule type="notContainsBlanks" dxfId="12976" priority="10340">
      <formula>LEN(TRIM(AX221))&gt;0</formula>
    </cfRule>
  </conditionalFormatting>
  <conditionalFormatting sqref="AX222:AX223">
    <cfRule type="notContainsBlanks" dxfId="12975" priority="10408">
      <formula>LEN(TRIM(AX222))&gt;0</formula>
    </cfRule>
  </conditionalFormatting>
  <conditionalFormatting sqref="AX224">
    <cfRule type="notContainsBlanks" dxfId="12974" priority="10397">
      <formula>LEN(TRIM(AX224))&gt;0</formula>
    </cfRule>
  </conditionalFormatting>
  <conditionalFormatting sqref="AX225">
    <cfRule type="notContainsBlanks" dxfId="12973" priority="10419">
      <formula>LEN(TRIM(AX225))&gt;0</formula>
    </cfRule>
  </conditionalFormatting>
  <conditionalFormatting sqref="AX224:AY224">
    <cfRule type="beginsWith" dxfId="12972" priority="10390" operator="beginsWith" text="Lancement Projet fil rouge">
      <formula>LEFT(AX224,LEN("Lancement Projet fil rouge"))="Lancement Projet fil rouge"</formula>
    </cfRule>
    <cfRule type="beginsWith" dxfId="12971" priority="10391" operator="beginsWith" text="Vacances">
      <formula>LEFT(AX224,LEN("Vacances"))="Vacances"</formula>
    </cfRule>
    <cfRule type="beginsWith" dxfId="12970" priority="10392" operator="beginsWith" text="Séminaire d'intégration">
      <formula>LEFT(AX224,LEN("Séminaire d'intégration"))="Séminaire d'intégration"</formula>
    </cfRule>
    <cfRule type="beginsWith" dxfId="12969" priority="10393" operator="beginsWith" text="Accueil">
      <formula>LEFT(AX224,LEN("Accueil"))="Accueil"</formula>
    </cfRule>
    <cfRule type="beginsWith" dxfId="12968" priority="10394" operator="beginsWith" text="Stage">
      <formula>LEFT(AX224,LEN("Stage"))="Stage"</formula>
    </cfRule>
    <cfRule type="beginsWith" dxfId="12967" priority="10395" operator="beginsWith" text="Entreprise">
      <formula>LEFT(AX224,LEN("Entreprise"))="Entreprise"</formula>
    </cfRule>
    <cfRule type="beginsWith" dxfId="12966" priority="10396" operator="beginsWith" text="Voltaire">
      <formula>LEFT(AX224,LEN("Voltaire"))="Voltaire"</formula>
    </cfRule>
  </conditionalFormatting>
  <conditionalFormatting sqref="AX221:BA221">
    <cfRule type="beginsWith" dxfId="12965" priority="10330" operator="beginsWith" text="Lancement Projet fil rouge">
      <formula>LEFT(AX221,LEN("Lancement Projet fil rouge"))="Lancement Projet fil rouge"</formula>
    </cfRule>
    <cfRule type="beginsWith" dxfId="12964" priority="10331" operator="beginsWith" text="Vacances">
      <formula>LEFT(AX221,LEN("Vacances"))="Vacances"</formula>
    </cfRule>
    <cfRule type="beginsWith" dxfId="12963" priority="10332" operator="beginsWith" text="Séminaire d'intégration">
      <formula>LEFT(AX221,LEN("Séminaire d'intégration"))="Séminaire d'intégration"</formula>
    </cfRule>
    <cfRule type="beginsWith" dxfId="12962" priority="10333" operator="beginsWith" text="Accueil">
      <formula>LEFT(AX221,LEN("Accueil"))="Accueil"</formula>
    </cfRule>
    <cfRule type="beginsWith" dxfId="12961" priority="10336" operator="beginsWith" text="Stage">
      <formula>LEFT(AX221,LEN("Stage"))="Stage"</formula>
    </cfRule>
    <cfRule type="beginsWith" dxfId="12960" priority="10337" operator="beginsWith" text="Entreprise">
      <formula>LEFT(AX221,LEN("Entreprise"))="Entreprise"</formula>
    </cfRule>
    <cfRule type="beginsWith" dxfId="12959" priority="10339" operator="beginsWith" text="Voltaire">
      <formula>LEFT(AX221,LEN("Voltaire"))="Voltaire"</formula>
    </cfRule>
  </conditionalFormatting>
  <conditionalFormatting sqref="AX222:BA223">
    <cfRule type="beginsWith" dxfId="12958" priority="10398" operator="beginsWith" text="Lancement Projet fil rouge">
      <formula>LEFT(AX222,LEN("Lancement Projet fil rouge"))="Lancement Projet fil rouge"</formula>
    </cfRule>
    <cfRule type="beginsWith" dxfId="12957" priority="10399" operator="beginsWith" text="Vacances">
      <formula>LEFT(AX222,LEN("Vacances"))="Vacances"</formula>
    </cfRule>
    <cfRule type="beginsWith" dxfId="12956" priority="10400" operator="beginsWith" text="Séminaire d'intégration">
      <formula>LEFT(AX222,LEN("Séminaire d'intégration"))="Séminaire d'intégration"</formula>
    </cfRule>
    <cfRule type="beginsWith" dxfId="12955" priority="10401" operator="beginsWith" text="Accueil">
      <formula>LEFT(AX222,LEN("Accueil"))="Accueil"</formula>
    </cfRule>
    <cfRule type="beginsWith" dxfId="12954" priority="10404" operator="beginsWith" text="Stage">
      <formula>LEFT(AX222,LEN("Stage"))="Stage"</formula>
    </cfRule>
    <cfRule type="beginsWith" dxfId="12953" priority="10405" operator="beginsWith" text="Entreprise">
      <formula>LEFT(AX222,LEN("Entreprise"))="Entreprise"</formula>
    </cfRule>
    <cfRule type="beginsWith" dxfId="12952" priority="10407" operator="beginsWith" text="Voltaire">
      <formula>LEFT(AX222,LEN("Voltaire"))="Voltaire"</formula>
    </cfRule>
  </conditionalFormatting>
  <conditionalFormatting sqref="AX225:BA225">
    <cfRule type="beginsWith" dxfId="12951" priority="10409" operator="beginsWith" text="Lancement Projet fil rouge">
      <formula>LEFT(AX225,LEN("Lancement Projet fil rouge"))="Lancement Projet fil rouge"</formula>
    </cfRule>
    <cfRule type="beginsWith" dxfId="12950" priority="10410" operator="beginsWith" text="Vacances">
      <formula>LEFT(AX225,LEN("Vacances"))="Vacances"</formula>
    </cfRule>
    <cfRule type="beginsWith" dxfId="12949" priority="10411" operator="beginsWith" text="Séminaire d'intégration">
      <formula>LEFT(AX225,LEN("Séminaire d'intégration"))="Séminaire d'intégration"</formula>
    </cfRule>
    <cfRule type="beginsWith" dxfId="12948" priority="10412" operator="beginsWith" text="Accueil">
      <formula>LEFT(AX225,LEN("Accueil"))="Accueil"</formula>
    </cfRule>
    <cfRule type="beginsWith" dxfId="12947" priority="10415" operator="beginsWith" text="Stage">
      <formula>LEFT(AX225,LEN("Stage"))="Stage"</formula>
    </cfRule>
    <cfRule type="beginsWith" dxfId="12946" priority="10416" operator="beginsWith" text="Entreprise">
      <formula>LEFT(AX225,LEN("Entreprise"))="Entreprise"</formula>
    </cfRule>
    <cfRule type="beginsWith" dxfId="12945" priority="10418" operator="beginsWith" text="Voltaire">
      <formula>LEFT(AX225,LEN("Voltaire"))="Voltaire"</formula>
    </cfRule>
  </conditionalFormatting>
  <conditionalFormatting sqref="AY68">
    <cfRule type="beginsWith" dxfId="12944" priority="19997" operator="beginsWith" text="Lancement Projet fil rouge">
      <formula>LEFT(AY68,LEN("Lancement Projet fil rouge"))="Lancement Projet fil rouge"</formula>
    </cfRule>
    <cfRule type="beginsWith" dxfId="12943" priority="19998" operator="beginsWith" text="Vacances">
      <formula>LEFT(AY68,LEN("Vacances"))="Vacances"</formula>
    </cfRule>
    <cfRule type="beginsWith" dxfId="12942" priority="19999" operator="beginsWith" text="Séminaire d'intégration">
      <formula>LEFT(AY68,LEN("Séminaire d'intégration"))="Séminaire d'intégration"</formula>
    </cfRule>
    <cfRule type="beginsWith" dxfId="12941" priority="20000" operator="beginsWith" text="Accueil">
      <formula>LEFT(AY68,LEN("Accueil"))="Accueil"</formula>
    </cfRule>
    <cfRule type="beginsWith" dxfId="12940" priority="20001" operator="beginsWith" text="Stage">
      <formula>LEFT(AY68,LEN("Stage"))="Stage"</formula>
    </cfRule>
    <cfRule type="beginsWith" dxfId="12939" priority="20002" operator="beginsWith" text="Entreprise">
      <formula>LEFT(AY68,LEN("Entreprise"))="Entreprise"</formula>
    </cfRule>
    <cfRule type="beginsWith" dxfId="12938" priority="20003" operator="beginsWith" text="Voltaire">
      <formula>LEFT(AY68,LEN("Voltaire"))="Voltaire"</formula>
    </cfRule>
  </conditionalFormatting>
  <conditionalFormatting sqref="AY176">
    <cfRule type="beginsWith" dxfId="12937" priority="17622" operator="beginsWith" text="Lancement Projet fil rouge">
      <formula>LEFT(AY176,LEN("Lancement Projet fil rouge"))="Lancement Projet fil rouge"</formula>
    </cfRule>
    <cfRule type="beginsWith" dxfId="12936" priority="17623" operator="beginsWith" text="Vacances">
      <formula>LEFT(AY176,LEN("Vacances"))="Vacances"</formula>
    </cfRule>
    <cfRule type="beginsWith" dxfId="12935" priority="17624" operator="beginsWith" text="Séminaire d'intégration">
      <formula>LEFT(AY176,LEN("Séminaire d'intégration"))="Séminaire d'intégration"</formula>
    </cfRule>
    <cfRule type="beginsWith" dxfId="12934" priority="17625" operator="beginsWith" text="Accueil">
      <formula>LEFT(AY176,LEN("Accueil"))="Accueil"</formula>
    </cfRule>
    <cfRule type="beginsWith" dxfId="12933" priority="17626" operator="beginsWith" text="Stage">
      <formula>LEFT(AY176,LEN("Stage"))="Stage"</formula>
    </cfRule>
    <cfRule type="beginsWith" dxfId="12932" priority="17627" operator="beginsWith" text="Entreprise">
      <formula>LEFT(AY176,LEN("Entreprise"))="Entreprise"</formula>
    </cfRule>
    <cfRule type="beginsWith" dxfId="12931" priority="17628" operator="beginsWith" text="Voltaire">
      <formula>LEFT(AY176,LEN("Voltaire"))="Voltaire"</formula>
    </cfRule>
  </conditionalFormatting>
  <conditionalFormatting sqref="AY181">
    <cfRule type="beginsWith" dxfId="12930" priority="17615" operator="beginsWith" text="Lancement Projet fil rouge">
      <formula>LEFT(AY181,LEN("Lancement Projet fil rouge"))="Lancement Projet fil rouge"</formula>
    </cfRule>
    <cfRule type="beginsWith" dxfId="12929" priority="17616" operator="beginsWith" text="Vacances">
      <formula>LEFT(AY181,LEN("Vacances"))="Vacances"</formula>
    </cfRule>
    <cfRule type="beginsWith" dxfId="12928" priority="17617" operator="beginsWith" text="Séminaire d'intégration">
      <formula>LEFT(AY181,LEN("Séminaire d'intégration"))="Séminaire d'intégration"</formula>
    </cfRule>
    <cfRule type="beginsWith" dxfId="12927" priority="17618" operator="beginsWith" text="Accueil">
      <formula>LEFT(AY181,LEN("Accueil"))="Accueil"</formula>
    </cfRule>
    <cfRule type="beginsWith" dxfId="12926" priority="17619" operator="beginsWith" text="Stage">
      <formula>LEFT(AY181,LEN("Stage"))="Stage"</formula>
    </cfRule>
    <cfRule type="beginsWith" dxfId="12925" priority="17620" operator="beginsWith" text="Entreprise">
      <formula>LEFT(AY181,LEN("Entreprise"))="Entreprise"</formula>
    </cfRule>
    <cfRule type="beginsWith" dxfId="12924" priority="17621" operator="beginsWith" text="Voltaire">
      <formula>LEFT(AY181,LEN("Voltaire"))="Voltaire"</formula>
    </cfRule>
  </conditionalFormatting>
  <conditionalFormatting sqref="AY186">
    <cfRule type="beginsWith" dxfId="12923" priority="17608" operator="beginsWith" text="Lancement Projet fil rouge">
      <formula>LEFT(AY186,LEN("Lancement Projet fil rouge"))="Lancement Projet fil rouge"</formula>
    </cfRule>
    <cfRule type="beginsWith" dxfId="12922" priority="17609" operator="beginsWith" text="Vacances">
      <formula>LEFT(AY186,LEN("Vacances"))="Vacances"</formula>
    </cfRule>
    <cfRule type="beginsWith" dxfId="12921" priority="17610" operator="beginsWith" text="Séminaire d'intégration">
      <formula>LEFT(AY186,LEN("Séminaire d'intégration"))="Séminaire d'intégration"</formula>
    </cfRule>
    <cfRule type="beginsWith" dxfId="12920" priority="17611" operator="beginsWith" text="Accueil">
      <formula>LEFT(AY186,LEN("Accueil"))="Accueil"</formula>
    </cfRule>
    <cfRule type="beginsWith" dxfId="12919" priority="17612" operator="beginsWith" text="Stage">
      <formula>LEFT(AY186,LEN("Stage"))="Stage"</formula>
    </cfRule>
    <cfRule type="beginsWith" dxfId="12918" priority="17613" operator="beginsWith" text="Entreprise">
      <formula>LEFT(AY186,LEN("Entreprise"))="Entreprise"</formula>
    </cfRule>
    <cfRule type="beginsWith" dxfId="12917" priority="17614" operator="beginsWith" text="Voltaire">
      <formula>LEFT(AY186,LEN("Voltaire"))="Voltaire"</formula>
    </cfRule>
  </conditionalFormatting>
  <conditionalFormatting sqref="AY191">
    <cfRule type="beginsWith" dxfId="12916" priority="24931" operator="beginsWith" text="Lancement Projet fil rouge">
      <formula>LEFT(AY191,LEN("Lancement Projet fil rouge"))="Lancement Projet fil rouge"</formula>
    </cfRule>
    <cfRule type="beginsWith" dxfId="12915" priority="24932" operator="beginsWith" text="Vacances">
      <formula>LEFT(AY191,LEN("Vacances"))="Vacances"</formula>
    </cfRule>
    <cfRule type="beginsWith" dxfId="12914" priority="24933" operator="beginsWith" text="Séminaire d'intégration">
      <formula>LEFT(AY191,LEN("Séminaire d'intégration"))="Séminaire d'intégration"</formula>
    </cfRule>
    <cfRule type="beginsWith" dxfId="12913" priority="24934" operator="beginsWith" text="Accueil">
      <formula>LEFT(AY191,LEN("Accueil"))="Accueil"</formula>
    </cfRule>
    <cfRule type="beginsWith" dxfId="12912" priority="24935" operator="beginsWith" text="Stage">
      <formula>LEFT(AY191,LEN("Stage"))="Stage"</formula>
    </cfRule>
    <cfRule type="beginsWith" dxfId="12911" priority="24936" operator="beginsWith" text="Entreprise">
      <formula>LEFT(AY191,LEN("Entreprise"))="Entreprise"</formula>
    </cfRule>
    <cfRule type="beginsWith" dxfId="12910" priority="24937" operator="beginsWith" text="Voltaire">
      <formula>LEFT(AY191,LEN("Voltaire"))="Voltaire"</formula>
    </cfRule>
  </conditionalFormatting>
  <conditionalFormatting sqref="AY196:AY198">
    <cfRule type="beginsWith" dxfId="12909" priority="10858" operator="beginsWith" text="Lancement Projet fil rouge">
      <formula>LEFT(AY196,LEN("Lancement Projet fil rouge"))="Lancement Projet fil rouge"</formula>
    </cfRule>
    <cfRule type="beginsWith" dxfId="12908" priority="10859" operator="beginsWith" text="Vacances">
      <formula>LEFT(AY196,LEN("Vacances"))="Vacances"</formula>
    </cfRule>
    <cfRule type="beginsWith" dxfId="12907" priority="10860" operator="beginsWith" text="Séminaire d'intégration">
      <formula>LEFT(AY196,LEN("Séminaire d'intégration"))="Séminaire d'intégration"</formula>
    </cfRule>
    <cfRule type="beginsWith" dxfId="12906" priority="10861" operator="beginsWith" text="Accueil">
      <formula>LEFT(AY196,LEN("Accueil"))="Accueil"</formula>
    </cfRule>
    <cfRule type="beginsWith" dxfId="12905" priority="10862" operator="beginsWith" text="TOPHYC">
      <formula>LEFT(AY196,LEN("TOPHYC"))="TOPHYC"</formula>
    </cfRule>
    <cfRule type="beginsWith" dxfId="12904" priority="10863" operator="beginsWith" text="Global Exam">
      <formula>LEFT(AY196,LEN("Global Exam"))="Global Exam"</formula>
    </cfRule>
    <cfRule type="beginsWith" dxfId="12903" priority="10864" operator="beginsWith" text="Stage">
      <formula>LEFT(AY196,LEN("Stage"))="Stage"</formula>
    </cfRule>
    <cfRule type="beginsWith" dxfId="12902" priority="10865" operator="beginsWith" text="Entreprise">
      <formula>LEFT(AY196,LEN("Entreprise"))="Entreprise"</formula>
    </cfRule>
    <cfRule type="beginsWith" dxfId="12901" priority="10866" operator="beginsWith" text="TOMIC">
      <formula>LEFT(AY196,LEN("TOMIC"))="TOMIC"</formula>
    </cfRule>
    <cfRule type="beginsWith" dxfId="12900" priority="10867" operator="beginsWith" text="Voltaire">
      <formula>LEFT(AY196,LEN("Voltaire"))="Voltaire"</formula>
    </cfRule>
  </conditionalFormatting>
  <conditionalFormatting sqref="AY207">
    <cfRule type="beginsWith" dxfId="12899" priority="19621" operator="beginsWith" text="Lancement Projet fil rouge">
      <formula>LEFT(AY207,LEN("Lancement Projet fil rouge"))="Lancement Projet fil rouge"</formula>
    </cfRule>
    <cfRule type="beginsWith" dxfId="12898" priority="19622" operator="beginsWith" text="Vacances">
      <formula>LEFT(AY207,LEN("Vacances"))="Vacances"</formula>
    </cfRule>
    <cfRule type="beginsWith" dxfId="12897" priority="19623" operator="beginsWith" text="Séminaire d'intégration">
      <formula>LEFT(AY207,LEN("Séminaire d'intégration"))="Séminaire d'intégration"</formula>
    </cfRule>
    <cfRule type="beginsWith" dxfId="12896" priority="19624" operator="beginsWith" text="Accueil">
      <formula>LEFT(AY207,LEN("Accueil"))="Accueil"</formula>
    </cfRule>
    <cfRule type="beginsWith" dxfId="12895" priority="19625" operator="beginsWith" text="Stage">
      <formula>LEFT(AY207,LEN("Stage"))="Stage"</formula>
    </cfRule>
    <cfRule type="beginsWith" dxfId="12894" priority="19626" operator="beginsWith" text="Entreprise">
      <formula>LEFT(AY207,LEN("Entreprise"))="Entreprise"</formula>
    </cfRule>
    <cfRule type="beginsWith" dxfId="12893" priority="19627" operator="beginsWith" text="Voltaire">
      <formula>LEFT(AY207,LEN("Voltaire"))="Voltaire"</formula>
    </cfRule>
  </conditionalFormatting>
  <conditionalFormatting sqref="AY211">
    <cfRule type="beginsWith" dxfId="12892" priority="10868" operator="beginsWith" text="Lancement Projet fil rouge">
      <formula>LEFT(AY211,LEN("Lancement Projet fil rouge"))="Lancement Projet fil rouge"</formula>
    </cfRule>
    <cfRule type="beginsWith" dxfId="12891" priority="10869" operator="beginsWith" text="Vacances">
      <formula>LEFT(AY211,LEN("Vacances"))="Vacances"</formula>
    </cfRule>
    <cfRule type="beginsWith" dxfId="12890" priority="10870" operator="beginsWith" text="Séminaire d'intégration">
      <formula>LEFT(AY211,LEN("Séminaire d'intégration"))="Séminaire d'intégration"</formula>
    </cfRule>
    <cfRule type="beginsWith" dxfId="12889" priority="10871" operator="beginsWith" text="Accueil">
      <formula>LEFT(AY211,LEN("Accueil"))="Accueil"</formula>
    </cfRule>
    <cfRule type="beginsWith" dxfId="12888" priority="10872" operator="beginsWith" text="Stage">
      <formula>LEFT(AY211,LEN("Stage"))="Stage"</formula>
    </cfRule>
    <cfRule type="beginsWith" dxfId="12887" priority="10873" operator="beginsWith" text="Entreprise">
      <formula>LEFT(AY211,LEN("Entreprise"))="Entreprise"</formula>
    </cfRule>
    <cfRule type="beginsWith" dxfId="12886" priority="10874" operator="beginsWith" text="Voltaire">
      <formula>LEFT(AY211,LEN("Voltaire"))="Voltaire"</formula>
    </cfRule>
  </conditionalFormatting>
  <conditionalFormatting sqref="AY218:AY220">
    <cfRule type="beginsWith" dxfId="12885" priority="17601" operator="beginsWith" text="Lancement Projet fil rouge">
      <formula>LEFT(AY218,LEN("Lancement Projet fil rouge"))="Lancement Projet fil rouge"</formula>
    </cfRule>
    <cfRule type="beginsWith" dxfId="12884" priority="17602" operator="beginsWith" text="Vacances">
      <formula>LEFT(AY218,LEN("Vacances"))="Vacances"</formula>
    </cfRule>
    <cfRule type="beginsWith" dxfId="12883" priority="17603" operator="beginsWith" text="Séminaire d'intégration">
      <formula>LEFT(AY218,LEN("Séminaire d'intégration"))="Séminaire d'intégration"</formula>
    </cfRule>
    <cfRule type="beginsWith" dxfId="12882" priority="17604" operator="beginsWith" text="Accueil">
      <formula>LEFT(AY218,LEN("Accueil"))="Accueil"</formula>
    </cfRule>
    <cfRule type="beginsWith" dxfId="12881" priority="17605" operator="beginsWith" text="Stage">
      <formula>LEFT(AY218,LEN("Stage"))="Stage"</formula>
    </cfRule>
    <cfRule type="beginsWith" dxfId="12880" priority="17606" operator="beginsWith" text="Entreprise">
      <formula>LEFT(AY218,LEN("Entreprise"))="Entreprise"</formula>
    </cfRule>
    <cfRule type="beginsWith" dxfId="12879" priority="17607" operator="beginsWith" text="Voltaire">
      <formula>LEFT(AY218,LEN("Voltaire"))="Voltaire"</formula>
    </cfRule>
  </conditionalFormatting>
  <conditionalFormatting sqref="AZ181:AZ182">
    <cfRule type="beginsWith" dxfId="12878" priority="17644" operator="beginsWith" text="TOPHYC">
      <formula>LEFT(AZ181,LEN("TOPHYC"))="TOPHYC"</formula>
    </cfRule>
    <cfRule type="beginsWith" dxfId="12877" priority="17645" operator="beginsWith" text="Global Exam">
      <formula>LEFT(AZ181,LEN("Global Exam"))="Global Exam"</formula>
    </cfRule>
    <cfRule type="beginsWith" dxfId="12876" priority="17648" operator="beginsWith" text="TOMIC">
      <formula>LEFT(AZ181,LEN("TOMIC"))="TOMIC"</formula>
    </cfRule>
  </conditionalFormatting>
  <conditionalFormatting sqref="AZ186:AZ187">
    <cfRule type="beginsWith" dxfId="12875" priority="17633" operator="beginsWith" text="TOPHYC">
      <formula>LEFT(AZ186,LEN("TOPHYC"))="TOPHYC"</formula>
    </cfRule>
    <cfRule type="beginsWith" dxfId="12874" priority="17634" operator="beginsWith" text="Global Exam">
      <formula>LEFT(AZ186,LEN("Global Exam"))="Global Exam"</formula>
    </cfRule>
    <cfRule type="beginsWith" dxfId="12873" priority="17637" operator="beginsWith" text="TOMIC">
      <formula>LEFT(AZ186,LEN("TOMIC"))="TOMIC"</formula>
    </cfRule>
  </conditionalFormatting>
  <conditionalFormatting sqref="AZ1:BA2 BY1:BZ2 CE1:CF2 CK1:CL2 CQ1:CR2 CW1:CY2 DF1:DG2 DL1:DM2 DR1:DS2 DY1:DZ2 EE1:EF2 EK1:EL2 A1:B5 M1:N5 AL1:AM5 AZ5:BA5 BY5:BZ5 CE5:CF5 CK5:CL5 CQ5:CR5 CW5:CY5 DF5:DG5 DL5:DM5 DR5:DS5 DY5:DZ5 EE5:EF5 EK5:EL5 M16:N20 AZ16:BA25 AL16:AM30 DF16:DG35 DY16:DZ35 CK16:CL40 EK16:EL55 BY16:BZ60 CE16:CF60 CW16:CY60 CQ16:CR95 A16:B1048576 DR17:DS55 DL17:DM56 M21:M25 AZ26:AZ35 M26:N50 AL31:AL35 AL36:AM40 AZ36:BA50 AL41:AL45 CK41:CK45 DF46:DF50 AL46:AM67 CK46:CL70 DY46:DZ95 M51:M53 AZ51:AZ55 DF51:DG94 M55 EK56:EK59 M56:N60 DR56:DR65 AZ56:BA66 DL57:DL60 BY61:BY65 CE61:CE65 CY61:CY65 DL61:DM95 EK62:EK65 DR66:DS66 EK66:EL66 M66:N68 CW66:CY70 BY66:BZ1048576 CE66:CF1048576 AZ67:AZ70 EK67:EK70 DR67:DR75 AL68:AL70 N69 M70:N108 CW71:CW80 AL71:AM93 EK71:EL95 AZ71:BA171 CK72:CK75 CK76:CL83 DR81:DS95 CL84 CK85:CL88 CW86:CY95 CL89 CK90:CL90 AM94 DG95 AL95:AM123 CK96:CL138 DZ106 CW106:CY110 DL106:DM110 DF106:DG140 EK106:EL140 CQ106:CR171 DR106:DS215 DY107:DZ155 N109 M110:N125 DL116:DM175 AM124 AL125:AM126 AL127:AL130 M131:N133 AL131:AM145 N134 M135:N145 CL139 CK140:CL165 EL141 EK142:EL1048576 AL146:AL148 DF146:DG165 M147:M150 AL150 AL151:AM153 M151:N168 CW151:CY175 AM154 AL155:AM182 DZ156 DY156:DY160 CK166:CK170 DF166:DF170 N169 M170:N173 CK171:CL216 DF171:DG290 AZ172:AZ175 CQ172:CQ180 N174 M175:N180 AZ176:BA180 DL176:DL180 DL181:DM185 CW183:CY203 CQ181:CR277 AM183:AM184 AZ183:AZ185 EE176:EE189 AL185:AM187 BA186:BA187 DL186:DL189 AM188 AZ188:BA215 EE189:EF195 AL189:AM200 DL190:DM211 M191:N191 M192:M194 M195:N197 EE195:EE201 N198 M199:N203 AM201:AM205 EE201:EF210 N204 CX204:CY204 DZ205 CW205:CY208 M205:N220 AL206:AM210 DY206:DZ231 AM211:AM215 DL212:DL215 AZ218:AZ220 AL216:AM232 DL216:DM272 EE216:EF1048576 CK217:CK220 CW221:CY263 CK221:CL1048576 AZ224:BA224 M226:N228 AZ226:BA230 N229 M230:N232 DR231:DS1048576 DY232:DY233 AM233:AM234 DY234:DZ234 M235:N235 AL235:AM235 DZ235 N236:N240 AL241:AM1048576 DY241:DZ248 BK241:BL369 M241:N1048576 AZ241:BA1048576 DZ249 DY250:DZ267 K261:N267 CY264:CY268 CW269:CY1048576 DY290:DZ1048576 DL296:DM314 CQ319:CR1048576 DF325:DG1048576 DL340:DM1048576 N233:N234 AM236:AM240 BA231:BA240 EE16:EF95 EE106:EF175 CY181:CY182 DY161:DZ204">
    <cfRule type="beginsWith" dxfId="12872" priority="32050" operator="beginsWith" text="TOPHYC">
      <formula>LEFT(A1,LEN("TOPHYC"))="TOPHYC"</formula>
    </cfRule>
    <cfRule type="beginsWith" dxfId="12871" priority="32051" operator="beginsWith" text="Global Exam">
      <formula>LEFT(A1,LEN("Global Exam"))="Global Exam"</formula>
    </cfRule>
    <cfRule type="beginsWith" dxfId="12870" priority="32054" operator="beginsWith" text="TOMIC">
      <formula>LEFT(A1,LEN("TOMIC"))="TOMIC"</formula>
    </cfRule>
  </conditionalFormatting>
  <conditionalFormatting sqref="AZ221:BA221">
    <cfRule type="beginsWith" dxfId="12869" priority="10334" operator="beginsWith" text="TOPHYC">
      <formula>LEFT(AZ221,LEN("TOPHYC"))="TOPHYC"</formula>
    </cfRule>
    <cfRule type="beginsWith" dxfId="12868" priority="10335" operator="beginsWith" text="Global Exam">
      <formula>LEFT(AZ221,LEN("Global Exam"))="Global Exam"</formula>
    </cfRule>
    <cfRule type="beginsWith" dxfId="12867" priority="10338" operator="beginsWith" text="TOMIC">
      <formula>LEFT(AZ221,LEN("TOMIC"))="TOMIC"</formula>
    </cfRule>
  </conditionalFormatting>
  <conditionalFormatting sqref="AZ222:BA223">
    <cfRule type="beginsWith" dxfId="12866" priority="10402" operator="beginsWith" text="TOPHYC">
      <formula>LEFT(AZ222,LEN("TOPHYC"))="TOPHYC"</formula>
    </cfRule>
    <cfRule type="beginsWith" dxfId="12865" priority="10403" operator="beginsWith" text="Global Exam">
      <formula>LEFT(AZ222,LEN("Global Exam"))="Global Exam"</formula>
    </cfRule>
    <cfRule type="beginsWith" dxfId="12864" priority="10406" operator="beginsWith" text="TOMIC">
      <formula>LEFT(AZ222,LEN("TOMIC"))="TOMIC"</formula>
    </cfRule>
  </conditionalFormatting>
  <conditionalFormatting sqref="AZ225:BA225">
    <cfRule type="beginsWith" dxfId="12863" priority="10413" operator="beginsWith" text="TOPHYC">
      <formula>LEFT(AZ225,LEN("TOPHYC"))="TOPHYC"</formula>
    </cfRule>
    <cfRule type="beginsWith" dxfId="12862" priority="10414" operator="beginsWith" text="Global Exam">
      <formula>LEFT(AZ225,LEN("Global Exam"))="Global Exam"</formula>
    </cfRule>
    <cfRule type="beginsWith" dxfId="12861" priority="10417" operator="beginsWith" text="TOMIC">
      <formula>LEFT(AZ225,LEN("TOMIC"))="TOMIC"</formula>
    </cfRule>
  </conditionalFormatting>
  <conditionalFormatting sqref="BA26:BA30">
    <cfRule type="beginsWith" dxfId="12860" priority="10607" operator="beginsWith" text="Lancement Projet fil rouge">
      <formula>LEFT(BA26,LEN("Lancement Projet fil rouge"))="Lancement Projet fil rouge"</formula>
    </cfRule>
    <cfRule type="beginsWith" dxfId="12859" priority="10608" operator="beginsWith" text="Vacances">
      <formula>LEFT(BA26,LEN("Vacances"))="Vacances"</formula>
    </cfRule>
    <cfRule type="beginsWith" dxfId="12858" priority="10609" operator="beginsWith" text="Séminaire d'intégration">
      <formula>LEFT(BA26,LEN("Séminaire d'intégration"))="Séminaire d'intégration"</formula>
    </cfRule>
    <cfRule type="beginsWith" dxfId="12857" priority="10610" operator="beginsWith" text="Accueil">
      <formula>LEFT(BA26,LEN("Accueil"))="Accueil"</formula>
    </cfRule>
    <cfRule type="beginsWith" dxfId="12856" priority="10611" operator="beginsWith" text="TOPHYC">
      <formula>LEFT(BA26,LEN("TOPHYC"))="TOPHYC"</formula>
    </cfRule>
    <cfRule type="beginsWith" dxfId="12855" priority="10612" operator="beginsWith" text="Global Exam">
      <formula>LEFT(BA26,LEN("Global Exam"))="Global Exam"</formula>
    </cfRule>
    <cfRule type="beginsWith" dxfId="12854" priority="10613" operator="beginsWith" text="Stage">
      <formula>LEFT(BA26,LEN("Stage"))="Stage"</formula>
    </cfRule>
    <cfRule type="beginsWith" dxfId="12853" priority="10614" operator="beginsWith" text="Entreprise">
      <formula>LEFT(BA26,LEN("Entreprise"))="Entreprise"</formula>
    </cfRule>
    <cfRule type="beginsWith" dxfId="12852" priority="10615" operator="beginsWith" text="TOMIC">
      <formula>LEFT(BA26,LEN("TOMIC"))="TOMIC"</formula>
    </cfRule>
    <cfRule type="beginsWith" dxfId="12851" priority="10616" operator="beginsWith" text="Voltaire">
      <formula>LEFT(BA26,LEN("Voltaire"))="Voltaire"</formula>
    </cfRule>
  </conditionalFormatting>
  <conditionalFormatting sqref="BA31:BA35">
    <cfRule type="beginsWith" dxfId="12850" priority="14778" operator="beginsWith" text="Lancement Projet fil rouge">
      <formula>LEFT(BA31,LEN("Lancement Projet fil rouge"))="Lancement Projet fil rouge"</formula>
    </cfRule>
    <cfRule type="beginsWith" dxfId="12849" priority="14779" operator="beginsWith" text="Vacances">
      <formula>LEFT(BA31,LEN("Vacances"))="Vacances"</formula>
    </cfRule>
    <cfRule type="beginsWith" dxfId="12848" priority="14780" operator="beginsWith" text="Séminaire d'intégration">
      <formula>LEFT(BA31,LEN("Séminaire d'intégration"))="Séminaire d'intégration"</formula>
    </cfRule>
    <cfRule type="beginsWith" dxfId="12847" priority="14781" operator="beginsWith" text="Accueil">
      <formula>LEFT(BA31,LEN("Accueil"))="Accueil"</formula>
    </cfRule>
    <cfRule type="beginsWith" dxfId="12846" priority="14782" operator="beginsWith" text="TOPHYC">
      <formula>LEFT(BA31,LEN("TOPHYC"))="TOPHYC"</formula>
    </cfRule>
    <cfRule type="beginsWith" dxfId="12845" priority="14783" operator="beginsWith" text="Global Exam">
      <formula>LEFT(BA31,LEN("Global Exam"))="Global Exam"</formula>
    </cfRule>
    <cfRule type="beginsWith" dxfId="12844" priority="14784" operator="beginsWith" text="Stage">
      <formula>LEFT(BA31,LEN("Stage"))="Stage"</formula>
    </cfRule>
    <cfRule type="beginsWith" dxfId="12843" priority="14785" operator="beginsWith" text="Entreprise">
      <formula>LEFT(BA31,LEN("Entreprise"))="Entreprise"</formula>
    </cfRule>
    <cfRule type="beginsWith" dxfId="12842" priority="14786" operator="beginsWith" text="TOMIC">
      <formula>LEFT(BA31,LEN("TOMIC"))="TOMIC"</formula>
    </cfRule>
    <cfRule type="beginsWith" dxfId="12841" priority="14787" operator="beginsWith" text="Voltaire">
      <formula>LEFT(BA31,LEN("Voltaire"))="Voltaire"</formula>
    </cfRule>
  </conditionalFormatting>
  <conditionalFormatting sqref="BA51:BA55">
    <cfRule type="beginsWith" dxfId="12840" priority="10597" operator="beginsWith" text="Lancement Projet fil rouge">
      <formula>LEFT(BA51,LEN("Lancement Projet fil rouge"))="Lancement Projet fil rouge"</formula>
    </cfRule>
    <cfRule type="beginsWith" dxfId="12839" priority="10598" operator="beginsWith" text="Vacances">
      <formula>LEFT(BA51,LEN("Vacances"))="Vacances"</formula>
    </cfRule>
    <cfRule type="beginsWith" dxfId="12838" priority="10599" operator="beginsWith" text="Séminaire d'intégration">
      <formula>LEFT(BA51,LEN("Séminaire d'intégration"))="Séminaire d'intégration"</formula>
    </cfRule>
    <cfRule type="beginsWith" dxfId="12837" priority="10600" operator="beginsWith" text="Accueil">
      <formula>LEFT(BA51,LEN("Accueil"))="Accueil"</formula>
    </cfRule>
    <cfRule type="beginsWith" dxfId="12836" priority="10601" operator="beginsWith" text="TOPHYC">
      <formula>LEFT(BA51,LEN("TOPHYC"))="TOPHYC"</formula>
    </cfRule>
    <cfRule type="beginsWith" dxfId="12835" priority="10602" operator="beginsWith" text="Global Exam">
      <formula>LEFT(BA51,LEN("Global Exam"))="Global Exam"</formula>
    </cfRule>
    <cfRule type="beginsWith" dxfId="12834" priority="10603" operator="beginsWith" text="Stage">
      <formula>LEFT(BA51,LEN("Stage"))="Stage"</formula>
    </cfRule>
    <cfRule type="beginsWith" dxfId="12833" priority="10604" operator="beginsWith" text="Entreprise">
      <formula>LEFT(BA51,LEN("Entreprise"))="Entreprise"</formula>
    </cfRule>
    <cfRule type="beginsWith" dxfId="12832" priority="10605" operator="beginsWith" text="TOMIC">
      <formula>LEFT(BA51,LEN("TOMIC"))="TOMIC"</formula>
    </cfRule>
    <cfRule type="beginsWith" dxfId="12831" priority="10606" operator="beginsWith" text="Voltaire">
      <formula>LEFT(BA51,LEN("Voltaire"))="Voltaire"</formula>
    </cfRule>
  </conditionalFormatting>
  <conditionalFormatting sqref="BA67:BA70">
    <cfRule type="beginsWith" dxfId="12830" priority="21107" operator="beginsWith" text="Lancement Projet fil rouge">
      <formula>LEFT(BA67,LEN("Lancement Projet fil rouge"))="Lancement Projet fil rouge"</formula>
    </cfRule>
    <cfRule type="beginsWith" dxfId="12829" priority="21108" operator="beginsWith" text="Vacances">
      <formula>LEFT(BA67,LEN("Vacances"))="Vacances"</formula>
    </cfRule>
    <cfRule type="beginsWith" dxfId="12828" priority="21109" operator="beginsWith" text="Séminaire d'intégration">
      <formula>LEFT(BA67,LEN("Séminaire d'intégration"))="Séminaire d'intégration"</formula>
    </cfRule>
    <cfRule type="beginsWith" dxfId="12827" priority="21110" operator="beginsWith" text="Accueil">
      <formula>LEFT(BA67,LEN("Accueil"))="Accueil"</formula>
    </cfRule>
    <cfRule type="beginsWith" dxfId="12826" priority="21111" operator="beginsWith" text="TOPHYC">
      <formula>LEFT(BA67,LEN("TOPHYC"))="TOPHYC"</formula>
    </cfRule>
    <cfRule type="beginsWith" dxfId="12825" priority="21112" operator="beginsWith" text="Global Exam">
      <formula>LEFT(BA67,LEN("Global Exam"))="Global Exam"</formula>
    </cfRule>
    <cfRule type="beginsWith" dxfId="12824" priority="21113" operator="beginsWith" text="Stage">
      <formula>LEFT(BA67,LEN("Stage"))="Stage"</formula>
    </cfRule>
    <cfRule type="beginsWith" dxfId="12823" priority="21114" operator="beginsWith" text="Entreprise">
      <formula>LEFT(BA67,LEN("Entreprise"))="Entreprise"</formula>
    </cfRule>
    <cfRule type="beginsWith" dxfId="12822" priority="21115" operator="beginsWith" text="TOMIC">
      <formula>LEFT(BA67,LEN("TOMIC"))="TOMIC"</formula>
    </cfRule>
    <cfRule type="beginsWith" dxfId="12821" priority="21116" operator="beginsWith" text="Voltaire">
      <formula>LEFT(BA67,LEN("Voltaire"))="Voltaire"</formula>
    </cfRule>
  </conditionalFormatting>
  <conditionalFormatting sqref="BA172">
    <cfRule type="beginsWith" dxfId="12820" priority="17661" operator="beginsWith" text="Lancement Projet fil rouge">
      <formula>LEFT(BA172,LEN("Lancement Projet fil rouge"))="Lancement Projet fil rouge"</formula>
    </cfRule>
    <cfRule type="beginsWith" dxfId="12819" priority="17662" operator="beginsWith" text="Vacances">
      <formula>LEFT(BA172,LEN("Vacances"))="Vacances"</formula>
    </cfRule>
    <cfRule type="beginsWith" dxfId="12818" priority="17663" operator="beginsWith" text="Séminaire d'intégration">
      <formula>LEFT(BA172,LEN("Séminaire d'intégration"))="Séminaire d'intégration"</formula>
    </cfRule>
    <cfRule type="beginsWith" dxfId="12817" priority="17664" operator="beginsWith" text="Accueil">
      <formula>LEFT(BA172,LEN("Accueil"))="Accueil"</formula>
    </cfRule>
    <cfRule type="beginsWith" dxfId="12816" priority="17665" operator="beginsWith" text="TOPHYC">
      <formula>LEFT(BA172,LEN("TOPHYC"))="TOPHYC"</formula>
    </cfRule>
    <cfRule type="beginsWith" dxfId="12815" priority="17666" operator="beginsWith" text="Global Exam">
      <formula>LEFT(BA172,LEN("Global Exam"))="Global Exam"</formula>
    </cfRule>
    <cfRule type="beginsWith" dxfId="12814" priority="17667" operator="beginsWith" text="Stage">
      <formula>LEFT(BA172,LEN("Stage"))="Stage"</formula>
    </cfRule>
    <cfRule type="beginsWith" dxfId="12813" priority="17668" operator="beginsWith" text="Entreprise">
      <formula>LEFT(BA172,LEN("Entreprise"))="Entreprise"</formula>
    </cfRule>
    <cfRule type="beginsWith" dxfId="12812" priority="17669" operator="beginsWith" text="TOMIC">
      <formula>LEFT(BA172,LEN("TOMIC"))="TOMIC"</formula>
    </cfRule>
    <cfRule type="beginsWith" dxfId="12811" priority="17670" operator="beginsWith" text="Voltaire">
      <formula>LEFT(BA172,LEN("Voltaire"))="Voltaire"</formula>
    </cfRule>
  </conditionalFormatting>
  <conditionalFormatting sqref="BA181:BA185">
    <cfRule type="beginsWith" dxfId="12810" priority="17651" operator="beginsWith" text="Lancement Projet fil rouge">
      <formula>LEFT(BA181,LEN("Lancement Projet fil rouge"))="Lancement Projet fil rouge"</formula>
    </cfRule>
    <cfRule type="beginsWith" dxfId="12809" priority="17652" operator="beginsWith" text="Vacances">
      <formula>LEFT(BA181,LEN("Vacances"))="Vacances"</formula>
    </cfRule>
    <cfRule type="beginsWith" dxfId="12808" priority="17653" operator="beginsWith" text="Séminaire d'intégration">
      <formula>LEFT(BA181,LEN("Séminaire d'intégration"))="Séminaire d'intégration"</formula>
    </cfRule>
    <cfRule type="beginsWith" dxfId="12807" priority="17654" operator="beginsWith" text="Accueil">
      <formula>LEFT(BA181,LEN("Accueil"))="Accueil"</formula>
    </cfRule>
    <cfRule type="beginsWith" dxfId="12806" priority="17655" operator="beginsWith" text="TOPHYC">
      <formula>LEFT(BA181,LEN("TOPHYC"))="TOPHYC"</formula>
    </cfRule>
    <cfRule type="beginsWith" dxfId="12805" priority="17656" operator="beginsWith" text="Global Exam">
      <formula>LEFT(BA181,LEN("Global Exam"))="Global Exam"</formula>
    </cfRule>
    <cfRule type="beginsWith" dxfId="12804" priority="17657" operator="beginsWith" text="Stage">
      <formula>LEFT(BA181,LEN("Stage"))="Stage"</formula>
    </cfRule>
    <cfRule type="beginsWith" dxfId="12803" priority="17658" operator="beginsWith" text="Entreprise">
      <formula>LEFT(BA181,LEN("Entreprise"))="Entreprise"</formula>
    </cfRule>
    <cfRule type="beginsWith" dxfId="12802" priority="17659" operator="beginsWith" text="TOMIC">
      <formula>LEFT(BA181,LEN("TOMIC"))="TOMIC"</formula>
    </cfRule>
    <cfRule type="beginsWith" dxfId="12801" priority="17660" operator="beginsWith" text="Voltaire">
      <formula>LEFT(BA181,LEN("Voltaire"))="Voltaire"</formula>
    </cfRule>
  </conditionalFormatting>
  <conditionalFormatting sqref="BA216:BA220">
    <cfRule type="beginsWith" dxfId="12800" priority="12411" operator="beginsWith" text="Lancement Projet fil rouge">
      <formula>LEFT(BA216,LEN("Lancement Projet fil rouge"))="Lancement Projet fil rouge"</formula>
    </cfRule>
    <cfRule type="beginsWith" dxfId="12799" priority="12412" operator="beginsWith" text="Vacances">
      <formula>LEFT(BA216,LEN("Vacances"))="Vacances"</formula>
    </cfRule>
    <cfRule type="beginsWith" dxfId="12798" priority="12413" operator="beginsWith" text="Séminaire d'intégration">
      <formula>LEFT(BA216,LEN("Séminaire d'intégration"))="Séminaire d'intégration"</formula>
    </cfRule>
    <cfRule type="beginsWith" dxfId="12797" priority="12414" operator="beginsWith" text="Accueil">
      <formula>LEFT(BA216,LEN("Accueil"))="Accueil"</formula>
    </cfRule>
    <cfRule type="beginsWith" dxfId="12796" priority="12415" operator="beginsWith" text="TOPHYC">
      <formula>LEFT(BA216,LEN("TOPHYC"))="TOPHYC"</formula>
    </cfRule>
    <cfRule type="beginsWith" dxfId="12795" priority="12416" operator="beginsWith" text="Global Exam">
      <formula>LEFT(BA216,LEN("Global Exam"))="Global Exam"</formula>
    </cfRule>
    <cfRule type="beginsWith" dxfId="12794" priority="12417" operator="beginsWith" text="Stage">
      <formula>LEFT(BA216,LEN("Stage"))="Stage"</formula>
    </cfRule>
    <cfRule type="beginsWith" dxfId="12793" priority="12418" operator="beginsWith" text="Entreprise">
      <formula>LEFT(BA216,LEN("Entreprise"))="Entreprise"</formula>
    </cfRule>
    <cfRule type="beginsWith" dxfId="12792" priority="12419" operator="beginsWith" text="TOMIC">
      <formula>LEFT(BA216,LEN("TOMIC"))="TOMIC"</formula>
    </cfRule>
    <cfRule type="beginsWith" dxfId="12791" priority="12420" operator="beginsWith" text="Voltaire">
      <formula>LEFT(BA216,LEN("Voltaire"))="Voltaire"</formula>
    </cfRule>
  </conditionalFormatting>
  <conditionalFormatting sqref="BH1:BH2 BH5 BH44:BH59">
    <cfRule type="beginsWith" dxfId="12790" priority="22555" operator="beginsWith" text="Projet professionnel : Séminaire PFI">
      <formula>LEFT(BH1,LEN("Projet professionnel : Séminaire PFI"))="Projet professionnel : Séminaire PFI"</formula>
    </cfRule>
    <cfRule type="beginsWith" dxfId="12789" priority="22556" operator="beginsWith" text="Lancement Projet fil rouge">
      <formula>LEFT(BH1,LEN("Lancement Projet fil rouge"))="Lancement Projet fil rouge"</formula>
    </cfRule>
    <cfRule type="beginsWith" dxfId="12788" priority="22557" operator="beginsWith" text="Vacances">
      <formula>LEFT(BH1,LEN("Vacances"))="Vacances"</formula>
    </cfRule>
    <cfRule type="beginsWith" dxfId="12787" priority="22558" operator="beginsWith" text="Séminaire d'intégration">
      <formula>LEFT(BH1,LEN("Séminaire d'intégration"))="Séminaire d'intégration"</formula>
    </cfRule>
    <cfRule type="beginsWith" dxfId="12786" priority="22559" operator="beginsWith" text="Accueil">
      <formula>LEFT(BH1,LEN("Accueil"))="Accueil"</formula>
    </cfRule>
    <cfRule type="beginsWith" dxfId="12785" priority="22560" operator="beginsWith" text="Stage">
      <formula>LEFT(BH1,LEN("Stage"))="Stage"</formula>
    </cfRule>
    <cfRule type="beginsWith" dxfId="12784" priority="22561" operator="beginsWith" text="Entreprise">
      <formula>LEFT(BH1,LEN("Entreprise"))="Entreprise"</formula>
    </cfRule>
    <cfRule type="beginsWith" dxfId="12783" priority="22562" operator="beginsWith" text="Voltaire">
      <formula>LEFT(BH1,LEN("Voltaire"))="Voltaire"</formula>
    </cfRule>
  </conditionalFormatting>
  <conditionalFormatting sqref="BH3">
    <cfRule type="beginsWith" dxfId="12782" priority="22452" operator="beginsWith" text="Lancement Projet fil rouge">
      <formula>LEFT(BH3,LEN("Lancement Projet fil rouge"))="Lancement Projet fil rouge"</formula>
    </cfRule>
    <cfRule type="beginsWith" dxfId="12781" priority="22453" operator="beginsWith" text="Vacances">
      <formula>LEFT(BH3,LEN("Vacances"))="Vacances"</formula>
    </cfRule>
    <cfRule type="beginsWith" dxfId="12780" priority="22454" operator="beginsWith" text="Séminaire d'intégration">
      <formula>LEFT(BH3,LEN("Séminaire d'intégration"))="Séminaire d'intégration"</formula>
    </cfRule>
    <cfRule type="beginsWith" dxfId="12779" priority="22455" operator="beginsWith" text="Accueil">
      <formula>LEFT(BH3,LEN("Accueil"))="Accueil"</formula>
    </cfRule>
    <cfRule type="beginsWith" dxfId="12778" priority="22456" operator="beginsWith" text="Stage">
      <formula>LEFT(BH3,LEN("Stage"))="Stage"</formula>
    </cfRule>
    <cfRule type="beginsWith" dxfId="12777" priority="22457" operator="beginsWith" text="Entreprise">
      <formula>LEFT(BH3,LEN("Entreprise"))="Entreprise"</formula>
    </cfRule>
    <cfRule type="beginsWith" dxfId="12776" priority="22458" operator="beginsWith" text="Voltaire">
      <formula>LEFT(BH3,LEN("Voltaire"))="Voltaire"</formula>
    </cfRule>
  </conditionalFormatting>
  <conditionalFormatting sqref="BH16">
    <cfRule type="beginsWith" dxfId="12775" priority="22531" operator="beginsWith" text="Projet professionnel : Séminaire PFI">
      <formula>LEFT(BH16,LEN("Projet professionnel : Séminaire PFI"))="Projet professionnel : Séminaire PFI"</formula>
    </cfRule>
    <cfRule type="beginsWith" dxfId="12774" priority="22532" operator="beginsWith" text="Lancement Projet fil rouge">
      <formula>LEFT(BH16,LEN("Lancement Projet fil rouge"))="Lancement Projet fil rouge"</formula>
    </cfRule>
    <cfRule type="beginsWith" dxfId="12773" priority="22533" operator="beginsWith" text="Vacances">
      <formula>LEFT(BH16,LEN("Vacances"))="Vacances"</formula>
    </cfRule>
    <cfRule type="beginsWith" dxfId="12772" priority="22534" operator="beginsWith" text="Séminaire d'intégration">
      <formula>LEFT(BH16,LEN("Séminaire d'intégration"))="Séminaire d'intégration"</formula>
    </cfRule>
    <cfRule type="beginsWith" dxfId="12771" priority="22535" operator="beginsWith" text="Accueil">
      <formula>LEFT(BH16,LEN("Accueil"))="Accueil"</formula>
    </cfRule>
    <cfRule type="beginsWith" dxfId="12770" priority="22536" operator="beginsWith" text="Stage">
      <formula>LEFT(BH16,LEN("Stage"))="Stage"</formula>
    </cfRule>
    <cfRule type="beginsWith" dxfId="12769" priority="22537" operator="beginsWith" text="Entreprise">
      <formula>LEFT(BH16,LEN("Entreprise"))="Entreprise"</formula>
    </cfRule>
    <cfRule type="beginsWith" dxfId="12768" priority="22538" operator="beginsWith" text="Voltaire">
      <formula>LEFT(BH16,LEN("Voltaire"))="Voltaire"</formula>
    </cfRule>
  </conditionalFormatting>
  <conditionalFormatting sqref="BH26">
    <cfRule type="beginsWith" dxfId="12767" priority="22539" operator="beginsWith" text="Projet professionnel : Séminaire PFI">
      <formula>LEFT(BH26,LEN("Projet professionnel : Séminaire PFI"))="Projet professionnel : Séminaire PFI"</formula>
    </cfRule>
    <cfRule type="beginsWith" dxfId="12766" priority="22540" operator="beginsWith" text="Lancement Projet fil rouge">
      <formula>LEFT(BH26,LEN("Lancement Projet fil rouge"))="Lancement Projet fil rouge"</formula>
    </cfRule>
    <cfRule type="beginsWith" dxfId="12765" priority="22541" operator="beginsWith" text="Vacances">
      <formula>LEFT(BH26,LEN("Vacances"))="Vacances"</formula>
    </cfRule>
    <cfRule type="beginsWith" dxfId="12764" priority="22542" operator="beginsWith" text="Séminaire d'intégration">
      <formula>LEFT(BH26,LEN("Séminaire d'intégration"))="Séminaire d'intégration"</formula>
    </cfRule>
    <cfRule type="beginsWith" dxfId="12763" priority="22543" operator="beginsWith" text="Accueil">
      <formula>LEFT(BH26,LEN("Accueil"))="Accueil"</formula>
    </cfRule>
    <cfRule type="beginsWith" dxfId="12762" priority="22544" operator="beginsWith" text="Stage">
      <formula>LEFT(BH26,LEN("Stage"))="Stage"</formula>
    </cfRule>
    <cfRule type="beginsWith" dxfId="12761" priority="22545" operator="beginsWith" text="Entreprise">
      <formula>LEFT(BH26,LEN("Entreprise"))="Entreprise"</formula>
    </cfRule>
    <cfRule type="beginsWith" dxfId="12760" priority="22546" operator="beginsWith" text="Voltaire">
      <formula>LEFT(BH26,LEN("Voltaire"))="Voltaire"</formula>
    </cfRule>
  </conditionalFormatting>
  <conditionalFormatting sqref="BH36:BH43">
    <cfRule type="beginsWith" dxfId="12759" priority="22491" operator="beginsWith" text="Projet professionnel : Séminaire PFI">
      <formula>LEFT(BH36,LEN("Projet professionnel : Séminaire PFI"))="Projet professionnel : Séminaire PFI"</formula>
    </cfRule>
    <cfRule type="beginsWith" dxfId="12758" priority="22492" operator="beginsWith" text="Lancement Projet fil rouge">
      <formula>LEFT(BH36,LEN("Lancement Projet fil rouge"))="Lancement Projet fil rouge"</formula>
    </cfRule>
    <cfRule type="beginsWith" dxfId="12757" priority="22493" operator="beginsWith" text="Vacances">
      <formula>LEFT(BH36,LEN("Vacances"))="Vacances"</formula>
    </cfRule>
    <cfRule type="beginsWith" dxfId="12756" priority="22494" operator="beginsWith" text="Séminaire d'intégration">
      <formula>LEFT(BH36,LEN("Séminaire d'intégration"))="Séminaire d'intégration"</formula>
    </cfRule>
    <cfRule type="beginsWith" dxfId="12755" priority="22495" operator="beginsWith" text="Accueil">
      <formula>LEFT(BH36,LEN("Accueil"))="Accueil"</formula>
    </cfRule>
    <cfRule type="beginsWith" dxfId="12754" priority="22496" operator="beginsWith" text="Stage">
      <formula>LEFT(BH36,LEN("Stage"))="Stage"</formula>
    </cfRule>
    <cfRule type="beginsWith" dxfId="12753" priority="22497" operator="beginsWith" text="Entreprise">
      <formula>LEFT(BH36,LEN("Entreprise"))="Entreprise"</formula>
    </cfRule>
    <cfRule type="beginsWith" dxfId="12752" priority="22498" operator="beginsWith" text="Voltaire">
      <formula>LEFT(BH36,LEN("Voltaire"))="Voltaire"</formula>
    </cfRule>
  </conditionalFormatting>
  <conditionalFormatting sqref="BH60">
    <cfRule type="beginsWith" dxfId="12751" priority="22499" operator="beginsWith" text="Projet professionnel : Séminaire PFI">
      <formula>LEFT(BH60,LEN("Projet professionnel : Séminaire PFI"))="Projet professionnel : Séminaire PFI"</formula>
    </cfRule>
    <cfRule type="beginsWith" dxfId="12750" priority="22500" operator="beginsWith" text="Lancement Projet fil rouge">
      <formula>LEFT(BH60,LEN("Lancement Projet fil rouge"))="Lancement Projet fil rouge"</formula>
    </cfRule>
    <cfRule type="beginsWith" dxfId="12749" priority="22501" operator="beginsWith" text="Vacances">
      <formula>LEFT(BH60,LEN("Vacances"))="Vacances"</formula>
    </cfRule>
    <cfRule type="beginsWith" dxfId="12748" priority="22502" operator="beginsWith" text="Séminaire d'intégration">
      <formula>LEFT(BH60,LEN("Séminaire d'intégration"))="Séminaire d'intégration"</formula>
    </cfRule>
    <cfRule type="beginsWith" dxfId="12747" priority="22503" operator="beginsWith" text="Accueil">
      <formula>LEFT(BH60,LEN("Accueil"))="Accueil"</formula>
    </cfRule>
    <cfRule type="beginsWith" dxfId="12746" priority="22504" operator="beginsWith" text="Stage">
      <formula>LEFT(BH60,LEN("Stage"))="Stage"</formula>
    </cfRule>
    <cfRule type="beginsWith" dxfId="12745" priority="22505" operator="beginsWith" text="Entreprise">
      <formula>LEFT(BH60,LEN("Entreprise"))="Entreprise"</formula>
    </cfRule>
    <cfRule type="beginsWith" dxfId="12744" priority="22506" operator="beginsWith" text="Voltaire">
      <formula>LEFT(BH60,LEN("Voltaire"))="Voltaire"</formula>
    </cfRule>
  </conditionalFormatting>
  <conditionalFormatting sqref="BH61">
    <cfRule type="beginsWith" dxfId="12743" priority="22483" operator="beginsWith" text="Projet professionnel : Séminaire PFI">
      <formula>LEFT(BH61,LEN("Projet professionnel : Séminaire PFI"))="Projet professionnel : Séminaire PFI"</formula>
    </cfRule>
    <cfRule type="beginsWith" dxfId="12742" priority="22484" operator="beginsWith" text="Lancement Projet fil rouge">
      <formula>LEFT(BH61,LEN("Lancement Projet fil rouge"))="Lancement Projet fil rouge"</formula>
    </cfRule>
    <cfRule type="beginsWith" dxfId="12741" priority="22485" operator="beginsWith" text="Vacances">
      <formula>LEFT(BH61,LEN("Vacances"))="Vacances"</formula>
    </cfRule>
    <cfRule type="beginsWith" dxfId="12740" priority="22486" operator="beginsWith" text="Séminaire d'intégration">
      <formula>LEFT(BH61,LEN("Séminaire d'intégration"))="Séminaire d'intégration"</formula>
    </cfRule>
    <cfRule type="beginsWith" dxfId="12739" priority="22487" operator="beginsWith" text="Accueil">
      <formula>LEFT(BH61,LEN("Accueil"))="Accueil"</formula>
    </cfRule>
    <cfRule type="beginsWith" dxfId="12738" priority="22488" operator="beginsWith" text="Stage">
      <formula>LEFT(BH61,LEN("Stage"))="Stage"</formula>
    </cfRule>
    <cfRule type="beginsWith" dxfId="12737" priority="22489" operator="beginsWith" text="Entreprise">
      <formula>LEFT(BH61,LEN("Entreprise"))="Entreprise"</formula>
    </cfRule>
    <cfRule type="beginsWith" dxfId="12736" priority="22490" operator="beginsWith" text="Voltaire">
      <formula>LEFT(BH61,LEN("Voltaire"))="Voltaire"</formula>
    </cfRule>
  </conditionalFormatting>
  <conditionalFormatting sqref="BH111">
    <cfRule type="beginsWith" dxfId="12735" priority="17453" operator="beginsWith" text="Projet professionnel : Séminaire PFI">
      <formula>LEFT(BH111,LEN("Projet professionnel : Séminaire PFI"))="Projet professionnel : Séminaire PFI"</formula>
    </cfRule>
    <cfRule type="beginsWith" dxfId="12734" priority="17454" operator="beginsWith" text="Lancement Projet fil rouge">
      <formula>LEFT(BH111,LEN("Lancement Projet fil rouge"))="Lancement Projet fil rouge"</formula>
    </cfRule>
    <cfRule type="beginsWith" dxfId="12733" priority="17455" operator="beginsWith" text="Vacances">
      <formula>LEFT(BH111,LEN("Vacances"))="Vacances"</formula>
    </cfRule>
    <cfRule type="beginsWith" dxfId="12732" priority="17456" operator="beginsWith" text="Séminaire d'intégration">
      <formula>LEFT(BH111,LEN("Séminaire d'intégration"))="Séminaire d'intégration"</formula>
    </cfRule>
    <cfRule type="beginsWith" dxfId="12731" priority="17457" operator="beginsWith" text="Accueil">
      <formula>LEFT(BH111,LEN("Accueil"))="Accueil"</formula>
    </cfRule>
    <cfRule type="beginsWith" dxfId="12730" priority="17458" operator="beginsWith" text="Stage">
      <formula>LEFT(BH111,LEN("Stage"))="Stage"</formula>
    </cfRule>
    <cfRule type="beginsWith" dxfId="12729" priority="17459" operator="beginsWith" text="Entreprise">
      <formula>LEFT(BH111,LEN("Entreprise"))="Entreprise"</formula>
    </cfRule>
    <cfRule type="beginsWith" dxfId="12728" priority="17460" operator="beginsWith" text="Voltaire">
      <formula>LEFT(BH111,LEN("Voltaire"))="Voltaire"</formula>
    </cfRule>
  </conditionalFormatting>
  <conditionalFormatting sqref="BH116">
    <cfRule type="beginsWith" dxfId="12727" priority="17437" operator="beginsWith" text="Projet professionnel : Séminaire PFI">
      <formula>LEFT(BH116,LEN("Projet professionnel : Séminaire PFI"))="Projet professionnel : Séminaire PFI"</formula>
    </cfRule>
    <cfRule type="beginsWith" dxfId="12726" priority="17438" operator="beginsWith" text="Lancement Projet fil rouge">
      <formula>LEFT(BH116,LEN("Lancement Projet fil rouge"))="Lancement Projet fil rouge"</formula>
    </cfRule>
    <cfRule type="beginsWith" dxfId="12725" priority="17439" operator="beginsWith" text="Vacances">
      <formula>LEFT(BH116,LEN("Vacances"))="Vacances"</formula>
    </cfRule>
    <cfRule type="beginsWith" dxfId="12724" priority="17440" operator="beginsWith" text="Séminaire d'intégration">
      <formula>LEFT(BH116,LEN("Séminaire d'intégration"))="Séminaire d'intégration"</formula>
    </cfRule>
    <cfRule type="beginsWith" dxfId="12723" priority="17441" operator="beginsWith" text="Accueil">
      <formula>LEFT(BH116,LEN("Accueil"))="Accueil"</formula>
    </cfRule>
    <cfRule type="beginsWith" dxfId="12722" priority="17442" operator="beginsWith" text="Stage">
      <formula>LEFT(BH116,LEN("Stage"))="Stage"</formula>
    </cfRule>
    <cfRule type="beginsWith" dxfId="12721" priority="17443" operator="beginsWith" text="Entreprise">
      <formula>LEFT(BH116,LEN("Entreprise"))="Entreprise"</formula>
    </cfRule>
    <cfRule type="beginsWith" dxfId="12720" priority="17444" operator="beginsWith" text="Voltaire">
      <formula>LEFT(BH116,LEN("Voltaire"))="Voltaire"</formula>
    </cfRule>
    <cfRule type="beginsWith" dxfId="12719" priority="17445" operator="beginsWith" text="Projet professionnel : Séminaire PFI">
      <formula>LEFT(BH116,LEN("Projet professionnel : Séminaire PFI"))="Projet professionnel : Séminaire PFI"</formula>
    </cfRule>
    <cfRule type="beginsWith" dxfId="12718" priority="17446" operator="beginsWith" text="Lancement Projet fil rouge">
      <formula>LEFT(BH116,LEN("Lancement Projet fil rouge"))="Lancement Projet fil rouge"</formula>
    </cfRule>
    <cfRule type="beginsWith" dxfId="12717" priority="17447" operator="beginsWith" text="Vacances">
      <formula>LEFT(BH116,LEN("Vacances"))="Vacances"</formula>
    </cfRule>
    <cfRule type="beginsWith" dxfId="12716" priority="17448" operator="beginsWith" text="Séminaire d'intégration">
      <formula>LEFT(BH116,LEN("Séminaire d'intégration"))="Séminaire d'intégration"</formula>
    </cfRule>
    <cfRule type="beginsWith" dxfId="12715" priority="17449" operator="beginsWith" text="Accueil">
      <formula>LEFT(BH116,LEN("Accueil"))="Accueil"</formula>
    </cfRule>
    <cfRule type="beginsWith" dxfId="12714" priority="17450" operator="beginsWith" text="Stage">
      <formula>LEFT(BH116,LEN("Stage"))="Stage"</formula>
    </cfRule>
    <cfRule type="beginsWith" dxfId="12713" priority="17451" operator="beginsWith" text="Entreprise">
      <formula>LEFT(BH116,LEN("Entreprise"))="Entreprise"</formula>
    </cfRule>
    <cfRule type="beginsWith" dxfId="12712" priority="17452" operator="beginsWith" text="Voltaire">
      <formula>LEFT(BH116,LEN("Voltaire"))="Voltaire"</formula>
    </cfRule>
  </conditionalFormatting>
  <conditionalFormatting sqref="BH126:BH130 BH136">
    <cfRule type="beginsWith" dxfId="12711" priority="17429" operator="beginsWith" text="Projet professionnel : Séminaire PFI">
      <formula>LEFT(BH126,LEN("Projet professionnel : Séminaire PFI"))="Projet professionnel : Séminaire PFI"</formula>
    </cfRule>
    <cfRule type="beginsWith" dxfId="12710" priority="17430" operator="beginsWith" text="Lancement Projet fil rouge">
      <formula>LEFT(BH126,LEN("Lancement Projet fil rouge"))="Lancement Projet fil rouge"</formula>
    </cfRule>
    <cfRule type="beginsWith" dxfId="12709" priority="17431" operator="beginsWith" text="Vacances">
      <formula>LEFT(BH126,LEN("Vacances"))="Vacances"</formula>
    </cfRule>
    <cfRule type="beginsWith" dxfId="12708" priority="17432" operator="beginsWith" text="Séminaire d'intégration">
      <formula>LEFT(BH126,LEN("Séminaire d'intégration"))="Séminaire d'intégration"</formula>
    </cfRule>
    <cfRule type="beginsWith" dxfId="12707" priority="17433" operator="beginsWith" text="Accueil">
      <formula>LEFT(BH126,LEN("Accueil"))="Accueil"</formula>
    </cfRule>
    <cfRule type="beginsWith" dxfId="12706" priority="17434" operator="beginsWith" text="Stage">
      <formula>LEFT(BH126,LEN("Stage"))="Stage"</formula>
    </cfRule>
    <cfRule type="beginsWith" dxfId="12705" priority="17435" operator="beginsWith" text="Entreprise">
      <formula>LEFT(BH126,LEN("Entreprise"))="Entreprise"</formula>
    </cfRule>
    <cfRule type="beginsWith" dxfId="12704" priority="17436" operator="beginsWith" text="Voltaire">
      <formula>LEFT(BH126,LEN("Voltaire"))="Voltaire"</formula>
    </cfRule>
  </conditionalFormatting>
  <conditionalFormatting sqref="BH131">
    <cfRule type="beginsWith" dxfId="12703" priority="17369" operator="beginsWith" text="Projet professionnel : Séminaire PFI">
      <formula>LEFT(BH131,LEN("Projet professionnel : Séminaire PFI"))="Projet professionnel : Séminaire PFI"</formula>
    </cfRule>
    <cfRule type="beginsWith" dxfId="12702" priority="17370" operator="beginsWith" text="Lancement Projet fil rouge">
      <formula>LEFT(BH131,LEN("Lancement Projet fil rouge"))="Lancement Projet fil rouge"</formula>
    </cfRule>
    <cfRule type="beginsWith" dxfId="12701" priority="17371" operator="beginsWith" text="Vacances">
      <formula>LEFT(BH131,LEN("Vacances"))="Vacances"</formula>
    </cfRule>
    <cfRule type="beginsWith" dxfId="12700" priority="17372" operator="beginsWith" text="Séminaire d'intégration">
      <formula>LEFT(BH131,LEN("Séminaire d'intégration"))="Séminaire d'intégration"</formula>
    </cfRule>
    <cfRule type="beginsWith" dxfId="12699" priority="17373" operator="beginsWith" text="Accueil">
      <formula>LEFT(BH131,LEN("Accueil"))="Accueil"</formula>
    </cfRule>
    <cfRule type="beginsWith" dxfId="12698" priority="17374" operator="beginsWith" text="Stage">
      <formula>LEFT(BH131,LEN("Stage"))="Stage"</formula>
    </cfRule>
    <cfRule type="beginsWith" dxfId="12697" priority="17375" operator="beginsWith" text="Entreprise">
      <formula>LEFT(BH131,LEN("Entreprise"))="Entreprise"</formula>
    </cfRule>
    <cfRule type="beginsWith" dxfId="12696" priority="17376" operator="beginsWith" text="Voltaire">
      <formula>LEFT(BH131,LEN("Voltaire"))="Voltaire"</formula>
    </cfRule>
    <cfRule type="beginsWith" dxfId="12695" priority="17377" operator="beginsWith" text="Projet professionnel : Séminaire PFI">
      <formula>LEFT(BH131,LEN("Projet professionnel : Séminaire PFI"))="Projet professionnel : Séminaire PFI"</formula>
    </cfRule>
    <cfRule type="beginsWith" dxfId="12694" priority="17378" operator="beginsWith" text="Lancement Projet fil rouge">
      <formula>LEFT(BH131,LEN("Lancement Projet fil rouge"))="Lancement Projet fil rouge"</formula>
    </cfRule>
    <cfRule type="beginsWith" dxfId="12693" priority="17379" operator="beginsWith" text="Vacances">
      <formula>LEFT(BH131,LEN("Vacances"))="Vacances"</formula>
    </cfRule>
    <cfRule type="beginsWith" dxfId="12692" priority="17380" operator="beginsWith" text="Séminaire d'intégration">
      <formula>LEFT(BH131,LEN("Séminaire d'intégration"))="Séminaire d'intégration"</formula>
    </cfRule>
    <cfRule type="beginsWith" dxfId="12691" priority="17381" operator="beginsWith" text="Accueil">
      <formula>LEFT(BH131,LEN("Accueil"))="Accueil"</formula>
    </cfRule>
    <cfRule type="beginsWith" dxfId="12690" priority="17382" operator="beginsWith" text="Stage">
      <formula>LEFT(BH131,LEN("Stage"))="Stage"</formula>
    </cfRule>
    <cfRule type="beginsWith" dxfId="12689" priority="17383" operator="beginsWith" text="Entreprise">
      <formula>LEFT(BH131,LEN("Entreprise"))="Entreprise"</formula>
    </cfRule>
    <cfRule type="beginsWith" dxfId="12688" priority="17384" operator="beginsWith" text="Voltaire">
      <formula>LEFT(BH131,LEN("Voltaire"))="Voltaire"</formula>
    </cfRule>
  </conditionalFormatting>
  <conditionalFormatting sqref="BH137:BH139">
    <cfRule type="beginsWith" dxfId="12687" priority="22218" operator="beginsWith" text="Projet professionnel : Séminaire PFI">
      <formula>LEFT(BH137,LEN("Projet professionnel : Séminaire PFI"))="Projet professionnel : Séminaire PFI"</formula>
    </cfRule>
    <cfRule type="beginsWith" dxfId="12686" priority="22219" operator="beginsWith" text="Lancement Projet fil rouge">
      <formula>LEFT(BH137,LEN("Lancement Projet fil rouge"))="Lancement Projet fil rouge"</formula>
    </cfRule>
    <cfRule type="beginsWith" dxfId="12685" priority="22220" operator="beginsWith" text="Vacances">
      <formula>LEFT(BH137,LEN("Vacances"))="Vacances"</formula>
    </cfRule>
    <cfRule type="beginsWith" dxfId="12684" priority="22221" operator="beginsWith" text="Séminaire d'intégration">
      <formula>LEFT(BH137,LEN("Séminaire d'intégration"))="Séminaire d'intégration"</formula>
    </cfRule>
    <cfRule type="beginsWith" dxfId="12683" priority="22222" operator="beginsWith" text="Accueil">
      <formula>LEFT(BH137,LEN("Accueil"))="Accueil"</formula>
    </cfRule>
    <cfRule type="beginsWith" dxfId="12682" priority="22223" operator="beginsWith" text="Stage">
      <formula>LEFT(BH137,LEN("Stage"))="Stage"</formula>
    </cfRule>
    <cfRule type="beginsWith" dxfId="12681" priority="22224" operator="beginsWith" text="Entreprise">
      <formula>LEFT(BH137,LEN("Entreprise"))="Entreprise"</formula>
    </cfRule>
    <cfRule type="beginsWith" dxfId="12680" priority="22225" operator="beginsWith" text="Voltaire">
      <formula>LEFT(BH137,LEN("Voltaire"))="Voltaire"</formula>
    </cfRule>
  </conditionalFormatting>
  <conditionalFormatting sqref="BH140:BH148">
    <cfRule type="beginsWith" dxfId="12679" priority="17361" operator="beginsWith" text="Projet professionnel : Séminaire PFI">
      <formula>LEFT(BH140,LEN("Projet professionnel : Séminaire PFI"))="Projet professionnel : Séminaire PFI"</formula>
    </cfRule>
    <cfRule type="beginsWith" dxfId="12678" priority="17362" operator="beginsWith" text="Lancement Projet fil rouge">
      <formula>LEFT(BH140,LEN("Lancement Projet fil rouge"))="Lancement Projet fil rouge"</formula>
    </cfRule>
    <cfRule type="beginsWith" dxfId="12677" priority="17363" operator="beginsWith" text="Vacances">
      <formula>LEFT(BH140,LEN("Vacances"))="Vacances"</formula>
    </cfRule>
    <cfRule type="beginsWith" dxfId="12676" priority="17364" operator="beginsWith" text="Séminaire d'intégration">
      <formula>LEFT(BH140,LEN("Séminaire d'intégration"))="Séminaire d'intégration"</formula>
    </cfRule>
    <cfRule type="beginsWith" dxfId="12675" priority="17365" operator="beginsWith" text="Accueil">
      <formula>LEFT(BH140,LEN("Accueil"))="Accueil"</formula>
    </cfRule>
    <cfRule type="beginsWith" dxfId="12674" priority="17366" operator="beginsWith" text="Stage">
      <formula>LEFT(BH140,LEN("Stage"))="Stage"</formula>
    </cfRule>
    <cfRule type="beginsWith" dxfId="12673" priority="17367" operator="beginsWith" text="Entreprise">
      <formula>LEFT(BH140,LEN("Entreprise"))="Entreprise"</formula>
    </cfRule>
    <cfRule type="beginsWith" dxfId="12672" priority="17368" operator="beginsWith" text="Voltaire">
      <formula>LEFT(BH140,LEN("Voltaire"))="Voltaire"</formula>
    </cfRule>
  </conditionalFormatting>
  <conditionalFormatting sqref="BH149:BH150">
    <cfRule type="beginsWith" dxfId="12671" priority="22475" operator="beginsWith" text="Projet professionnel : Séminaire PFI">
      <formula>LEFT(BH149,LEN("Projet professionnel : Séminaire PFI"))="Projet professionnel : Séminaire PFI"</formula>
    </cfRule>
    <cfRule type="beginsWith" dxfId="12670" priority="22476" operator="beginsWith" text="Lancement Projet fil rouge">
      <formula>LEFT(BH149,LEN("Lancement Projet fil rouge"))="Lancement Projet fil rouge"</formula>
    </cfRule>
    <cfRule type="beginsWith" dxfId="12669" priority="22477" operator="beginsWith" text="Vacances">
      <formula>LEFT(BH149,LEN("Vacances"))="Vacances"</formula>
    </cfRule>
    <cfRule type="beginsWith" dxfId="12668" priority="22478" operator="beginsWith" text="Séminaire d'intégration">
      <formula>LEFT(BH149,LEN("Séminaire d'intégration"))="Séminaire d'intégration"</formula>
    </cfRule>
    <cfRule type="beginsWith" dxfId="12667" priority="22479" operator="beginsWith" text="Accueil">
      <formula>LEFT(BH149,LEN("Accueil"))="Accueil"</formula>
    </cfRule>
    <cfRule type="beginsWith" dxfId="12666" priority="22480" operator="beginsWith" text="Stage">
      <formula>LEFT(BH149,LEN("Stage"))="Stage"</formula>
    </cfRule>
    <cfRule type="beginsWith" dxfId="12665" priority="22481" operator="beginsWith" text="Entreprise">
      <formula>LEFT(BH149,LEN("Entreprise"))="Entreprise"</formula>
    </cfRule>
    <cfRule type="beginsWith" dxfId="12664" priority="22482" operator="beginsWith" text="Voltaire">
      <formula>LEFT(BH149,LEN("Voltaire"))="Voltaire"</formula>
    </cfRule>
  </conditionalFormatting>
  <conditionalFormatting sqref="BH151">
    <cfRule type="beginsWith" dxfId="12663" priority="17298" operator="beginsWith" text="Projet professionnel : Séminaire PFI">
      <formula>LEFT(BH151,LEN("Projet professionnel : Séminaire PFI"))="Projet professionnel : Séminaire PFI"</formula>
    </cfRule>
    <cfRule type="beginsWith" dxfId="12662" priority="17299" operator="beginsWith" text="Lancement Projet fil rouge">
      <formula>LEFT(BH151,LEN("Lancement Projet fil rouge"))="Lancement Projet fil rouge"</formula>
    </cfRule>
    <cfRule type="beginsWith" dxfId="12661" priority="17300" operator="beginsWith" text="Vacances">
      <formula>LEFT(BH151,LEN("Vacances"))="Vacances"</formula>
    </cfRule>
    <cfRule type="beginsWith" dxfId="12660" priority="17301" operator="beginsWith" text="Séminaire d'intégration">
      <formula>LEFT(BH151,LEN("Séminaire d'intégration"))="Séminaire d'intégration"</formula>
    </cfRule>
    <cfRule type="beginsWith" dxfId="12659" priority="17302" operator="beginsWith" text="Accueil">
      <formula>LEFT(BH151,LEN("Accueil"))="Accueil"</formula>
    </cfRule>
    <cfRule type="beginsWith" dxfId="12658" priority="17303" operator="beginsWith" text="Stage">
      <formula>LEFT(BH151,LEN("Stage"))="Stage"</formula>
    </cfRule>
    <cfRule type="beginsWith" dxfId="12657" priority="17304" operator="beginsWith" text="Entreprise">
      <formula>LEFT(BH151,LEN("Entreprise"))="Entreprise"</formula>
    </cfRule>
    <cfRule type="beginsWith" dxfId="12656" priority="17305" operator="beginsWith" text="Voltaire">
      <formula>LEFT(BH151,LEN("Voltaire"))="Voltaire"</formula>
    </cfRule>
  </conditionalFormatting>
  <conditionalFormatting sqref="BH156:BH160">
    <cfRule type="beginsWith" dxfId="12655" priority="22236" operator="beginsWith" text="Projet professionnel : Séminaire PFI">
      <formula>LEFT(BH156,LEN("Projet professionnel : Séminaire PFI"))="Projet professionnel : Séminaire PFI"</formula>
    </cfRule>
    <cfRule type="beginsWith" dxfId="12654" priority="22237" operator="beginsWith" text="Lancement Projet fil rouge">
      <formula>LEFT(BH156,LEN("Lancement Projet fil rouge"))="Lancement Projet fil rouge"</formula>
    </cfRule>
    <cfRule type="beginsWith" dxfId="12653" priority="22238" operator="beginsWith" text="Vacances">
      <formula>LEFT(BH156,LEN("Vacances"))="Vacances"</formula>
    </cfRule>
    <cfRule type="beginsWith" dxfId="12652" priority="22239" operator="beginsWith" text="Séminaire d'intégration">
      <formula>LEFT(BH156,LEN("Séminaire d'intégration"))="Séminaire d'intégration"</formula>
    </cfRule>
    <cfRule type="beginsWith" dxfId="12651" priority="22240" operator="beginsWith" text="Accueil">
      <formula>LEFT(BH156,LEN("Accueil"))="Accueil"</formula>
    </cfRule>
    <cfRule type="beginsWith" dxfId="12650" priority="22241" operator="beginsWith" text="Stage">
      <formula>LEFT(BH156,LEN("Stage"))="Stage"</formula>
    </cfRule>
    <cfRule type="beginsWith" dxfId="12649" priority="22242" operator="beginsWith" text="Entreprise">
      <formula>LEFT(BH156,LEN("Entreprise"))="Entreprise"</formula>
    </cfRule>
    <cfRule type="beginsWith" dxfId="12648" priority="22243" operator="beginsWith" text="Voltaire">
      <formula>LEFT(BH156,LEN("Voltaire"))="Voltaire"</formula>
    </cfRule>
  </conditionalFormatting>
  <conditionalFormatting sqref="BH161">
    <cfRule type="beginsWith" dxfId="12647" priority="22244" operator="beginsWith" text="Projet professionnel : Séminaire PFI">
      <formula>LEFT(BH161,LEN("Projet professionnel : Séminaire PFI"))="Projet professionnel : Séminaire PFI"</formula>
    </cfRule>
    <cfRule type="beginsWith" dxfId="12646" priority="22245" operator="beginsWith" text="Lancement Projet fil rouge">
      <formula>LEFT(BH161,LEN("Lancement Projet fil rouge"))="Lancement Projet fil rouge"</formula>
    </cfRule>
    <cfRule type="beginsWith" dxfId="12645" priority="22246" operator="beginsWith" text="Vacances">
      <formula>LEFT(BH161,LEN("Vacances"))="Vacances"</formula>
    </cfRule>
    <cfRule type="beginsWith" dxfId="12644" priority="22247" operator="beginsWith" text="Séminaire d'intégration">
      <formula>LEFT(BH161,LEN("Séminaire d'intégration"))="Séminaire d'intégration"</formula>
    </cfRule>
    <cfRule type="beginsWith" dxfId="12643" priority="22248" operator="beginsWith" text="Accueil">
      <formula>LEFT(BH161,LEN("Accueil"))="Accueil"</formula>
    </cfRule>
    <cfRule type="beginsWith" dxfId="12642" priority="22249" operator="beginsWith" text="Stage">
      <formula>LEFT(BH161,LEN("Stage"))="Stage"</formula>
    </cfRule>
    <cfRule type="beginsWith" dxfId="12641" priority="22250" operator="beginsWith" text="Entreprise">
      <formula>LEFT(BH161,LEN("Entreprise"))="Entreprise"</formula>
    </cfRule>
    <cfRule type="beginsWith" dxfId="12640" priority="22251" operator="beginsWith" text="Voltaire">
      <formula>LEFT(BH161,LEN("Voltaire"))="Voltaire"</formula>
    </cfRule>
  </conditionalFormatting>
  <conditionalFormatting sqref="BH166:BH171">
    <cfRule type="beginsWith" dxfId="12639" priority="22290" operator="beginsWith" text="Projet professionnel : Séminaire PFI">
      <formula>LEFT(BH166,LEN("Projet professionnel : Séminaire PFI"))="Projet professionnel : Séminaire PFI"</formula>
    </cfRule>
    <cfRule type="beginsWith" dxfId="12638" priority="22291" operator="beginsWith" text="Lancement Projet fil rouge">
      <formula>LEFT(BH166,LEN("Lancement Projet fil rouge"))="Lancement Projet fil rouge"</formula>
    </cfRule>
    <cfRule type="beginsWith" dxfId="12637" priority="22292" operator="beginsWith" text="Vacances">
      <formula>LEFT(BH166,LEN("Vacances"))="Vacances"</formula>
    </cfRule>
    <cfRule type="beginsWith" dxfId="12636" priority="22293" operator="beginsWith" text="Séminaire d'intégration">
      <formula>LEFT(BH166,LEN("Séminaire d'intégration"))="Séminaire d'intégration"</formula>
    </cfRule>
    <cfRule type="beginsWith" dxfId="12635" priority="22294" operator="beginsWith" text="Accueil">
      <formula>LEFT(BH166,LEN("Accueil"))="Accueil"</formula>
    </cfRule>
    <cfRule type="beginsWith" dxfId="12634" priority="22295" operator="beginsWith" text="Stage">
      <formula>LEFT(BH166,LEN("Stage"))="Stage"</formula>
    </cfRule>
    <cfRule type="beginsWith" dxfId="12633" priority="22296" operator="beginsWith" text="Entreprise">
      <formula>LEFT(BH166,LEN("Entreprise"))="Entreprise"</formula>
    </cfRule>
    <cfRule type="beginsWith" dxfId="12632" priority="22297" operator="beginsWith" text="Voltaire">
      <formula>LEFT(BH166,LEN("Voltaire"))="Voltaire"</formula>
    </cfRule>
  </conditionalFormatting>
  <conditionalFormatting sqref="BH201">
    <cfRule type="beginsWith" dxfId="12631" priority="22467" operator="beginsWith" text="Projet professionnel : Séminaire PFI">
      <formula>LEFT(BH201,LEN("Projet professionnel : Séminaire PFI"))="Projet professionnel : Séminaire PFI"</formula>
    </cfRule>
    <cfRule type="beginsWith" dxfId="12630" priority="22468" operator="beginsWith" text="Lancement Projet fil rouge">
      <formula>LEFT(BH201,LEN("Lancement Projet fil rouge"))="Lancement Projet fil rouge"</formula>
    </cfRule>
    <cfRule type="beginsWith" dxfId="12629" priority="22469" operator="beginsWith" text="Vacances">
      <formula>LEFT(BH201,LEN("Vacances"))="Vacances"</formula>
    </cfRule>
    <cfRule type="beginsWith" dxfId="12628" priority="22470" operator="beginsWith" text="Séminaire d'intégration">
      <formula>LEFT(BH201,LEN("Séminaire d'intégration"))="Séminaire d'intégration"</formula>
    </cfRule>
    <cfRule type="beginsWith" dxfId="12627" priority="22471" operator="beginsWith" text="Accueil">
      <formula>LEFT(BH201,LEN("Accueil"))="Accueil"</formula>
    </cfRule>
    <cfRule type="beginsWith" dxfId="12626" priority="22472" operator="beginsWith" text="Stage">
      <formula>LEFT(BH201,LEN("Stage"))="Stage"</formula>
    </cfRule>
    <cfRule type="beginsWith" dxfId="12625" priority="22473" operator="beginsWith" text="Entreprise">
      <formula>LEFT(BH201,LEN("Entreprise"))="Entreprise"</formula>
    </cfRule>
    <cfRule type="beginsWith" dxfId="12624" priority="22474" operator="beginsWith" text="Voltaire">
      <formula>LEFT(BH201,LEN("Voltaire"))="Voltaire"</formula>
    </cfRule>
  </conditionalFormatting>
  <conditionalFormatting sqref="BH216">
    <cfRule type="beginsWith" dxfId="12623" priority="14730" operator="beginsWith" text="Projet professionnel : Séminaire PFI">
      <formula>LEFT(BH216,LEN("Projet professionnel : Séminaire PFI"))="Projet professionnel : Séminaire PFI"</formula>
    </cfRule>
    <cfRule type="beginsWith" dxfId="12622" priority="14731" operator="beginsWith" text="Lancement Projet fil rouge">
      <formula>LEFT(BH216,LEN("Lancement Projet fil rouge"))="Lancement Projet fil rouge"</formula>
    </cfRule>
    <cfRule type="beginsWith" dxfId="12621" priority="14732" operator="beginsWith" text="Vacances">
      <formula>LEFT(BH216,LEN("Vacances"))="Vacances"</formula>
    </cfRule>
    <cfRule type="beginsWith" dxfId="12620" priority="14733" operator="beginsWith" text="Séminaire d'intégration">
      <formula>LEFT(BH216,LEN("Séminaire d'intégration"))="Séminaire d'intégration"</formula>
    </cfRule>
    <cfRule type="beginsWith" dxfId="12619" priority="14734" operator="beginsWith" text="Accueil">
      <formula>LEFT(BH216,LEN("Accueil"))="Accueil"</formula>
    </cfRule>
    <cfRule type="beginsWith" dxfId="12618" priority="14735" operator="beginsWith" text="Stage">
      <formula>LEFT(BH216,LEN("Stage"))="Stage"</formula>
    </cfRule>
    <cfRule type="beginsWith" dxfId="12617" priority="14736" operator="beginsWith" text="Entreprise">
      <formula>LEFT(BH216,LEN("Entreprise"))="Entreprise"</formula>
    </cfRule>
    <cfRule type="beginsWith" dxfId="12616" priority="14737" operator="beginsWith" text="Voltaire">
      <formula>LEFT(BH216,LEN("Voltaire"))="Voltaire"</formula>
    </cfRule>
  </conditionalFormatting>
  <conditionalFormatting sqref="BH221">
    <cfRule type="beginsWith" dxfId="12615" priority="14722" operator="beginsWith" text="Projet professionnel : Séminaire PFI">
      <formula>LEFT(BH221,LEN("Projet professionnel : Séminaire PFI"))="Projet professionnel : Séminaire PFI"</formula>
    </cfRule>
    <cfRule type="beginsWith" dxfId="12614" priority="14723" operator="beginsWith" text="Lancement Projet fil rouge">
      <formula>LEFT(BH221,LEN("Lancement Projet fil rouge"))="Lancement Projet fil rouge"</formula>
    </cfRule>
    <cfRule type="beginsWith" dxfId="12613" priority="14724" operator="beginsWith" text="Vacances">
      <formula>LEFT(BH221,LEN("Vacances"))="Vacances"</formula>
    </cfRule>
    <cfRule type="beginsWith" dxfId="12612" priority="14725" operator="beginsWith" text="Séminaire d'intégration">
      <formula>LEFT(BH221,LEN("Séminaire d'intégration"))="Séminaire d'intégration"</formula>
    </cfRule>
    <cfRule type="beginsWith" dxfId="12611" priority="14726" operator="beginsWith" text="Accueil">
      <formula>LEFT(BH221,LEN("Accueil"))="Accueil"</formula>
    </cfRule>
    <cfRule type="beginsWith" dxfId="12610" priority="14727" operator="beginsWith" text="Stage">
      <formula>LEFT(BH221,LEN("Stage"))="Stage"</formula>
    </cfRule>
    <cfRule type="beginsWith" dxfId="12609" priority="14728" operator="beginsWith" text="Entreprise">
      <formula>LEFT(BH221,LEN("Entreprise"))="Entreprise"</formula>
    </cfRule>
    <cfRule type="beginsWith" dxfId="12608" priority="14729" operator="beginsWith" text="Voltaire">
      <formula>LEFT(BH221,LEN("Voltaire"))="Voltaire"</formula>
    </cfRule>
  </conditionalFormatting>
  <conditionalFormatting sqref="BH249:BH252">
    <cfRule type="beginsWith" dxfId="12607" priority="22459" operator="beginsWith" text="Projet professionnel : Séminaire PFI">
      <formula>LEFT(BH249,LEN("Projet professionnel : Séminaire PFI"))="Projet professionnel : Séminaire PFI"</formula>
    </cfRule>
    <cfRule type="beginsWith" dxfId="12606" priority="22460" operator="beginsWith" text="Lancement Projet fil rouge">
      <formula>LEFT(BH249,LEN("Lancement Projet fil rouge"))="Lancement Projet fil rouge"</formula>
    </cfRule>
    <cfRule type="beginsWith" dxfId="12605" priority="22461" operator="beginsWith" text="Vacances">
      <formula>LEFT(BH249,LEN("Vacances"))="Vacances"</formula>
    </cfRule>
    <cfRule type="beginsWith" dxfId="12604" priority="22462" operator="beginsWith" text="Séminaire d'intégration">
      <formula>LEFT(BH249,LEN("Séminaire d'intégration"))="Séminaire d'intégration"</formula>
    </cfRule>
    <cfRule type="beginsWith" dxfId="12603" priority="22463" operator="beginsWith" text="Accueil">
      <formula>LEFT(BH249,LEN("Accueil"))="Accueil"</formula>
    </cfRule>
    <cfRule type="beginsWith" dxfId="12602" priority="22464" operator="beginsWith" text="Stage">
      <formula>LEFT(BH249,LEN("Stage"))="Stage"</formula>
    </cfRule>
    <cfRule type="beginsWith" dxfId="12601" priority="22465" operator="beginsWith" text="Entreprise">
      <formula>LEFT(BH249,LEN("Entreprise"))="Entreprise"</formula>
    </cfRule>
    <cfRule type="beginsWith" dxfId="12600" priority="22466" operator="beginsWith" text="Voltaire">
      <formula>LEFT(BH249,LEN("Voltaire"))="Voltaire"</formula>
    </cfRule>
  </conditionalFormatting>
  <conditionalFormatting sqref="BI6:BI10">
    <cfRule type="beginsWith" dxfId="12599" priority="18075" operator="beginsWith" text="Lancement Projet fil rouge">
      <formula>LEFT(BI6,LEN("Lancement Projet fil rouge"))="Lancement Projet fil rouge"</formula>
    </cfRule>
    <cfRule type="beginsWith" dxfId="12598" priority="18076" operator="beginsWith" text="Vacances">
      <formula>LEFT(BI6,LEN("Vacances"))="Vacances"</formula>
    </cfRule>
    <cfRule type="beginsWith" dxfId="12597" priority="18077" operator="beginsWith" text="Séminaire d'intégration">
      <formula>LEFT(BI6,LEN("Séminaire d'intégration"))="Séminaire d'intégration"</formula>
    </cfRule>
    <cfRule type="beginsWith" dxfId="12596" priority="18078" operator="beginsWith" text="Accueil">
      <formula>LEFT(BI6,LEN("Accueil"))="Accueil"</formula>
    </cfRule>
    <cfRule type="beginsWith" dxfId="12595" priority="18079" operator="beginsWith" text="Stage">
      <formula>LEFT(BI6,LEN("Stage"))="Stage"</formula>
    </cfRule>
    <cfRule type="beginsWith" dxfId="12594" priority="18080" operator="beginsWith" text="Entreprise">
      <formula>LEFT(BI6,LEN("Entreprise"))="Entreprise"</formula>
    </cfRule>
    <cfRule type="beginsWith" dxfId="12593" priority="18081" operator="beginsWith" text="Voltaire">
      <formula>LEFT(BI6,LEN("Voltaire"))="Voltaire"</formula>
    </cfRule>
  </conditionalFormatting>
  <conditionalFormatting sqref="BI26">
    <cfRule type="beginsWith" dxfId="12592" priority="16648" operator="beginsWith" text="Lancement Projet fil rouge">
      <formula>LEFT(BI26,LEN("Lancement Projet fil rouge"))="Lancement Projet fil rouge"</formula>
    </cfRule>
    <cfRule type="beginsWith" dxfId="12591" priority="16649" operator="beginsWith" text="Vacances">
      <formula>LEFT(BI26,LEN("Vacances"))="Vacances"</formula>
    </cfRule>
    <cfRule type="beginsWith" dxfId="12590" priority="16650" operator="beginsWith" text="Séminaire d'intégration">
      <formula>LEFT(BI26,LEN("Séminaire d'intégration"))="Séminaire d'intégration"</formula>
    </cfRule>
    <cfRule type="beginsWith" dxfId="12589" priority="16651" operator="beginsWith" text="Accueil">
      <formula>LEFT(BI26,LEN("Accueil"))="Accueil"</formula>
    </cfRule>
    <cfRule type="beginsWith" dxfId="12588" priority="16652" operator="beginsWith" text="Stage">
      <formula>LEFT(BI26,LEN("Stage"))="Stage"</formula>
    </cfRule>
    <cfRule type="beginsWith" dxfId="12587" priority="16653" operator="beginsWith" text="Entreprise">
      <formula>LEFT(BI26,LEN("Entreprise"))="Entreprise"</formula>
    </cfRule>
    <cfRule type="beginsWith" dxfId="12586" priority="16654" operator="beginsWith" text="Voltaire">
      <formula>LEFT(BI26,LEN("Voltaire"))="Voltaire"</formula>
    </cfRule>
  </conditionalFormatting>
  <conditionalFormatting sqref="BI126">
    <cfRule type="beginsWith" dxfId="12585" priority="17422" operator="beginsWith" text="Lancement Projet fil rouge">
      <formula>LEFT(BI126,LEN("Lancement Projet fil rouge"))="Lancement Projet fil rouge"</formula>
    </cfRule>
    <cfRule type="beginsWith" dxfId="12584" priority="17423" operator="beginsWith" text="Vacances">
      <formula>LEFT(BI126,LEN("Vacances"))="Vacances"</formula>
    </cfRule>
    <cfRule type="beginsWith" dxfId="12583" priority="17424" operator="beginsWith" text="Séminaire d'intégration">
      <formula>LEFT(BI126,LEN("Séminaire d'intégration"))="Séminaire d'intégration"</formula>
    </cfRule>
    <cfRule type="beginsWith" dxfId="12582" priority="17425" operator="beginsWith" text="Accueil">
      <formula>LEFT(BI126,LEN("Accueil"))="Accueil"</formula>
    </cfRule>
    <cfRule type="beginsWith" dxfId="12581" priority="17426" operator="beginsWith" text="Stage">
      <formula>LEFT(BI126,LEN("Stage"))="Stage"</formula>
    </cfRule>
    <cfRule type="beginsWith" dxfId="12580" priority="17427" operator="beginsWith" text="Entreprise">
      <formula>LEFT(BI126,LEN("Entreprise"))="Entreprise"</formula>
    </cfRule>
    <cfRule type="beginsWith" dxfId="12579" priority="17428" operator="beginsWith" text="Voltaire">
      <formula>LEFT(BI126,LEN("Voltaire"))="Voltaire"</formula>
    </cfRule>
  </conditionalFormatting>
  <conditionalFormatting sqref="BI131:BI132">
    <cfRule type="beginsWith" dxfId="12578" priority="17385" operator="beginsWith" text="Lancement Projet fil rouge">
      <formula>LEFT(BI131,LEN("Lancement Projet fil rouge"))="Lancement Projet fil rouge"</formula>
    </cfRule>
    <cfRule type="beginsWith" dxfId="12577" priority="17386" operator="beginsWith" text="Vacances">
      <formula>LEFT(BI131,LEN("Vacances"))="Vacances"</formula>
    </cfRule>
    <cfRule type="beginsWith" dxfId="12576" priority="17387" operator="beginsWith" text="Séminaire d'intégration">
      <formula>LEFT(BI131,LEN("Séminaire d'intégration"))="Séminaire d'intégration"</formula>
    </cfRule>
    <cfRule type="beginsWith" dxfId="12575" priority="17388" operator="beginsWith" text="Accueil">
      <formula>LEFT(BI131,LEN("Accueil"))="Accueil"</formula>
    </cfRule>
    <cfRule type="beginsWith" dxfId="12574" priority="17389" operator="beginsWith" text="Stage">
      <formula>LEFT(BI131,LEN("Stage"))="Stage"</formula>
    </cfRule>
    <cfRule type="beginsWith" dxfId="12573" priority="17390" operator="beginsWith" text="Entreprise">
      <formula>LEFT(BI131,LEN("Entreprise"))="Entreprise"</formula>
    </cfRule>
    <cfRule type="beginsWith" dxfId="12572" priority="17391" operator="beginsWith" text="Voltaire">
      <formula>LEFT(BI131,LEN("Voltaire"))="Voltaire"</formula>
    </cfRule>
  </conditionalFormatting>
  <conditionalFormatting sqref="BI136">
    <cfRule type="beginsWith" dxfId="12571" priority="17316" operator="beginsWith" text="Lancement Projet fil rouge">
      <formula>LEFT(BI136,LEN("Lancement Projet fil rouge"))="Lancement Projet fil rouge"</formula>
    </cfRule>
    <cfRule type="beginsWith" dxfId="12570" priority="17317" operator="beginsWith" text="Vacances">
      <formula>LEFT(BI136,LEN("Vacances"))="Vacances"</formula>
    </cfRule>
    <cfRule type="beginsWith" dxfId="12569" priority="17318" operator="beginsWith" text="Séminaire d'intégration">
      <formula>LEFT(BI136,LEN("Séminaire d'intégration"))="Séminaire d'intégration"</formula>
    </cfRule>
    <cfRule type="beginsWith" dxfId="12568" priority="17319" operator="beginsWith" text="Accueil">
      <formula>LEFT(BI136,LEN("Accueil"))="Accueil"</formula>
    </cfRule>
    <cfRule type="beginsWith" dxfId="12567" priority="17320" operator="beginsWith" text="Stage">
      <formula>LEFT(BI136,LEN("Stage"))="Stage"</formula>
    </cfRule>
    <cfRule type="beginsWith" dxfId="12566" priority="17321" operator="beginsWith" text="Entreprise">
      <formula>LEFT(BI136,LEN("Entreprise"))="Entreprise"</formula>
    </cfRule>
    <cfRule type="beginsWith" dxfId="12565" priority="17322" operator="beginsWith" text="Voltaire">
      <formula>LEFT(BI136,LEN("Voltaire"))="Voltaire"</formula>
    </cfRule>
  </conditionalFormatting>
  <conditionalFormatting sqref="BI151:BI155">
    <cfRule type="beginsWith" dxfId="12564" priority="11050" operator="beginsWith" text="Lancement Projet fil rouge">
      <formula>LEFT(BI151,LEN("Lancement Projet fil rouge"))="Lancement Projet fil rouge"</formula>
    </cfRule>
    <cfRule type="beginsWith" dxfId="12563" priority="11051" operator="beginsWith" text="Vacances">
      <formula>LEFT(BI151,LEN("Vacances"))="Vacances"</formula>
    </cfRule>
    <cfRule type="beginsWith" dxfId="12562" priority="11052" operator="beginsWith" text="Séminaire d'intégration">
      <formula>LEFT(BI151,LEN("Séminaire d'intégration"))="Séminaire d'intégration"</formula>
    </cfRule>
    <cfRule type="beginsWith" dxfId="12561" priority="11053" operator="beginsWith" text="Accueil">
      <formula>LEFT(BI151,LEN("Accueil"))="Accueil"</formula>
    </cfRule>
    <cfRule type="beginsWith" dxfId="12560" priority="11054" operator="beginsWith" text="Stage">
      <formula>LEFT(BI151,LEN("Stage"))="Stage"</formula>
    </cfRule>
    <cfRule type="beginsWith" dxfId="12559" priority="11055" operator="beginsWith" text="Entreprise">
      <formula>LEFT(BI151,LEN("Entreprise"))="Entreprise"</formula>
    </cfRule>
    <cfRule type="beginsWith" dxfId="12558" priority="11056" operator="beginsWith" text="Voltaire">
      <formula>LEFT(BI151,LEN("Voltaire"))="Voltaire"</formula>
    </cfRule>
  </conditionalFormatting>
  <conditionalFormatting sqref="BI156">
    <cfRule type="beginsWith" dxfId="12557" priority="17291" operator="beginsWith" text="Lancement Projet fil rouge">
      <formula>LEFT(BI156,LEN("Lancement Projet fil rouge"))="Lancement Projet fil rouge"</formula>
    </cfRule>
    <cfRule type="beginsWith" dxfId="12556" priority="17292" operator="beginsWith" text="Vacances">
      <formula>LEFT(BI156,LEN("Vacances"))="Vacances"</formula>
    </cfRule>
    <cfRule type="beginsWith" dxfId="12555" priority="17293" operator="beginsWith" text="Séminaire d'intégration">
      <formula>LEFT(BI156,LEN("Séminaire d'intégration"))="Séminaire d'intégration"</formula>
    </cfRule>
    <cfRule type="beginsWith" dxfId="12554" priority="17294" operator="beginsWith" text="Accueil">
      <formula>LEFT(BI156,LEN("Accueil"))="Accueil"</formula>
    </cfRule>
    <cfRule type="beginsWith" dxfId="12553" priority="17295" operator="beginsWith" text="Stage">
      <formula>LEFT(BI156,LEN("Stage"))="Stage"</formula>
    </cfRule>
    <cfRule type="beginsWith" dxfId="12552" priority="17296" operator="beginsWith" text="Entreprise">
      <formula>LEFT(BI156,LEN("Entreprise"))="Entreprise"</formula>
    </cfRule>
    <cfRule type="beginsWith" dxfId="12551" priority="17297" operator="beginsWith" text="Voltaire">
      <formula>LEFT(BI156,LEN("Voltaire"))="Voltaire"</formula>
    </cfRule>
  </conditionalFormatting>
  <conditionalFormatting sqref="BI186">
    <cfRule type="beginsWith" dxfId="12550" priority="17284" operator="beginsWith" text="Lancement Projet fil rouge">
      <formula>LEFT(BI186,LEN("Lancement Projet fil rouge"))="Lancement Projet fil rouge"</formula>
    </cfRule>
    <cfRule type="beginsWith" dxfId="12549" priority="17285" operator="beginsWith" text="Vacances">
      <formula>LEFT(BI186,LEN("Vacances"))="Vacances"</formula>
    </cfRule>
    <cfRule type="beginsWith" dxfId="12548" priority="17286" operator="beginsWith" text="Séminaire d'intégration">
      <formula>LEFT(BI186,LEN("Séminaire d'intégration"))="Séminaire d'intégration"</formula>
    </cfRule>
    <cfRule type="beginsWith" dxfId="12547" priority="17287" operator="beginsWith" text="Accueil">
      <formula>LEFT(BI186,LEN("Accueil"))="Accueil"</formula>
    </cfRule>
    <cfRule type="beginsWith" dxfId="12546" priority="17288" operator="beginsWith" text="Stage">
      <formula>LEFT(BI186,LEN("Stage"))="Stage"</formula>
    </cfRule>
    <cfRule type="beginsWith" dxfId="12545" priority="17289" operator="beginsWith" text="Entreprise">
      <formula>LEFT(BI186,LEN("Entreprise"))="Entreprise"</formula>
    </cfRule>
    <cfRule type="beginsWith" dxfId="12544" priority="17290" operator="beginsWith" text="Voltaire">
      <formula>LEFT(BI186,LEN("Voltaire"))="Voltaire"</formula>
    </cfRule>
  </conditionalFormatting>
  <conditionalFormatting sqref="BI191">
    <cfRule type="beginsWith" dxfId="12543" priority="17257" operator="beginsWith" text="Lancement Projet fil rouge">
      <formula>LEFT(BI191,LEN("Lancement Projet fil rouge"))="Lancement Projet fil rouge"</formula>
    </cfRule>
    <cfRule type="beginsWith" dxfId="12542" priority="17258" operator="beginsWith" text="Vacances">
      <formula>LEFT(BI191,LEN("Vacances"))="Vacances"</formula>
    </cfRule>
    <cfRule type="beginsWith" dxfId="12541" priority="17259" operator="beginsWith" text="Séminaire d'intégration">
      <formula>LEFT(BI191,LEN("Séminaire d'intégration"))="Séminaire d'intégration"</formula>
    </cfRule>
    <cfRule type="beginsWith" dxfId="12540" priority="17260" operator="beginsWith" text="Accueil">
      <formula>LEFT(BI191,LEN("Accueil"))="Accueil"</formula>
    </cfRule>
    <cfRule type="beginsWith" dxfId="12539" priority="17261" operator="beginsWith" text="Stage">
      <formula>LEFT(BI191,LEN("Stage"))="Stage"</formula>
    </cfRule>
    <cfRule type="beginsWith" dxfId="12538" priority="17262" operator="beginsWith" text="Entreprise">
      <formula>LEFT(BI191,LEN("Entreprise"))="Entreprise"</formula>
    </cfRule>
    <cfRule type="beginsWith" dxfId="12537" priority="17263" operator="beginsWith" text="Voltaire">
      <formula>LEFT(BI191,LEN("Voltaire"))="Voltaire"</formula>
    </cfRule>
  </conditionalFormatting>
  <conditionalFormatting sqref="BI196">
    <cfRule type="beginsWith" dxfId="12536" priority="17220" operator="beginsWith" text="Lancement Projet fil rouge">
      <formula>LEFT(BI196,LEN("Lancement Projet fil rouge"))="Lancement Projet fil rouge"</formula>
    </cfRule>
    <cfRule type="beginsWith" dxfId="12535" priority="17221" operator="beginsWith" text="Vacances">
      <formula>LEFT(BI196,LEN("Vacances"))="Vacances"</formula>
    </cfRule>
    <cfRule type="beginsWith" dxfId="12534" priority="17222" operator="beginsWith" text="Séminaire d'intégration">
      <formula>LEFT(BI196,LEN("Séminaire d'intégration"))="Séminaire d'intégration"</formula>
    </cfRule>
    <cfRule type="beginsWith" dxfId="12533" priority="17223" operator="beginsWith" text="Accueil">
      <formula>LEFT(BI196,LEN("Accueil"))="Accueil"</formula>
    </cfRule>
    <cfRule type="beginsWith" dxfId="12532" priority="17224" operator="beginsWith" text="Stage">
      <formula>LEFT(BI196,LEN("Stage"))="Stage"</formula>
    </cfRule>
    <cfRule type="beginsWith" dxfId="12531" priority="17225" operator="beginsWith" text="Entreprise">
      <formula>LEFT(BI196,LEN("Entreprise"))="Entreprise"</formula>
    </cfRule>
    <cfRule type="beginsWith" dxfId="12530" priority="17226" operator="beginsWith" text="Voltaire">
      <formula>LEFT(BI196,LEN("Voltaire"))="Voltaire"</formula>
    </cfRule>
  </conditionalFormatting>
  <conditionalFormatting sqref="BI201">
    <cfRule type="beginsWith" dxfId="12529" priority="17213" operator="beginsWith" text="Lancement Projet fil rouge">
      <formula>LEFT(BI201,LEN("Lancement Projet fil rouge"))="Lancement Projet fil rouge"</formula>
    </cfRule>
    <cfRule type="beginsWith" dxfId="12528" priority="17214" operator="beginsWith" text="Vacances">
      <formula>LEFT(BI201,LEN("Vacances"))="Vacances"</formula>
    </cfRule>
    <cfRule type="beginsWith" dxfId="12527" priority="17215" operator="beginsWith" text="Séminaire d'intégration">
      <formula>LEFT(BI201,LEN("Séminaire d'intégration"))="Séminaire d'intégration"</formula>
    </cfRule>
    <cfRule type="beginsWith" dxfId="12526" priority="17216" operator="beginsWith" text="Accueil">
      <formula>LEFT(BI201,LEN("Accueil"))="Accueil"</formula>
    </cfRule>
    <cfRule type="beginsWith" dxfId="12525" priority="17217" operator="beginsWith" text="Stage">
      <formula>LEFT(BI201,LEN("Stage"))="Stage"</formula>
    </cfRule>
    <cfRule type="beginsWith" dxfId="12524" priority="17218" operator="beginsWith" text="Entreprise">
      <formula>LEFT(BI201,LEN("Entreprise"))="Entreprise"</formula>
    </cfRule>
    <cfRule type="beginsWith" dxfId="12523" priority="17219" operator="beginsWith" text="Voltaire">
      <formula>LEFT(BI201,LEN("Voltaire"))="Voltaire"</formula>
    </cfRule>
  </conditionalFormatting>
  <conditionalFormatting sqref="BI206">
    <cfRule type="beginsWith" dxfId="12522" priority="22391" operator="beginsWith" text="Lancement Projet fil rouge">
      <formula>LEFT(BI206,LEN("Lancement Projet fil rouge"))="Lancement Projet fil rouge"</formula>
    </cfRule>
    <cfRule type="beginsWith" dxfId="12521" priority="22392" operator="beginsWith" text="Vacances">
      <formula>LEFT(BI206,LEN("Vacances"))="Vacances"</formula>
    </cfRule>
    <cfRule type="beginsWith" dxfId="12520" priority="22393" operator="beginsWith" text="Séminaire d'intégration">
      <formula>LEFT(BI206,LEN("Séminaire d'intégration"))="Séminaire d'intégration"</formula>
    </cfRule>
    <cfRule type="beginsWith" dxfId="12519" priority="22394" operator="beginsWith" text="Accueil">
      <formula>LEFT(BI206,LEN("Accueil"))="Accueil"</formula>
    </cfRule>
    <cfRule type="beginsWith" dxfId="12518" priority="22395" operator="beginsWith" text="Stage">
      <formula>LEFT(BI206,LEN("Stage"))="Stage"</formula>
    </cfRule>
    <cfRule type="beginsWith" dxfId="12517" priority="22396" operator="beginsWith" text="Entreprise">
      <formula>LEFT(BI206,LEN("Entreprise"))="Entreprise"</formula>
    </cfRule>
    <cfRule type="beginsWith" dxfId="12516" priority="22397" operator="beginsWith" text="Voltaire">
      <formula>LEFT(BI206,LEN("Voltaire"))="Voltaire"</formula>
    </cfRule>
  </conditionalFormatting>
  <conditionalFormatting sqref="BI207">
    <cfRule type="beginsWith" dxfId="12515" priority="19604" operator="beginsWith" text="Lancement Projet fil rouge">
      <formula>LEFT(BI207,LEN("Lancement Projet fil rouge"))="Lancement Projet fil rouge"</formula>
    </cfRule>
    <cfRule type="beginsWith" dxfId="12514" priority="19605" operator="beginsWith" text="Vacances">
      <formula>LEFT(BI207,LEN("Vacances"))="Vacances"</formula>
    </cfRule>
    <cfRule type="beginsWith" dxfId="12513" priority="19606" operator="beginsWith" text="Séminaire d'intégration">
      <formula>LEFT(BI207,LEN("Séminaire d'intégration"))="Séminaire d'intégration"</formula>
    </cfRule>
    <cfRule type="beginsWith" dxfId="12512" priority="19607" operator="beginsWith" text="Accueil">
      <formula>LEFT(BI207,LEN("Accueil"))="Accueil"</formula>
    </cfRule>
    <cfRule type="beginsWith" dxfId="12511" priority="19608" operator="beginsWith" text="Stage">
      <formula>LEFT(BI207,LEN("Stage"))="Stage"</formula>
    </cfRule>
    <cfRule type="beginsWith" dxfId="12510" priority="19609" operator="beginsWith" text="Entreprise">
      <formula>LEFT(BI207,LEN("Entreprise"))="Entreprise"</formula>
    </cfRule>
    <cfRule type="beginsWith" dxfId="12509" priority="19610" operator="beginsWith" text="Voltaire">
      <formula>LEFT(BI207,LEN("Voltaire"))="Voltaire"</formula>
    </cfRule>
  </conditionalFormatting>
  <conditionalFormatting sqref="BI221">
    <cfRule type="beginsWith" dxfId="12508" priority="17185" operator="beginsWith" text="Lancement Projet fil rouge">
      <formula>LEFT(BI221,LEN("Lancement Projet fil rouge"))="Lancement Projet fil rouge"</formula>
    </cfRule>
    <cfRule type="beginsWith" dxfId="12507" priority="17186" operator="beginsWith" text="Vacances">
      <formula>LEFT(BI221,LEN("Vacances"))="Vacances"</formula>
    </cfRule>
    <cfRule type="beginsWith" dxfId="12506" priority="17187" operator="beginsWith" text="Séminaire d'intégration">
      <formula>LEFT(BI221,LEN("Séminaire d'intégration"))="Séminaire d'intégration"</formula>
    </cfRule>
    <cfRule type="beginsWith" dxfId="12505" priority="17188" operator="beginsWith" text="Accueil">
      <formula>LEFT(BI221,LEN("Accueil"))="Accueil"</formula>
    </cfRule>
    <cfRule type="beginsWith" dxfId="12504" priority="17189" operator="beginsWith" text="Stage">
      <formula>LEFT(BI221,LEN("Stage"))="Stage"</formula>
    </cfRule>
    <cfRule type="beginsWith" dxfId="12503" priority="17190" operator="beginsWith" text="Entreprise">
      <formula>LEFT(BI221,LEN("Entreprise"))="Entreprise"</formula>
    </cfRule>
    <cfRule type="beginsWith" dxfId="12502" priority="17191" operator="beginsWith" text="Voltaire">
      <formula>LEFT(BI221,LEN("Voltaire"))="Voltaire"</formula>
    </cfRule>
  </conditionalFormatting>
  <conditionalFormatting sqref="BI181:BL185">
    <cfRule type="beginsWith" dxfId="12501" priority="22435" operator="beginsWith" text="Lancement Projet fil rouge">
      <formula>LEFT(BI181,LEN("Lancement Projet fil rouge"))="Lancement Projet fil rouge"</formula>
    </cfRule>
    <cfRule type="beginsWith" dxfId="12500" priority="22436" operator="beginsWith" text="Vacances">
      <formula>LEFT(BI181,LEN("Vacances"))="Vacances"</formula>
    </cfRule>
    <cfRule type="beginsWith" dxfId="12499" priority="22437" operator="beginsWith" text="Séminaire d'intégration">
      <formula>LEFT(BI181,LEN("Séminaire d'intégration"))="Séminaire d'intégration"</formula>
    </cfRule>
    <cfRule type="beginsWith" dxfId="12498" priority="22438" operator="beginsWith" text="Accueil">
      <formula>LEFT(BI181,LEN("Accueil"))="Accueil"</formula>
    </cfRule>
    <cfRule type="beginsWith" dxfId="12497" priority="22441" operator="beginsWith" text="Stage">
      <formula>LEFT(BI181,LEN("Stage"))="Stage"</formula>
    </cfRule>
    <cfRule type="beginsWith" dxfId="12496" priority="22442" operator="beginsWith" text="Entreprise">
      <formula>LEFT(BI181,LEN("Entreprise"))="Entreprise"</formula>
    </cfRule>
    <cfRule type="beginsWith" dxfId="12495" priority="22444" operator="beginsWith" text="Voltaire">
      <formula>LEFT(BI181,LEN("Voltaire"))="Voltaire"</formula>
    </cfRule>
  </conditionalFormatting>
  <conditionalFormatting sqref="BJ136:BJ140">
    <cfRule type="beginsWith" dxfId="12494" priority="17354" operator="beginsWith" text="Lancement Projet fil rouge">
      <formula>LEFT(BJ136,LEN("Lancement Projet fil rouge"))="Lancement Projet fil rouge"</formula>
    </cfRule>
    <cfRule type="beginsWith" dxfId="12493" priority="17355" operator="beginsWith" text="Vacances">
      <formula>LEFT(BJ136,LEN("Vacances"))="Vacances"</formula>
    </cfRule>
    <cfRule type="beginsWith" dxfId="12492" priority="17356" operator="beginsWith" text="Séminaire d'intégration">
      <formula>LEFT(BJ136,LEN("Séminaire d'intégration"))="Séminaire d'intégration"</formula>
    </cfRule>
    <cfRule type="beginsWith" dxfId="12491" priority="17357" operator="beginsWith" text="Accueil">
      <formula>LEFT(BJ136,LEN("Accueil"))="Accueil"</formula>
    </cfRule>
    <cfRule type="beginsWith" dxfId="12490" priority="17358" operator="beginsWith" text="Stage">
      <formula>LEFT(BJ136,LEN("Stage"))="Stage"</formula>
    </cfRule>
    <cfRule type="beginsWith" dxfId="12489" priority="17359" operator="beginsWith" text="Entreprise">
      <formula>LEFT(BJ136,LEN("Entreprise"))="Entreprise"</formula>
    </cfRule>
    <cfRule type="beginsWith" dxfId="12488" priority="17360" operator="beginsWith" text="Voltaire">
      <formula>LEFT(BJ136,LEN("Voltaire"))="Voltaire"</formula>
    </cfRule>
  </conditionalFormatting>
  <conditionalFormatting sqref="BJ141:BJ145">
    <cfRule type="beginsWith" dxfId="12487" priority="17347" operator="beginsWith" text="Lancement Projet fil rouge">
      <formula>LEFT(BJ141,LEN("Lancement Projet fil rouge"))="Lancement Projet fil rouge"</formula>
    </cfRule>
    <cfRule type="beginsWith" dxfId="12486" priority="17348" operator="beginsWith" text="Vacances">
      <formula>LEFT(BJ141,LEN("Vacances"))="Vacances"</formula>
    </cfRule>
    <cfRule type="beginsWith" dxfId="12485" priority="17349" operator="beginsWith" text="Séminaire d'intégration">
      <formula>LEFT(BJ141,LEN("Séminaire d'intégration"))="Séminaire d'intégration"</formula>
    </cfRule>
    <cfRule type="beginsWith" dxfId="12484" priority="17350" operator="beginsWith" text="Accueil">
      <formula>LEFT(BJ141,LEN("Accueil"))="Accueil"</formula>
    </cfRule>
    <cfRule type="beginsWith" dxfId="12483" priority="17351" operator="beginsWith" text="Stage">
      <formula>LEFT(BJ141,LEN("Stage"))="Stage"</formula>
    </cfRule>
    <cfRule type="beginsWith" dxfId="12482" priority="17352" operator="beginsWith" text="Entreprise">
      <formula>LEFT(BJ141,LEN("Entreprise"))="Entreprise"</formula>
    </cfRule>
    <cfRule type="beginsWith" dxfId="12481" priority="17353" operator="beginsWith" text="Voltaire">
      <formula>LEFT(BJ141,LEN("Voltaire"))="Voltaire"</formula>
    </cfRule>
  </conditionalFormatting>
  <conditionalFormatting sqref="BJ156">
    <cfRule type="beginsWith" dxfId="12480" priority="17323" operator="beginsWith" text="Lancement Projet fil rouge">
      <formula>LEFT(BJ156,LEN("Lancement Projet fil rouge"))="Lancement Projet fil rouge"</formula>
    </cfRule>
    <cfRule type="beginsWith" dxfId="12479" priority="17324" operator="beginsWith" text="Vacances">
      <formula>LEFT(BJ156,LEN("Vacances"))="Vacances"</formula>
    </cfRule>
    <cfRule type="beginsWith" dxfId="12478" priority="17325" operator="beginsWith" text="Séminaire d'intégration">
      <formula>LEFT(BJ156,LEN("Séminaire d'intégration"))="Séminaire d'intégration"</formula>
    </cfRule>
    <cfRule type="beginsWith" dxfId="12477" priority="17326" operator="beginsWith" text="Accueil">
      <formula>LEFT(BJ156,LEN("Accueil"))="Accueil"</formula>
    </cfRule>
    <cfRule type="beginsWith" dxfId="12476" priority="17327" operator="beginsWith" text="Stage">
      <formula>LEFT(BJ156,LEN("Stage"))="Stage"</formula>
    </cfRule>
    <cfRule type="beginsWith" dxfId="12475" priority="17328" operator="beginsWith" text="Entreprise">
      <formula>LEFT(BJ156,LEN("Entreprise"))="Entreprise"</formula>
    </cfRule>
    <cfRule type="beginsWith" dxfId="12474" priority="17329" operator="beginsWith" text="Voltaire">
      <formula>LEFT(BJ156,LEN("Voltaire"))="Voltaire"</formula>
    </cfRule>
  </conditionalFormatting>
  <conditionalFormatting sqref="BJ161">
    <cfRule type="beginsWith" dxfId="12473" priority="17206" operator="beginsWith" text="Lancement Projet fil rouge">
      <formula>LEFT(BJ161,LEN("Lancement Projet fil rouge"))="Lancement Projet fil rouge"</formula>
    </cfRule>
    <cfRule type="beginsWith" dxfId="12472" priority="17207" operator="beginsWith" text="Vacances">
      <formula>LEFT(BJ161,LEN("Vacances"))="Vacances"</formula>
    </cfRule>
    <cfRule type="beginsWith" dxfId="12471" priority="17208" operator="beginsWith" text="Séminaire d'intégration">
      <formula>LEFT(BJ161,LEN("Séminaire d'intégration"))="Séminaire d'intégration"</formula>
    </cfRule>
    <cfRule type="beginsWith" dxfId="12470" priority="17209" operator="beginsWith" text="Accueil">
      <formula>LEFT(BJ161,LEN("Accueil"))="Accueil"</formula>
    </cfRule>
    <cfRule type="beginsWith" dxfId="12469" priority="17210" operator="beginsWith" text="Stage">
      <formula>LEFT(BJ161,LEN("Stage"))="Stage"</formula>
    </cfRule>
    <cfRule type="beginsWith" dxfId="12468" priority="17211" operator="beginsWith" text="Entreprise">
      <formula>LEFT(BJ161,LEN("Entreprise"))="Entreprise"</formula>
    </cfRule>
    <cfRule type="beginsWith" dxfId="12467" priority="17212" operator="beginsWith" text="Voltaire">
      <formula>LEFT(BJ161,LEN("Voltaire"))="Voltaire"</formula>
    </cfRule>
  </conditionalFormatting>
  <conditionalFormatting sqref="BJ166">
    <cfRule type="beginsWith" dxfId="12466" priority="22262" operator="beginsWith" text="Lancement Projet fil rouge">
      <formula>LEFT(BJ166,LEN("Lancement Projet fil rouge"))="Lancement Projet fil rouge"</formula>
    </cfRule>
    <cfRule type="beginsWith" dxfId="12465" priority="22263" operator="beginsWith" text="Vacances">
      <formula>LEFT(BJ166,LEN("Vacances"))="Vacances"</formula>
    </cfRule>
    <cfRule type="beginsWith" dxfId="12464" priority="22264" operator="beginsWith" text="Séminaire d'intégration">
      <formula>LEFT(BJ166,LEN("Séminaire d'intégration"))="Séminaire d'intégration"</formula>
    </cfRule>
    <cfRule type="beginsWith" dxfId="12463" priority="22265" operator="beginsWith" text="Accueil">
      <formula>LEFT(BJ166,LEN("Accueil"))="Accueil"</formula>
    </cfRule>
    <cfRule type="beginsWith" dxfId="12462" priority="22266" operator="beginsWith" text="Stage">
      <formula>LEFT(BJ166,LEN("Stage"))="Stage"</formula>
    </cfRule>
    <cfRule type="beginsWith" dxfId="12461" priority="22267" operator="beginsWith" text="Entreprise">
      <formula>LEFT(BJ166,LEN("Entreprise"))="Entreprise"</formula>
    </cfRule>
    <cfRule type="beginsWith" dxfId="12460" priority="22268" operator="beginsWith" text="Voltaire">
      <formula>LEFT(BJ166,LEN("Voltaire"))="Voltaire"</formula>
    </cfRule>
  </conditionalFormatting>
  <conditionalFormatting sqref="BJ171">
    <cfRule type="beginsWith" dxfId="12459" priority="22269" operator="beginsWith" text="Lancement Projet fil rouge">
      <formula>LEFT(BJ171,LEN("Lancement Projet fil rouge"))="Lancement Projet fil rouge"</formula>
    </cfRule>
    <cfRule type="beginsWith" dxfId="12458" priority="22270" operator="beginsWith" text="Vacances">
      <formula>LEFT(BJ171,LEN("Vacances"))="Vacances"</formula>
    </cfRule>
    <cfRule type="beginsWith" dxfId="12457" priority="22271" operator="beginsWith" text="Séminaire d'intégration">
      <formula>LEFT(BJ171,LEN("Séminaire d'intégration"))="Séminaire d'intégration"</formula>
    </cfRule>
    <cfRule type="beginsWith" dxfId="12456" priority="22272" operator="beginsWith" text="Accueil">
      <formula>LEFT(BJ171,LEN("Accueil"))="Accueil"</formula>
    </cfRule>
    <cfRule type="beginsWith" dxfId="12455" priority="22273" operator="beginsWith" text="Stage">
      <formula>LEFT(BJ171,LEN("Stage"))="Stage"</formula>
    </cfRule>
    <cfRule type="beginsWith" dxfId="12454" priority="22274" operator="beginsWith" text="Entreprise">
      <formula>LEFT(BJ171,LEN("Entreprise"))="Entreprise"</formula>
    </cfRule>
    <cfRule type="beginsWith" dxfId="12453" priority="22275" operator="beginsWith" text="Voltaire">
      <formula>LEFT(BJ171,LEN("Voltaire"))="Voltaire"</formula>
    </cfRule>
  </conditionalFormatting>
  <conditionalFormatting sqref="BJ172">
    <cfRule type="beginsWith" dxfId="12452" priority="19776" operator="beginsWith" text="Lancement Projet fil rouge">
      <formula>LEFT(BJ172,LEN("Lancement Projet fil rouge"))="Lancement Projet fil rouge"</formula>
    </cfRule>
    <cfRule type="beginsWith" dxfId="12451" priority="19777" operator="beginsWith" text="Vacances">
      <formula>LEFT(BJ172,LEN("Vacances"))="Vacances"</formula>
    </cfRule>
    <cfRule type="beginsWith" dxfId="12450" priority="19778" operator="beginsWith" text="Séminaire d'intégration">
      <formula>LEFT(BJ172,LEN("Séminaire d'intégration"))="Séminaire d'intégration"</formula>
    </cfRule>
    <cfRule type="beginsWith" dxfId="12449" priority="19779" operator="beginsWith" text="Accueil">
      <formula>LEFT(BJ172,LEN("Accueil"))="Accueil"</formula>
    </cfRule>
    <cfRule type="beginsWith" dxfId="12448" priority="19780" operator="beginsWith" text="Stage">
      <formula>LEFT(BJ172,LEN("Stage"))="Stage"</formula>
    </cfRule>
    <cfRule type="beginsWith" dxfId="12447" priority="19781" operator="beginsWith" text="Entreprise">
      <formula>LEFT(BJ172,LEN("Entreprise"))="Entreprise"</formula>
    </cfRule>
    <cfRule type="beginsWith" dxfId="12446" priority="19782" operator="beginsWith" text="Voltaire">
      <formula>LEFT(BJ172,LEN("Voltaire"))="Voltaire"</formula>
    </cfRule>
  </conditionalFormatting>
  <conditionalFormatting sqref="BJ191">
    <cfRule type="beginsWith" dxfId="12445" priority="22276" operator="beginsWith" text="Lancement Projet fil rouge">
      <formula>LEFT(BJ191,LEN("Lancement Projet fil rouge"))="Lancement Projet fil rouge"</formula>
    </cfRule>
    <cfRule type="beginsWith" dxfId="12444" priority="22277" operator="beginsWith" text="Vacances">
      <formula>LEFT(BJ191,LEN("Vacances"))="Vacances"</formula>
    </cfRule>
    <cfRule type="beginsWith" dxfId="12443" priority="22278" operator="beginsWith" text="Séminaire d'intégration">
      <formula>LEFT(BJ191,LEN("Séminaire d'intégration"))="Séminaire d'intégration"</formula>
    </cfRule>
    <cfRule type="beginsWith" dxfId="12442" priority="22279" operator="beginsWith" text="Accueil">
      <formula>LEFT(BJ191,LEN("Accueil"))="Accueil"</formula>
    </cfRule>
    <cfRule type="beginsWith" dxfId="12441" priority="22280" operator="beginsWith" text="Stage">
      <formula>LEFT(BJ191,LEN("Stage"))="Stage"</formula>
    </cfRule>
    <cfRule type="beginsWith" dxfId="12440" priority="22281" operator="beginsWith" text="Entreprise">
      <formula>LEFT(BJ191,LEN("Entreprise"))="Entreprise"</formula>
    </cfRule>
    <cfRule type="beginsWith" dxfId="12439" priority="22282" operator="beginsWith" text="Voltaire">
      <formula>LEFT(BJ191,LEN("Voltaire"))="Voltaire"</formula>
    </cfRule>
  </conditionalFormatting>
  <conditionalFormatting sqref="BJ196:BJ198">
    <cfRule type="beginsWith" dxfId="12438" priority="16114" operator="beginsWith" text="Lancement Projet fil rouge">
      <formula>LEFT(BJ196,LEN("Lancement Projet fil rouge"))="Lancement Projet fil rouge"</formula>
    </cfRule>
    <cfRule type="beginsWith" dxfId="12437" priority="16115" operator="beginsWith" text="Vacances">
      <formula>LEFT(BJ196,LEN("Vacances"))="Vacances"</formula>
    </cfRule>
    <cfRule type="beginsWith" dxfId="12436" priority="16116" operator="beginsWith" text="Séminaire d'intégration">
      <formula>LEFT(BJ196,LEN("Séminaire d'intégration"))="Séminaire d'intégration"</formula>
    </cfRule>
    <cfRule type="beginsWith" dxfId="12435" priority="16117" operator="beginsWith" text="Accueil">
      <formula>LEFT(BJ196,LEN("Accueil"))="Accueil"</formula>
    </cfRule>
    <cfRule type="beginsWith" dxfId="12434" priority="16118" operator="beginsWith" text="Stage">
      <formula>LEFT(BJ196,LEN("Stage"))="Stage"</formula>
    </cfRule>
    <cfRule type="beginsWith" dxfId="12433" priority="16119" operator="beginsWith" text="Entreprise">
      <formula>LEFT(BJ196,LEN("Entreprise"))="Entreprise"</formula>
    </cfRule>
    <cfRule type="beginsWith" dxfId="12432" priority="16120" operator="beginsWith" text="Voltaire">
      <formula>LEFT(BJ196,LEN("Voltaire"))="Voltaire"</formula>
    </cfRule>
  </conditionalFormatting>
  <conditionalFormatting sqref="BJ207">
    <cfRule type="beginsWith" dxfId="12431" priority="16121" operator="beginsWith" text="Lancement Projet fil rouge">
      <formula>LEFT(BJ207,LEN("Lancement Projet fil rouge"))="Lancement Projet fil rouge"</formula>
    </cfRule>
    <cfRule type="beginsWith" dxfId="12430" priority="16122" operator="beginsWith" text="Vacances">
      <formula>LEFT(BJ207,LEN("Vacances"))="Vacances"</formula>
    </cfRule>
    <cfRule type="beginsWith" dxfId="12429" priority="16123" operator="beginsWith" text="Séminaire d'intégration">
      <formula>LEFT(BJ207,LEN("Séminaire d'intégration"))="Séminaire d'intégration"</formula>
    </cfRule>
    <cfRule type="beginsWith" dxfId="12428" priority="16124" operator="beginsWith" text="Accueil">
      <formula>LEFT(BJ207,LEN("Accueil"))="Accueil"</formula>
    </cfRule>
    <cfRule type="beginsWith" dxfId="12427" priority="16125" operator="beginsWith" text="Stage">
      <formula>LEFT(BJ207,LEN("Stage"))="Stage"</formula>
    </cfRule>
    <cfRule type="beginsWith" dxfId="12426" priority="16126" operator="beginsWith" text="Entreprise">
      <formula>LEFT(BJ207,LEN("Entreprise"))="Entreprise"</formula>
    </cfRule>
    <cfRule type="beginsWith" dxfId="12425" priority="16127" operator="beginsWith" text="Voltaire">
      <formula>LEFT(BJ207,LEN("Voltaire"))="Voltaire"</formula>
    </cfRule>
  </conditionalFormatting>
  <conditionalFormatting sqref="BJ216:BJ220">
    <cfRule type="beginsWith" dxfId="12424" priority="17192" operator="beginsWith" text="Lancement Projet fil rouge">
      <formula>LEFT(BJ216,LEN("Lancement Projet fil rouge"))="Lancement Projet fil rouge"</formula>
    </cfRule>
    <cfRule type="beginsWith" dxfId="12423" priority="17193" operator="beginsWith" text="Vacances">
      <formula>LEFT(BJ216,LEN("Vacances"))="Vacances"</formula>
    </cfRule>
    <cfRule type="beginsWith" dxfId="12422" priority="17194" operator="beginsWith" text="Séminaire d'intégration">
      <formula>LEFT(BJ216,LEN("Séminaire d'intégration"))="Séminaire d'intégration"</formula>
    </cfRule>
    <cfRule type="beginsWith" dxfId="12421" priority="17195" operator="beginsWith" text="Accueil">
      <formula>LEFT(BJ216,LEN("Accueil"))="Accueil"</formula>
    </cfRule>
    <cfRule type="beginsWith" dxfId="12420" priority="17196" operator="beginsWith" text="Stage">
      <formula>LEFT(BJ216,LEN("Stage"))="Stage"</formula>
    </cfRule>
    <cfRule type="beginsWith" dxfId="12419" priority="17197" operator="beginsWith" text="Entreprise">
      <formula>LEFT(BJ216,LEN("Entreprise"))="Entreprise"</formula>
    </cfRule>
    <cfRule type="beginsWith" dxfId="12418" priority="17198" operator="beginsWith" text="Voltaire">
      <formula>LEFT(BJ216,LEN("Voltaire"))="Voltaire"</formula>
    </cfRule>
  </conditionalFormatting>
  <conditionalFormatting sqref="BJ21:BL25">
    <cfRule type="beginsWith" dxfId="12417" priority="22177" operator="beginsWith" text="Lancement Projet fil rouge">
      <formula>LEFT(BJ21,LEN("Lancement Projet fil rouge"))="Lancement Projet fil rouge"</formula>
    </cfRule>
    <cfRule type="beginsWith" dxfId="12416" priority="22178" operator="beginsWith" text="Vacances">
      <formula>LEFT(BJ21,LEN("Vacances"))="Vacances"</formula>
    </cfRule>
    <cfRule type="beginsWith" dxfId="12415" priority="22179" operator="beginsWith" text="Séminaire d'intégration">
      <formula>LEFT(BJ21,LEN("Séminaire d'intégration"))="Séminaire d'intégration"</formula>
    </cfRule>
    <cfRule type="beginsWith" dxfId="12414" priority="22180" operator="beginsWith" text="Accueil">
      <formula>LEFT(BJ21,LEN("Accueil"))="Accueil"</formula>
    </cfRule>
    <cfRule type="beginsWith" dxfId="12413" priority="22183" operator="beginsWith" text="Stage">
      <formula>LEFT(BJ21,LEN("Stage"))="Stage"</formula>
    </cfRule>
    <cfRule type="beginsWith" dxfId="12412" priority="22184" operator="beginsWith" text="Entreprise">
      <formula>LEFT(BJ21,LEN("Entreprise"))="Entreprise"</formula>
    </cfRule>
    <cfRule type="beginsWith" dxfId="12411" priority="22186" operator="beginsWith" text="Voltaire">
      <formula>LEFT(BJ21,LEN("Voltaire"))="Voltaire"</formula>
    </cfRule>
  </conditionalFormatting>
  <conditionalFormatting sqref="BJ151:BL155">
    <cfRule type="beginsWith" dxfId="12410" priority="17306" operator="beginsWith" text="Lancement Projet fil rouge">
      <formula>LEFT(BJ151,LEN("Lancement Projet fil rouge"))="Lancement Projet fil rouge"</formula>
    </cfRule>
    <cfRule type="beginsWith" dxfId="12409" priority="17307" operator="beginsWith" text="Vacances">
      <formula>LEFT(BJ151,LEN("Vacances"))="Vacances"</formula>
    </cfRule>
    <cfRule type="beginsWith" dxfId="12408" priority="17308" operator="beginsWith" text="Séminaire d'intégration">
      <formula>LEFT(BJ151,LEN("Séminaire d'intégration"))="Séminaire d'intégration"</formula>
    </cfRule>
    <cfRule type="beginsWith" dxfId="12407" priority="17309" operator="beginsWith" text="Accueil">
      <formula>LEFT(BJ151,LEN("Accueil"))="Accueil"</formula>
    </cfRule>
    <cfRule type="beginsWith" dxfId="12406" priority="17312" operator="beginsWith" text="Stage">
      <formula>LEFT(BJ151,LEN("Stage"))="Stage"</formula>
    </cfRule>
    <cfRule type="beginsWith" dxfId="12405" priority="17313" operator="beginsWith" text="Entreprise">
      <formula>LEFT(BJ151,LEN("Entreprise"))="Entreprise"</formula>
    </cfRule>
    <cfRule type="beginsWith" dxfId="12404" priority="17315" operator="beginsWith" text="Voltaire">
      <formula>LEFT(BJ151,LEN("Voltaire"))="Voltaire"</formula>
    </cfRule>
  </conditionalFormatting>
  <conditionalFormatting sqref="BJ221:BL223 BJ225:BL225 BJ224 BL224">
    <cfRule type="beginsWith" dxfId="12403" priority="17165" operator="beginsWith" text="Lancement Projet fil rouge">
      <formula>LEFT(BJ221,LEN("Lancement Projet fil rouge"))="Lancement Projet fil rouge"</formula>
    </cfRule>
    <cfRule type="beginsWith" dxfId="12402" priority="17166" operator="beginsWith" text="Vacances">
      <formula>LEFT(BJ221,LEN("Vacances"))="Vacances"</formula>
    </cfRule>
    <cfRule type="beginsWith" dxfId="12401" priority="17167" operator="beginsWith" text="Séminaire d'intégration">
      <formula>LEFT(BJ221,LEN("Séminaire d'intégration"))="Séminaire d'intégration"</formula>
    </cfRule>
    <cfRule type="beginsWith" dxfId="12400" priority="17168" operator="beginsWith" text="Accueil">
      <formula>LEFT(BJ221,LEN("Accueil"))="Accueil"</formula>
    </cfRule>
    <cfRule type="beginsWith" dxfId="12399" priority="17171" operator="beginsWith" text="Stage">
      <formula>LEFT(BJ221,LEN("Stage"))="Stage"</formula>
    </cfRule>
    <cfRule type="beginsWith" dxfId="12398" priority="17172" operator="beginsWith" text="Entreprise">
      <formula>LEFT(BJ221,LEN("Entreprise"))="Entreprise"</formula>
    </cfRule>
    <cfRule type="beginsWith" dxfId="12397" priority="17174" operator="beginsWith" text="Voltaire">
      <formula>LEFT(BJ221,LEN("Voltaire"))="Voltaire"</formula>
    </cfRule>
  </conditionalFormatting>
  <conditionalFormatting sqref="BJ226:BL228 BJ230:BL230 BJ229 BL229">
    <cfRule type="beginsWith" dxfId="12396" priority="17175" operator="beginsWith" text="Lancement Projet fil rouge">
      <formula>LEFT(BJ226,LEN("Lancement Projet fil rouge"))="Lancement Projet fil rouge"</formula>
    </cfRule>
    <cfRule type="beginsWith" dxfId="12395" priority="17176" operator="beginsWith" text="Vacances">
      <formula>LEFT(BJ226,LEN("Vacances"))="Vacances"</formula>
    </cfRule>
    <cfRule type="beginsWith" dxfId="12394" priority="17177" operator="beginsWith" text="Séminaire d'intégration">
      <formula>LEFT(BJ226,LEN("Séminaire d'intégration"))="Séminaire d'intégration"</formula>
    </cfRule>
    <cfRule type="beginsWith" dxfId="12393" priority="17178" operator="beginsWith" text="Accueil">
      <formula>LEFT(BJ226,LEN("Accueil"))="Accueil"</formula>
    </cfRule>
    <cfRule type="beginsWith" dxfId="12392" priority="17181" operator="beginsWith" text="Stage">
      <formula>LEFT(BJ226,LEN("Stage"))="Stage"</formula>
    </cfRule>
    <cfRule type="beginsWith" dxfId="12391" priority="17182" operator="beginsWith" text="Entreprise">
      <formula>LEFT(BJ226,LEN("Entreprise"))="Entreprise"</formula>
    </cfRule>
    <cfRule type="beginsWith" dxfId="12390" priority="17184" operator="beginsWith" text="Voltaire">
      <formula>LEFT(BJ226,LEN("Voltaire"))="Voltaire"</formula>
    </cfRule>
  </conditionalFormatting>
  <conditionalFormatting sqref="BJ6:BL10">
    <cfRule type="beginsWith" dxfId="12389" priority="18228" operator="beginsWith" text="Lancement Projet fil rouge">
      <formula>LEFT(BJ6,LEN("Lancement Projet fil rouge"))="Lancement Projet fil rouge"</formula>
    </cfRule>
    <cfRule type="beginsWith" dxfId="12388" priority="18229" operator="beginsWith" text="Vacances">
      <formula>LEFT(BJ6,LEN("Vacances"))="Vacances"</formula>
    </cfRule>
    <cfRule type="beginsWith" dxfId="12387" priority="18230" operator="beginsWith" text="Séminaire d'intégration">
      <formula>LEFT(BJ6,LEN("Séminaire d'intégration"))="Séminaire d'intégration"</formula>
    </cfRule>
    <cfRule type="beginsWith" dxfId="12386" priority="18231" operator="beginsWith" text="Accueil">
      <formula>LEFT(BJ6,LEN("Accueil"))="Accueil"</formula>
    </cfRule>
    <cfRule type="beginsWith" dxfId="12385" priority="18234" operator="beginsWith" text="Stage">
      <formula>LEFT(BJ6,LEN("Stage"))="Stage"</formula>
    </cfRule>
    <cfRule type="beginsWith" dxfId="12384" priority="18235" operator="beginsWith" text="Entreprise">
      <formula>LEFT(BJ6,LEN("Entreprise"))="Entreprise"</formula>
    </cfRule>
    <cfRule type="beginsWith" dxfId="12383" priority="18237" operator="beginsWith" text="Voltaire">
      <formula>LEFT(BJ6,LEN("Voltaire"))="Voltaire"</formula>
    </cfRule>
  </conditionalFormatting>
  <conditionalFormatting sqref="BJ11:BL15">
    <cfRule type="beginsWith" dxfId="12382" priority="22563" operator="beginsWith" text="Lancement Projet fil rouge">
      <formula>LEFT(BJ11,LEN("Lancement Projet fil rouge"))="Lancement Projet fil rouge"</formula>
    </cfRule>
    <cfRule type="beginsWith" dxfId="12381" priority="22564" operator="beginsWith" text="Vacances">
      <formula>LEFT(BJ11,LEN("Vacances"))="Vacances"</formula>
    </cfRule>
    <cfRule type="beginsWith" dxfId="12380" priority="22565" operator="beginsWith" text="Séminaire d'intégration">
      <formula>LEFT(BJ11,LEN("Séminaire d'intégration"))="Séminaire d'intégration"</formula>
    </cfRule>
    <cfRule type="beginsWith" dxfId="12379" priority="22566" operator="beginsWith" text="Accueil">
      <formula>LEFT(BJ11,LEN("Accueil"))="Accueil"</formula>
    </cfRule>
    <cfRule type="beginsWith" dxfId="12378" priority="22569" operator="beginsWith" text="Stage">
      <formula>LEFT(BJ11,LEN("Stage"))="Stage"</formula>
    </cfRule>
    <cfRule type="beginsWith" dxfId="12377" priority="22570" operator="beginsWith" text="Entreprise">
      <formula>LEFT(BJ11,LEN("Entreprise"))="Entreprise"</formula>
    </cfRule>
    <cfRule type="beginsWith" dxfId="12376" priority="22572" operator="beginsWith" text="Voltaire">
      <formula>LEFT(BJ11,LEN("Voltaire"))="Voltaire"</formula>
    </cfRule>
  </conditionalFormatting>
  <conditionalFormatting sqref="BJ16:BL20 BJ206:BL206 BI1:BL2 BI5:BL5 BI190:BL190 BJ201:BL201 BJ186:BK187 BJ188 BJ176:BL179 BK166:BL168 BI385:BL1048576 BK170:BL173 BL169 BK196:BK200 BJ131:BL135 BJ126:BJ130 BK141:BL145 BJ146:BL148 BJ180 BL180 BK202:BL205 BJ211:BL215 BJ241:BL260 BJ150:BL150 BJ149 BL149 BK175:BL175 BL174 BK156:BL160 BJ231:BJ240 BK218:BL220 BJ189:BK189 BJ26:BL125 BL231:BL240">
    <cfRule type="beginsWith" dxfId="12375" priority="22594" operator="beginsWith" text="Lancement Projet fil rouge">
      <formula>LEFT(BI1,LEN("Lancement Projet fil rouge"))="Lancement Projet fil rouge"</formula>
    </cfRule>
    <cfRule type="beginsWith" dxfId="12374" priority="22595" operator="beginsWith" text="Vacances">
      <formula>LEFT(BI1,LEN("Vacances"))="Vacances"</formula>
    </cfRule>
    <cfRule type="beginsWith" dxfId="12373" priority="22596" operator="beginsWith" text="Séminaire d'intégration">
      <formula>LEFT(BI1,LEN("Séminaire d'intégration"))="Séminaire d'intégration"</formula>
    </cfRule>
    <cfRule type="beginsWith" dxfId="12372" priority="22597" operator="beginsWith" text="Accueil">
      <formula>LEFT(BI1,LEN("Accueil"))="Accueil"</formula>
    </cfRule>
    <cfRule type="beginsWith" dxfId="12371" priority="22600" operator="beginsWith" text="Stage">
      <formula>LEFT(BI1,LEN("Stage"))="Stage"</formula>
    </cfRule>
    <cfRule type="beginsWith" dxfId="12370" priority="22601" operator="beginsWith" text="Entreprise">
      <formula>LEFT(BI1,LEN("Entreprise"))="Entreprise"</formula>
    </cfRule>
    <cfRule type="beginsWith" dxfId="12369" priority="22603" operator="beginsWith" text="Voltaire">
      <formula>LEFT(BI1,LEN("Voltaire"))="Voltaire"</formula>
    </cfRule>
  </conditionalFormatting>
  <conditionalFormatting sqref="BK126:BK129">
    <cfRule type="beginsWith" dxfId="12368" priority="17412" operator="beginsWith" text="Lancement Projet fil rouge">
      <formula>LEFT(BK126,LEN("Lancement Projet fil rouge"))="Lancement Projet fil rouge"</formula>
    </cfRule>
    <cfRule type="beginsWith" dxfId="12367" priority="17413" operator="beginsWith" text="Vacances">
      <formula>LEFT(BK126,LEN("Vacances"))="Vacances"</formula>
    </cfRule>
    <cfRule type="beginsWith" dxfId="12366" priority="17414" operator="beginsWith" text="Séminaire d'intégration">
      <formula>LEFT(BK126,LEN("Séminaire d'intégration"))="Séminaire d'intégration"</formula>
    </cfRule>
    <cfRule type="beginsWith" dxfId="12365" priority="17415" operator="beginsWith" text="Accueil">
      <formula>LEFT(BK126,LEN("Accueil"))="Accueil"</formula>
    </cfRule>
    <cfRule type="beginsWith" dxfId="12364" priority="17416" operator="beginsWith" text="TOPHYC">
      <formula>LEFT(BK126,LEN("TOPHYC"))="TOPHYC"</formula>
    </cfRule>
    <cfRule type="beginsWith" dxfId="12363" priority="17417" operator="beginsWith" text="Global Exam">
      <formula>LEFT(BK126,LEN("Global Exam"))="Global Exam"</formula>
    </cfRule>
    <cfRule type="beginsWith" dxfId="12362" priority="17418" operator="beginsWith" text="Stage">
      <formula>LEFT(BK126,LEN("Stage"))="Stage"</formula>
    </cfRule>
    <cfRule type="beginsWith" dxfId="12361" priority="17419" operator="beginsWith" text="Entreprise">
      <formula>LEFT(BK126,LEN("Entreprise"))="Entreprise"</formula>
    </cfRule>
    <cfRule type="beginsWith" dxfId="12360" priority="17420" operator="beginsWith" text="TOMIC">
      <formula>LEFT(BK126,LEN("TOMIC"))="TOMIC"</formula>
    </cfRule>
    <cfRule type="beginsWith" dxfId="12359" priority="17421" operator="beginsWith" text="Voltaire">
      <formula>LEFT(BK126,LEN("Voltaire"))="Voltaire"</formula>
    </cfRule>
  </conditionalFormatting>
  <conditionalFormatting sqref="BK130">
    <cfRule type="beginsWith" dxfId="12358" priority="17402" operator="beginsWith" text="Lancement Projet fil rouge">
      <formula>LEFT(BK130,LEN("Lancement Projet fil rouge"))="Lancement Projet fil rouge"</formula>
    </cfRule>
    <cfRule type="beginsWith" dxfId="12357" priority="17403" operator="beginsWith" text="Vacances">
      <formula>LEFT(BK130,LEN("Vacances"))="Vacances"</formula>
    </cfRule>
    <cfRule type="beginsWith" dxfId="12356" priority="17404" operator="beginsWith" text="Séminaire d'intégration">
      <formula>LEFT(BK130,LEN("Séminaire d'intégration"))="Séminaire d'intégration"</formula>
    </cfRule>
    <cfRule type="beginsWith" dxfId="12355" priority="17405" operator="beginsWith" text="Accueil">
      <formula>LEFT(BK130,LEN("Accueil"))="Accueil"</formula>
    </cfRule>
    <cfRule type="beginsWith" dxfId="12354" priority="17406" operator="beginsWith" text="TOPHYC">
      <formula>LEFT(BK130,LEN("TOPHYC"))="TOPHYC"</formula>
    </cfRule>
    <cfRule type="beginsWith" dxfId="12353" priority="17407" operator="beginsWith" text="Global Exam">
      <formula>LEFT(BK130,LEN("Global Exam"))="Global Exam"</formula>
    </cfRule>
    <cfRule type="beginsWith" dxfId="12352" priority="17408" operator="beginsWith" text="Stage">
      <formula>LEFT(BK130,LEN("Stage"))="Stage"</formula>
    </cfRule>
    <cfRule type="beginsWith" dxfId="12351" priority="17409" operator="beginsWith" text="Entreprise">
      <formula>LEFT(BK130,LEN("Entreprise"))="Entreprise"</formula>
    </cfRule>
    <cfRule type="beginsWith" dxfId="12350" priority="17410" operator="beginsWith" text="TOMIC">
      <formula>LEFT(BK130,LEN("TOMIC"))="TOMIC"</formula>
    </cfRule>
    <cfRule type="beginsWith" dxfId="12349" priority="17411" operator="beginsWith" text="Voltaire">
      <formula>LEFT(BK130,LEN("Voltaire"))="Voltaire"</formula>
    </cfRule>
  </conditionalFormatting>
  <conditionalFormatting sqref="BK136:BK140">
    <cfRule type="beginsWith" dxfId="12348" priority="17392" operator="beginsWith" text="Lancement Projet fil rouge">
      <formula>LEFT(BK136,LEN("Lancement Projet fil rouge"))="Lancement Projet fil rouge"</formula>
    </cfRule>
    <cfRule type="beginsWith" dxfId="12347" priority="17393" operator="beginsWith" text="Vacances">
      <formula>LEFT(BK136,LEN("Vacances"))="Vacances"</formula>
    </cfRule>
    <cfRule type="beginsWith" dxfId="12346" priority="17394" operator="beginsWith" text="Séminaire d'intégration">
      <formula>LEFT(BK136,LEN("Séminaire d'intégration"))="Séminaire d'intégration"</formula>
    </cfRule>
    <cfRule type="beginsWith" dxfId="12345" priority="17395" operator="beginsWith" text="Accueil">
      <formula>LEFT(BK136,LEN("Accueil"))="Accueil"</formula>
    </cfRule>
    <cfRule type="beginsWith" dxfId="12344" priority="17396" operator="beginsWith" text="TOPHYC">
      <formula>LEFT(BK136,LEN("TOPHYC"))="TOPHYC"</formula>
    </cfRule>
    <cfRule type="beginsWith" dxfId="12343" priority="17397" operator="beginsWith" text="Global Exam">
      <formula>LEFT(BK136,LEN("Global Exam"))="Global Exam"</formula>
    </cfRule>
    <cfRule type="beginsWith" dxfId="12342" priority="17398" operator="beginsWith" text="Stage">
      <formula>LEFT(BK136,LEN("Stage"))="Stage"</formula>
    </cfRule>
    <cfRule type="beginsWith" dxfId="12341" priority="17399" operator="beginsWith" text="Entreprise">
      <formula>LEFT(BK136,LEN("Entreprise"))="Entreprise"</formula>
    </cfRule>
    <cfRule type="beginsWith" dxfId="12340" priority="17400" operator="beginsWith" text="TOMIC">
      <formula>LEFT(BK136,LEN("TOMIC"))="TOMIC"</formula>
    </cfRule>
    <cfRule type="beginsWith" dxfId="12339" priority="17401" operator="beginsWith" text="Voltaire">
      <formula>LEFT(BK136,LEN("Voltaire"))="Voltaire"</formula>
    </cfRule>
  </conditionalFormatting>
  <conditionalFormatting sqref="BK149">
    <cfRule type="beginsWith" dxfId="12338" priority="14692" operator="beginsWith" text="Lancement Projet fil rouge">
      <formula>LEFT(BK149,LEN("Lancement Projet fil rouge"))="Lancement Projet fil rouge"</formula>
    </cfRule>
    <cfRule type="beginsWith" dxfId="12337" priority="14693" operator="beginsWith" text="Vacances">
      <formula>LEFT(BK149,LEN("Vacances"))="Vacances"</formula>
    </cfRule>
    <cfRule type="beginsWith" dxfId="12336" priority="14694" operator="beginsWith" text="Séminaire d'intégration">
      <formula>LEFT(BK149,LEN("Séminaire d'intégration"))="Séminaire d'intégration"</formula>
    </cfRule>
    <cfRule type="beginsWith" dxfId="12335" priority="14695" operator="beginsWith" text="Accueil">
      <formula>LEFT(BK149,LEN("Accueil"))="Accueil"</formula>
    </cfRule>
    <cfRule type="beginsWith" dxfId="12334" priority="14696" operator="beginsWith" text="TOPHYC">
      <formula>LEFT(BK149,LEN("TOPHYC"))="TOPHYC"</formula>
    </cfRule>
    <cfRule type="beginsWith" dxfId="12333" priority="14697" operator="beginsWith" text="Global Exam">
      <formula>LEFT(BK149,LEN("Global Exam"))="Global Exam"</formula>
    </cfRule>
    <cfRule type="beginsWith" dxfId="12332" priority="14698" operator="beginsWith" text="Stage">
      <formula>LEFT(BK149,LEN("Stage"))="Stage"</formula>
    </cfRule>
    <cfRule type="beginsWith" dxfId="12331" priority="14699" operator="beginsWith" text="Entreprise">
      <formula>LEFT(BK149,LEN("Entreprise"))="Entreprise"</formula>
    </cfRule>
    <cfRule type="beginsWith" dxfId="12330" priority="14700" operator="beginsWith" text="TOMIC">
      <formula>LEFT(BK149,LEN("TOMIC"))="TOMIC"</formula>
    </cfRule>
    <cfRule type="beginsWith" dxfId="12329" priority="14701" operator="beginsWith" text="Voltaire">
      <formula>LEFT(BK149,LEN("Voltaire"))="Voltaire"</formula>
    </cfRule>
  </conditionalFormatting>
  <conditionalFormatting sqref="BK164">
    <cfRule type="beginsWith" dxfId="12328" priority="10165" operator="beginsWith" text="Lancement Projet fil rouge">
      <formula>LEFT(BK164,LEN("Lancement Projet fil rouge"))="Lancement Projet fil rouge"</formula>
    </cfRule>
    <cfRule type="beginsWith" dxfId="12327" priority="10166" operator="beginsWith" text="Vacances">
      <formula>LEFT(BK164,LEN("Vacances"))="Vacances"</formula>
    </cfRule>
    <cfRule type="beginsWith" dxfId="12326" priority="10167" operator="beginsWith" text="Séminaire d'intégration">
      <formula>LEFT(BK164,LEN("Séminaire d'intégration"))="Séminaire d'intégration"</formula>
    </cfRule>
    <cfRule type="beginsWith" dxfId="12325" priority="10168" operator="beginsWith" text="Accueil">
      <formula>LEFT(BK164,LEN("Accueil"))="Accueil"</formula>
    </cfRule>
    <cfRule type="beginsWith" dxfId="12324" priority="10169" operator="beginsWith" text="TOPHYC">
      <formula>LEFT(BK164,LEN("TOPHYC"))="TOPHYC"</formula>
    </cfRule>
    <cfRule type="beginsWith" dxfId="12323" priority="10170" operator="beginsWith" text="Global Exam">
      <formula>LEFT(BK164,LEN("Global Exam"))="Global Exam"</formula>
    </cfRule>
    <cfRule type="beginsWith" dxfId="12322" priority="10171" operator="beginsWith" text="Stage">
      <formula>LEFT(BK164,LEN("Stage"))="Stage"</formula>
    </cfRule>
    <cfRule type="beginsWith" dxfId="12321" priority="10172" operator="beginsWith" text="Entreprise">
      <formula>LEFT(BK164,LEN("Entreprise"))="Entreprise"</formula>
    </cfRule>
    <cfRule type="beginsWith" dxfId="12320" priority="10173" operator="beginsWith" text="TOMIC">
      <formula>LEFT(BK164,LEN("TOMIC"))="TOMIC"</formula>
    </cfRule>
    <cfRule type="beginsWith" dxfId="12319" priority="10174" operator="beginsWith" text="Voltaire">
      <formula>LEFT(BK164,LEN("Voltaire"))="Voltaire"</formula>
    </cfRule>
  </conditionalFormatting>
  <conditionalFormatting sqref="BK165">
    <cfRule type="beginsWith" dxfId="12318" priority="14662" operator="beginsWith" text="Lancement Projet fil rouge">
      <formula>LEFT(BK165,LEN("Lancement Projet fil rouge"))="Lancement Projet fil rouge"</formula>
    </cfRule>
    <cfRule type="beginsWith" dxfId="12317" priority="14663" operator="beginsWith" text="Vacances">
      <formula>LEFT(BK165,LEN("Vacances"))="Vacances"</formula>
    </cfRule>
    <cfRule type="beginsWith" dxfId="12316" priority="14664" operator="beginsWith" text="Séminaire d'intégration">
      <formula>LEFT(BK165,LEN("Séminaire d'intégration"))="Séminaire d'intégration"</formula>
    </cfRule>
    <cfRule type="beginsWith" dxfId="12315" priority="14665" operator="beginsWith" text="Accueil">
      <formula>LEFT(BK165,LEN("Accueil"))="Accueil"</formula>
    </cfRule>
    <cfRule type="beginsWith" dxfId="12314" priority="14666" operator="beginsWith" text="TOPHYC">
      <formula>LEFT(BK165,LEN("TOPHYC"))="TOPHYC"</formula>
    </cfRule>
    <cfRule type="beginsWith" dxfId="12313" priority="14667" operator="beginsWith" text="Global Exam">
      <formula>LEFT(BK165,LEN("Global Exam"))="Global Exam"</formula>
    </cfRule>
    <cfRule type="beginsWith" dxfId="12312" priority="14668" operator="beginsWith" text="Stage">
      <formula>LEFT(BK165,LEN("Stage"))="Stage"</formula>
    </cfRule>
    <cfRule type="beginsWith" dxfId="12311" priority="14669" operator="beginsWith" text="Entreprise">
      <formula>LEFT(BK165,LEN("Entreprise"))="Entreprise"</formula>
    </cfRule>
    <cfRule type="beginsWith" dxfId="12310" priority="14670" operator="beginsWith" text="TOMIC">
      <formula>LEFT(BK165,LEN("TOMIC"))="TOMIC"</formula>
    </cfRule>
    <cfRule type="beginsWith" dxfId="12309" priority="14671" operator="beginsWith" text="Voltaire">
      <formula>LEFT(BK165,LEN("Voltaire"))="Voltaire"</formula>
    </cfRule>
  </conditionalFormatting>
  <conditionalFormatting sqref="BK169">
    <cfRule type="beginsWith" dxfId="12308" priority="10175" operator="beginsWith" text="Lancement Projet fil rouge">
      <formula>LEFT(BK169,LEN("Lancement Projet fil rouge"))="Lancement Projet fil rouge"</formula>
    </cfRule>
    <cfRule type="beginsWith" dxfId="12307" priority="10176" operator="beginsWith" text="Vacances">
      <formula>LEFT(BK169,LEN("Vacances"))="Vacances"</formula>
    </cfRule>
    <cfRule type="beginsWith" dxfId="12306" priority="10177" operator="beginsWith" text="Séminaire d'intégration">
      <formula>LEFT(BK169,LEN("Séminaire d'intégration"))="Séminaire d'intégration"</formula>
    </cfRule>
    <cfRule type="beginsWith" dxfId="12305" priority="10178" operator="beginsWith" text="Accueil">
      <formula>LEFT(BK169,LEN("Accueil"))="Accueil"</formula>
    </cfRule>
    <cfRule type="beginsWith" dxfId="12304" priority="10179" operator="beginsWith" text="TOPHYC">
      <formula>LEFT(BK169,LEN("TOPHYC"))="TOPHYC"</formula>
    </cfRule>
    <cfRule type="beginsWith" dxfId="12303" priority="10180" operator="beginsWith" text="Global Exam">
      <formula>LEFT(BK169,LEN("Global Exam"))="Global Exam"</formula>
    </cfRule>
    <cfRule type="beginsWith" dxfId="12302" priority="10181" operator="beginsWith" text="Stage">
      <formula>LEFT(BK169,LEN("Stage"))="Stage"</formula>
    </cfRule>
    <cfRule type="beginsWith" dxfId="12301" priority="10182" operator="beginsWith" text="Entreprise">
      <formula>LEFT(BK169,LEN("Entreprise"))="Entreprise"</formula>
    </cfRule>
    <cfRule type="beginsWith" dxfId="12300" priority="10183" operator="beginsWith" text="TOMIC">
      <formula>LEFT(BK169,LEN("TOMIC"))="TOMIC"</formula>
    </cfRule>
    <cfRule type="beginsWith" dxfId="12299" priority="10184" operator="beginsWith" text="Voltaire">
      <formula>LEFT(BK169,LEN("Voltaire"))="Voltaire"</formula>
    </cfRule>
  </conditionalFormatting>
  <conditionalFormatting sqref="BK174">
    <cfRule type="beginsWith" dxfId="12298" priority="10155" operator="beginsWith" text="Lancement Projet fil rouge">
      <formula>LEFT(BK174,LEN("Lancement Projet fil rouge"))="Lancement Projet fil rouge"</formula>
    </cfRule>
    <cfRule type="beginsWith" dxfId="12297" priority="10156" operator="beginsWith" text="Vacances">
      <formula>LEFT(BK174,LEN("Vacances"))="Vacances"</formula>
    </cfRule>
    <cfRule type="beginsWith" dxfId="12296" priority="10157" operator="beginsWith" text="Séminaire d'intégration">
      <formula>LEFT(BK174,LEN("Séminaire d'intégration"))="Séminaire d'intégration"</formula>
    </cfRule>
    <cfRule type="beginsWith" dxfId="12295" priority="10158" operator="beginsWith" text="Accueil">
      <formula>LEFT(BK174,LEN("Accueil"))="Accueil"</formula>
    </cfRule>
    <cfRule type="beginsWith" dxfId="12294" priority="10159" operator="beginsWith" text="TOPHYC">
      <formula>LEFT(BK174,LEN("TOPHYC"))="TOPHYC"</formula>
    </cfRule>
    <cfRule type="beginsWith" dxfId="12293" priority="10160" operator="beginsWith" text="Global Exam">
      <formula>LEFT(BK174,LEN("Global Exam"))="Global Exam"</formula>
    </cfRule>
    <cfRule type="beginsWith" dxfId="12292" priority="10161" operator="beginsWith" text="Stage">
      <formula>LEFT(BK174,LEN("Stage"))="Stage"</formula>
    </cfRule>
    <cfRule type="beginsWith" dxfId="12291" priority="10162" operator="beginsWith" text="Entreprise">
      <formula>LEFT(BK174,LEN("Entreprise"))="Entreprise"</formula>
    </cfRule>
    <cfRule type="beginsWith" dxfId="12290" priority="10163" operator="beginsWith" text="TOMIC">
      <formula>LEFT(BK174,LEN("TOMIC"))="TOMIC"</formula>
    </cfRule>
    <cfRule type="beginsWith" dxfId="12289" priority="10164" operator="beginsWith" text="Voltaire">
      <formula>LEFT(BK174,LEN("Voltaire"))="Voltaire"</formula>
    </cfRule>
  </conditionalFormatting>
  <conditionalFormatting sqref="BK180">
    <cfRule type="beginsWith" dxfId="12288" priority="17264" operator="beginsWith" text="Lancement Projet fil rouge">
      <formula>LEFT(BK180,LEN("Lancement Projet fil rouge"))="Lancement Projet fil rouge"</formula>
    </cfRule>
    <cfRule type="beginsWith" dxfId="12287" priority="17265" operator="beginsWith" text="Vacances">
      <formula>LEFT(BK180,LEN("Vacances"))="Vacances"</formula>
    </cfRule>
    <cfRule type="beginsWith" dxfId="12286" priority="17266" operator="beginsWith" text="Séminaire d'intégration">
      <formula>LEFT(BK180,LEN("Séminaire d'intégration"))="Séminaire d'intégration"</formula>
    </cfRule>
    <cfRule type="beginsWith" dxfId="12285" priority="17267" operator="beginsWith" text="Accueil">
      <formula>LEFT(BK180,LEN("Accueil"))="Accueil"</formula>
    </cfRule>
    <cfRule type="beginsWith" dxfId="12284" priority="17268" operator="beginsWith" text="TOPHYC">
      <formula>LEFT(BK180,LEN("TOPHYC"))="TOPHYC"</formula>
    </cfRule>
    <cfRule type="beginsWith" dxfId="12283" priority="17269" operator="beginsWith" text="Global Exam">
      <formula>LEFT(BK180,LEN("Global Exam"))="Global Exam"</formula>
    </cfRule>
    <cfRule type="beginsWith" dxfId="12282" priority="17270" operator="beginsWith" text="Stage">
      <formula>LEFT(BK180,LEN("Stage"))="Stage"</formula>
    </cfRule>
    <cfRule type="beginsWith" dxfId="12281" priority="17271" operator="beginsWith" text="Entreprise">
      <formula>LEFT(BK180,LEN("Entreprise"))="Entreprise"</formula>
    </cfRule>
    <cfRule type="beginsWith" dxfId="12280" priority="17272" operator="beginsWith" text="TOMIC">
      <formula>LEFT(BK180,LEN("TOMIC"))="TOMIC"</formula>
    </cfRule>
    <cfRule type="beginsWith" dxfId="12279" priority="17273" operator="beginsWith" text="Voltaire">
      <formula>LEFT(BK180,LEN("Voltaire"))="Voltaire"</formula>
    </cfRule>
  </conditionalFormatting>
  <conditionalFormatting sqref="BK188">
    <cfRule type="beginsWith" dxfId="12278" priority="22330" operator="beginsWith" text="Lancement Projet fil rouge">
      <formula>LEFT(BK188,LEN("Lancement Projet fil rouge"))="Lancement Projet fil rouge"</formula>
    </cfRule>
    <cfRule type="beginsWith" dxfId="12277" priority="22331" operator="beginsWith" text="Vacances">
      <formula>LEFT(BK188,LEN("Vacances"))="Vacances"</formula>
    </cfRule>
    <cfRule type="beginsWith" dxfId="12276" priority="22332" operator="beginsWith" text="Séminaire d'intégration">
      <formula>LEFT(BK188,LEN("Séminaire d'intégration"))="Séminaire d'intégration"</formula>
    </cfRule>
    <cfRule type="beginsWith" dxfId="12275" priority="22333" operator="beginsWith" text="Accueil">
      <formula>LEFT(BK188,LEN("Accueil"))="Accueil"</formula>
    </cfRule>
    <cfRule type="beginsWith" dxfId="12274" priority="22334" operator="beginsWith" text="TOPHYC">
      <formula>LEFT(BK188,LEN("TOPHYC"))="TOPHYC"</formula>
    </cfRule>
    <cfRule type="beginsWith" dxfId="12273" priority="22335" operator="beginsWith" text="Global Exam">
      <formula>LEFT(BK188,LEN("Global Exam"))="Global Exam"</formula>
    </cfRule>
    <cfRule type="beginsWith" dxfId="12272" priority="22336" operator="beginsWith" text="Stage">
      <formula>LEFT(BK188,LEN("Stage"))="Stage"</formula>
    </cfRule>
    <cfRule type="beginsWith" dxfId="12271" priority="22337" operator="beginsWith" text="Entreprise">
      <formula>LEFT(BK188,LEN("Entreprise"))="Entreprise"</formula>
    </cfRule>
    <cfRule type="beginsWith" dxfId="12270" priority="22338" operator="beginsWith" text="TOMIC">
      <formula>LEFT(BK188,LEN("TOMIC"))="TOMIC"</formula>
    </cfRule>
    <cfRule type="beginsWith" dxfId="12269" priority="22339" operator="beginsWith" text="Voltaire">
      <formula>LEFT(BK188,LEN("Voltaire"))="Voltaire"</formula>
    </cfRule>
  </conditionalFormatting>
  <conditionalFormatting sqref="BK191:BK193 BI195:BJ195 BL194:BL195">
    <cfRule type="beginsWith" dxfId="12268" priority="22425" operator="beginsWith" text="Lancement Projet fil rouge">
      <formula>LEFT(BI191,LEN("Lancement Projet fil rouge"))="Lancement Projet fil rouge"</formula>
    </cfRule>
    <cfRule type="beginsWith" dxfId="12267" priority="22426" operator="beginsWith" text="Vacances">
      <formula>LEFT(BI191,LEN("Vacances"))="Vacances"</formula>
    </cfRule>
    <cfRule type="beginsWith" dxfId="12266" priority="22427" operator="beginsWith" text="Séminaire d'intégration">
      <formula>LEFT(BI191,LEN("Séminaire d'intégration"))="Séminaire d'intégration"</formula>
    </cfRule>
    <cfRule type="beginsWith" dxfId="12265" priority="22428" operator="beginsWith" text="Accueil">
      <formula>LEFT(BI191,LEN("Accueil"))="Accueil"</formula>
    </cfRule>
    <cfRule type="beginsWith" dxfId="12264" priority="22431" operator="beginsWith" text="Stage">
      <formula>LEFT(BI191,LEN("Stage"))="Stage"</formula>
    </cfRule>
    <cfRule type="beginsWith" dxfId="12263" priority="22432" operator="beginsWith" text="Entreprise">
      <formula>LEFT(BI191,LEN("Entreprise"))="Entreprise"</formula>
    </cfRule>
    <cfRule type="beginsWith" dxfId="12262" priority="22434" operator="beginsWith" text="Voltaire">
      <formula>LEFT(BI191,LEN("Voltaire"))="Voltaire"</formula>
    </cfRule>
  </conditionalFormatting>
  <conditionalFormatting sqref="BK191:BK193 BL194:BL195">
    <cfRule type="beginsWith" dxfId="12261" priority="22429" operator="beginsWith" text="TOPHYC">
      <formula>LEFT(BK191,LEN("TOPHYC"))="TOPHYC"</formula>
    </cfRule>
    <cfRule type="beginsWith" dxfId="12260" priority="22430" operator="beginsWith" text="Global Exam">
      <formula>LEFT(BK191,LEN("Global Exam"))="Global Exam"</formula>
    </cfRule>
    <cfRule type="beginsWith" dxfId="12259" priority="22433" operator="beginsWith" text="TOMIC">
      <formula>LEFT(BK191,LEN("TOMIC"))="TOMIC"</formula>
    </cfRule>
  </conditionalFormatting>
  <conditionalFormatting sqref="BK194">
    <cfRule type="beginsWith" dxfId="12258" priority="19611" operator="beginsWith" text="Lancement Projet fil rouge">
      <formula>LEFT(BK194,LEN("Lancement Projet fil rouge"))="Lancement Projet fil rouge"</formula>
    </cfRule>
    <cfRule type="beginsWith" dxfId="12257" priority="19612" operator="beginsWith" text="Vacances">
      <formula>LEFT(BK194,LEN("Vacances"))="Vacances"</formula>
    </cfRule>
    <cfRule type="beginsWith" dxfId="12256" priority="19613" operator="beginsWith" text="Séminaire d'intégration">
      <formula>LEFT(BK194,LEN("Séminaire d'intégration"))="Séminaire d'intégration"</formula>
    </cfRule>
    <cfRule type="beginsWith" dxfId="12255" priority="19614" operator="beginsWith" text="Accueil">
      <formula>LEFT(BK194,LEN("Accueil"))="Accueil"</formula>
    </cfRule>
    <cfRule type="beginsWith" dxfId="12254" priority="19615" operator="beginsWith" text="TOPHYC">
      <formula>LEFT(BK194,LEN("TOPHYC"))="TOPHYC"</formula>
    </cfRule>
    <cfRule type="beginsWith" dxfId="12253" priority="19616" operator="beginsWith" text="Global Exam">
      <formula>LEFT(BK194,LEN("Global Exam"))="Global Exam"</formula>
    </cfRule>
    <cfRule type="beginsWith" dxfId="12252" priority="19617" operator="beginsWith" text="Stage">
      <formula>LEFT(BK194,LEN("Stage"))="Stage"</formula>
    </cfRule>
    <cfRule type="beginsWith" dxfId="12251" priority="19618" operator="beginsWith" text="Entreprise">
      <formula>LEFT(BK194,LEN("Entreprise"))="Entreprise"</formula>
    </cfRule>
    <cfRule type="beginsWith" dxfId="12250" priority="19619" operator="beginsWith" text="TOMIC">
      <formula>LEFT(BK194,LEN("TOMIC"))="TOMIC"</formula>
    </cfRule>
    <cfRule type="beginsWith" dxfId="12249" priority="19620" operator="beginsWith" text="Voltaire">
      <formula>LEFT(BK194,LEN("Voltaire"))="Voltaire"</formula>
    </cfRule>
  </conditionalFormatting>
  <conditionalFormatting sqref="BK195">
    <cfRule type="beginsWith" dxfId="12248" priority="22340" operator="beginsWith" text="Lancement Projet fil rouge">
      <formula>LEFT(BK195,LEN("Lancement Projet fil rouge"))="Lancement Projet fil rouge"</formula>
    </cfRule>
    <cfRule type="beginsWith" dxfId="12247" priority="22341" operator="beginsWith" text="Vacances">
      <formula>LEFT(BK195,LEN("Vacances"))="Vacances"</formula>
    </cfRule>
    <cfRule type="beginsWith" dxfId="12246" priority="22342" operator="beginsWith" text="Séminaire d'intégration">
      <formula>LEFT(BK195,LEN("Séminaire d'intégration"))="Séminaire d'intégration"</formula>
    </cfRule>
    <cfRule type="beginsWith" dxfId="12245" priority="22343" operator="beginsWith" text="Accueil">
      <formula>LEFT(BK195,LEN("Accueil"))="Accueil"</formula>
    </cfRule>
    <cfRule type="beginsWith" dxfId="12244" priority="22344" operator="beginsWith" text="TOPHYC">
      <formula>LEFT(BK195,LEN("TOPHYC"))="TOPHYC"</formula>
    </cfRule>
    <cfRule type="beginsWith" dxfId="12243" priority="22345" operator="beginsWith" text="Global Exam">
      <formula>LEFT(BK195,LEN("Global Exam"))="Global Exam"</formula>
    </cfRule>
    <cfRule type="beginsWith" dxfId="12242" priority="22346" operator="beginsWith" text="Stage">
      <formula>LEFT(BK195,LEN("Stage"))="Stage"</formula>
    </cfRule>
    <cfRule type="beginsWith" dxfId="12241" priority="22347" operator="beginsWith" text="Entreprise">
      <formula>LEFT(BK195,LEN("Entreprise"))="Entreprise"</formula>
    </cfRule>
    <cfRule type="beginsWith" dxfId="12240" priority="22348" operator="beginsWith" text="TOMIC">
      <formula>LEFT(BK195,LEN("TOMIC"))="TOMIC"</formula>
    </cfRule>
    <cfRule type="beginsWith" dxfId="12239" priority="22349" operator="beginsWith" text="Voltaire">
      <formula>LEFT(BK195,LEN("Voltaire"))="Voltaire"</formula>
    </cfRule>
  </conditionalFormatting>
  <conditionalFormatting sqref="BK224">
    <cfRule type="beginsWith" dxfId="12238" priority="10296" operator="beginsWith" text="Lancement Projet fil rouge">
      <formula>LEFT(BK224,LEN("Lancement Projet fil rouge"))="Lancement Projet fil rouge"</formula>
    </cfRule>
    <cfRule type="beginsWith" dxfId="12237" priority="10297" operator="beginsWith" text="Vacances">
      <formula>LEFT(BK224,LEN("Vacances"))="Vacances"</formula>
    </cfRule>
    <cfRule type="beginsWith" dxfId="12236" priority="10298" operator="beginsWith" text="Séminaire d'intégration">
      <formula>LEFT(BK224,LEN("Séminaire d'intégration"))="Séminaire d'intégration"</formula>
    </cfRule>
    <cfRule type="beginsWith" dxfId="12235" priority="10299" operator="beginsWith" text="Accueil">
      <formula>LEFT(BK224,LEN("Accueil"))="Accueil"</formula>
    </cfRule>
    <cfRule type="beginsWith" dxfId="12234" priority="10300" operator="beginsWith" text="TOPHYC">
      <formula>LEFT(BK224,LEN("TOPHYC"))="TOPHYC"</formula>
    </cfRule>
    <cfRule type="beginsWith" dxfId="12233" priority="10301" operator="beginsWith" text="Global Exam">
      <formula>LEFT(BK224,LEN("Global Exam"))="Global Exam"</formula>
    </cfRule>
    <cfRule type="beginsWith" dxfId="12232" priority="10302" operator="beginsWith" text="Stage">
      <formula>LEFT(BK224,LEN("Stage"))="Stage"</formula>
    </cfRule>
    <cfRule type="beginsWith" dxfId="12231" priority="10303" operator="beginsWith" text="Entreprise">
      <formula>LEFT(BK224,LEN("Entreprise"))="Entreprise"</formula>
    </cfRule>
    <cfRule type="beginsWith" dxfId="12230" priority="10304" operator="beginsWith" text="TOMIC">
      <formula>LEFT(BK224,LEN("TOMIC"))="TOMIC"</formula>
    </cfRule>
    <cfRule type="beginsWith" dxfId="12229" priority="10305" operator="beginsWith" text="Voltaire">
      <formula>LEFT(BK224,LEN("Voltaire"))="Voltaire"</formula>
    </cfRule>
  </conditionalFormatting>
  <conditionalFormatting sqref="BK229">
    <cfRule type="beginsWith" dxfId="12228" priority="10286" operator="beginsWith" text="Lancement Projet fil rouge">
      <formula>LEFT(BK229,LEN("Lancement Projet fil rouge"))="Lancement Projet fil rouge"</formula>
    </cfRule>
    <cfRule type="beginsWith" dxfId="12227" priority="10287" operator="beginsWith" text="Vacances">
      <formula>LEFT(BK229,LEN("Vacances"))="Vacances"</formula>
    </cfRule>
    <cfRule type="beginsWith" dxfId="12226" priority="10288" operator="beginsWith" text="Séminaire d'intégration">
      <formula>LEFT(BK229,LEN("Séminaire d'intégration"))="Séminaire d'intégration"</formula>
    </cfRule>
    <cfRule type="beginsWith" dxfId="12225" priority="10289" operator="beginsWith" text="Accueil">
      <formula>LEFT(BK229,LEN("Accueil"))="Accueil"</formula>
    </cfRule>
    <cfRule type="beginsWith" dxfId="12224" priority="10290" operator="beginsWith" text="TOPHYC">
      <formula>LEFT(BK229,LEN("TOPHYC"))="TOPHYC"</formula>
    </cfRule>
    <cfRule type="beginsWith" dxfId="12223" priority="10291" operator="beginsWith" text="Global Exam">
      <formula>LEFT(BK229,LEN("Global Exam"))="Global Exam"</formula>
    </cfRule>
    <cfRule type="beginsWith" dxfId="12222" priority="10292" operator="beginsWith" text="Stage">
      <formula>LEFT(BK229,LEN("Stage"))="Stage"</formula>
    </cfRule>
    <cfRule type="beginsWith" dxfId="12221" priority="10293" operator="beginsWith" text="Entreprise">
      <formula>LEFT(BK229,LEN("Entreprise"))="Entreprise"</formula>
    </cfRule>
    <cfRule type="beginsWith" dxfId="12220" priority="10294" operator="beginsWith" text="TOMIC">
      <formula>LEFT(BK229,LEN("TOMIC"))="TOMIC"</formula>
    </cfRule>
    <cfRule type="beginsWith" dxfId="12219" priority="10295" operator="beginsWith" text="Voltaire">
      <formula>LEFT(BK229,LEN("Voltaire"))="Voltaire"</formula>
    </cfRule>
  </conditionalFormatting>
  <conditionalFormatting sqref="BK1:BL2 BK5:BL5 BK190:BL190 BK186:BK187 BK166:BL168 BK385:BL1048576 BK16:BL20 BK170:BL173 BL169 BK196:BK200 BK131:BL135 BK141:BL148 BL180 BK201:BL206 BK150:BL150 BL149 BK175:BL179 BL174 BK156:BL160 BL231:BL240 BK211:BL215 BK189 BK26:BL125 BK218:BL220">
    <cfRule type="beginsWith" dxfId="12218" priority="22598" operator="beginsWith" text="TOPHYC">
      <formula>LEFT(BK1,LEN("TOPHYC"))="TOPHYC"</formula>
    </cfRule>
    <cfRule type="beginsWith" dxfId="12217" priority="22599" operator="beginsWith" text="Global Exam">
      <formula>LEFT(BK1,LEN("Global Exam"))="Global Exam"</formula>
    </cfRule>
    <cfRule type="beginsWith" dxfId="12216" priority="22602" operator="beginsWith" text="TOMIC">
      <formula>LEFT(BK1,LEN("TOMIC"))="TOMIC"</formula>
    </cfRule>
  </conditionalFormatting>
  <conditionalFormatting sqref="BK6:BL10">
    <cfRule type="beginsWith" dxfId="12215" priority="18232" operator="beginsWith" text="TOPHYC">
      <formula>LEFT(BK6,LEN("TOPHYC"))="TOPHYC"</formula>
    </cfRule>
    <cfRule type="beginsWith" dxfId="12214" priority="18233" operator="beginsWith" text="Global Exam">
      <formula>LEFT(BK6,LEN("Global Exam"))="Global Exam"</formula>
    </cfRule>
    <cfRule type="beginsWith" dxfId="12213" priority="18236" operator="beginsWith" text="TOMIC">
      <formula>LEFT(BK6,LEN("TOMIC"))="TOMIC"</formula>
    </cfRule>
  </conditionalFormatting>
  <conditionalFormatting sqref="BK11:BL15">
    <cfRule type="beginsWith" dxfId="12212" priority="22567" operator="beginsWith" text="TOPHYC">
      <formula>LEFT(BK11,LEN("TOPHYC"))="TOPHYC"</formula>
    </cfRule>
    <cfRule type="beginsWith" dxfId="12211" priority="22568" operator="beginsWith" text="Global Exam">
      <formula>LEFT(BK11,LEN("Global Exam"))="Global Exam"</formula>
    </cfRule>
    <cfRule type="beginsWith" dxfId="12210" priority="22571" operator="beginsWith" text="TOMIC">
      <formula>LEFT(BK11,LEN("TOMIC"))="TOMIC"</formula>
    </cfRule>
  </conditionalFormatting>
  <conditionalFormatting sqref="BK21:BL25">
    <cfRule type="beginsWith" dxfId="12209" priority="22181" operator="beginsWith" text="TOPHYC">
      <formula>LEFT(BK21,LEN("TOPHYC"))="TOPHYC"</formula>
    </cfRule>
    <cfRule type="beginsWith" dxfId="12208" priority="22182" operator="beginsWith" text="Global Exam">
      <formula>LEFT(BK21,LEN("Global Exam"))="Global Exam"</formula>
    </cfRule>
    <cfRule type="beginsWith" dxfId="12207" priority="22185" operator="beginsWith" text="TOMIC">
      <formula>LEFT(BK21,LEN("TOMIC"))="TOMIC"</formula>
    </cfRule>
  </conditionalFormatting>
  <conditionalFormatting sqref="BK151:BL155">
    <cfRule type="beginsWith" dxfId="12206" priority="17310" operator="beginsWith" text="TOPHYC">
      <formula>LEFT(BK151,LEN("TOPHYC"))="TOPHYC"</formula>
    </cfRule>
    <cfRule type="beginsWith" dxfId="12205" priority="17311" operator="beginsWith" text="Global Exam">
      <formula>LEFT(BK151,LEN("Global Exam"))="Global Exam"</formula>
    </cfRule>
    <cfRule type="beginsWith" dxfId="12204" priority="17314" operator="beginsWith" text="TOMIC">
      <formula>LEFT(BK151,LEN("TOMIC"))="TOMIC"</formula>
    </cfRule>
  </conditionalFormatting>
  <conditionalFormatting sqref="BK161:BL163 BL164:BL165">
    <cfRule type="beginsWith" dxfId="12203" priority="22252" operator="beginsWith" text="Lancement Projet fil rouge">
      <formula>LEFT(BK161,LEN("Lancement Projet fil rouge"))="Lancement Projet fil rouge"</formula>
    </cfRule>
    <cfRule type="beginsWith" dxfId="12202" priority="22253" operator="beginsWith" text="Vacances">
      <formula>LEFT(BK161,LEN("Vacances"))="Vacances"</formula>
    </cfRule>
    <cfRule type="beginsWith" dxfId="12201" priority="22254" operator="beginsWith" text="Séminaire d'intégration">
      <formula>LEFT(BK161,LEN("Séminaire d'intégration"))="Séminaire d'intégration"</formula>
    </cfRule>
    <cfRule type="beginsWith" dxfId="12200" priority="22255" operator="beginsWith" text="Accueil">
      <formula>LEFT(BK161,LEN("Accueil"))="Accueil"</formula>
    </cfRule>
    <cfRule type="beginsWith" dxfId="12199" priority="22256" operator="beginsWith" text="TOPHYC">
      <formula>LEFT(BK161,LEN("TOPHYC"))="TOPHYC"</formula>
    </cfRule>
    <cfRule type="beginsWith" dxfId="12198" priority="22257" operator="beginsWith" text="Global Exam">
      <formula>LEFT(BK161,LEN("Global Exam"))="Global Exam"</formula>
    </cfRule>
    <cfRule type="beginsWith" dxfId="12197" priority="22258" operator="beginsWith" text="Stage">
      <formula>LEFT(BK161,LEN("Stage"))="Stage"</formula>
    </cfRule>
    <cfRule type="beginsWith" dxfId="12196" priority="22259" operator="beginsWith" text="Entreprise">
      <formula>LEFT(BK161,LEN("Entreprise"))="Entreprise"</formula>
    </cfRule>
    <cfRule type="beginsWith" dxfId="12195" priority="22260" operator="beginsWith" text="TOMIC">
      <formula>LEFT(BK161,LEN("TOMIC"))="TOMIC"</formula>
    </cfRule>
    <cfRule type="beginsWith" dxfId="12194" priority="22261" operator="beginsWith" text="Voltaire">
      <formula>LEFT(BK161,LEN("Voltaire"))="Voltaire"</formula>
    </cfRule>
  </conditionalFormatting>
  <conditionalFormatting sqref="BK181:BL185">
    <cfRule type="beginsWith" dxfId="12193" priority="22439" operator="beginsWith" text="TOPHYC">
      <formula>LEFT(BK181,LEN("TOPHYC"))="TOPHYC"</formula>
    </cfRule>
    <cfRule type="beginsWith" dxfId="12192" priority="22440" operator="beginsWith" text="Global Exam">
      <formula>LEFT(BK181,LEN("Global Exam"))="Global Exam"</formula>
    </cfRule>
    <cfRule type="beginsWith" dxfId="12191" priority="22443" operator="beginsWith" text="TOMIC">
      <formula>LEFT(BK181,LEN("TOMIC"))="TOMIC"</formula>
    </cfRule>
  </conditionalFormatting>
  <conditionalFormatting sqref="BK221:BL223 BK225:BL225 BL224">
    <cfRule type="beginsWith" dxfId="12190" priority="17169" operator="beginsWith" text="TOPHYC">
      <formula>LEFT(BK221,LEN("TOPHYC"))="TOPHYC"</formula>
    </cfRule>
    <cfRule type="beginsWith" dxfId="12189" priority="17170" operator="beginsWith" text="Global Exam">
      <formula>LEFT(BK221,LEN("Global Exam"))="Global Exam"</formula>
    </cfRule>
    <cfRule type="beginsWith" dxfId="12188" priority="17173" operator="beginsWith" text="TOMIC">
      <formula>LEFT(BK221,LEN("TOMIC"))="TOMIC"</formula>
    </cfRule>
  </conditionalFormatting>
  <conditionalFormatting sqref="BK226:BL228 BK230:BL230 BL229">
    <cfRule type="beginsWith" dxfId="12187" priority="17179" operator="beginsWith" text="TOPHYC">
      <formula>LEFT(BK226,LEN("TOPHYC"))="TOPHYC"</formula>
    </cfRule>
    <cfRule type="beginsWith" dxfId="12186" priority="17180" operator="beginsWith" text="Global Exam">
      <formula>LEFT(BK226,LEN("Global Exam"))="Global Exam"</formula>
    </cfRule>
    <cfRule type="beginsWith" dxfId="12185" priority="17183" operator="beginsWith" text="TOMIC">
      <formula>LEFT(BK226,LEN("TOMIC"))="TOMIC"</formula>
    </cfRule>
  </conditionalFormatting>
  <conditionalFormatting sqref="BL126:BL130">
    <cfRule type="beginsWith" dxfId="12184" priority="10205" operator="beginsWith" text="Lancement Projet fil rouge">
      <formula>LEFT(BL126,LEN("Lancement Projet fil rouge"))="Lancement Projet fil rouge"</formula>
    </cfRule>
    <cfRule type="beginsWith" dxfId="12183" priority="10206" operator="beginsWith" text="Vacances">
      <formula>LEFT(BL126,LEN("Vacances"))="Vacances"</formula>
    </cfRule>
    <cfRule type="beginsWith" dxfId="12182" priority="10207" operator="beginsWith" text="Séminaire d'intégration">
      <formula>LEFT(BL126,LEN("Séminaire d'intégration"))="Séminaire d'intégration"</formula>
    </cfRule>
    <cfRule type="beginsWith" dxfId="12181" priority="10208" operator="beginsWith" text="Accueil">
      <formula>LEFT(BL126,LEN("Accueil"))="Accueil"</formula>
    </cfRule>
    <cfRule type="beginsWith" dxfId="12180" priority="10209" operator="beginsWith" text="TOPHYC">
      <formula>LEFT(BL126,LEN("TOPHYC"))="TOPHYC"</formula>
    </cfRule>
    <cfRule type="beginsWith" dxfId="12179" priority="10210" operator="beginsWith" text="Global Exam">
      <formula>LEFT(BL126,LEN("Global Exam"))="Global Exam"</formula>
    </cfRule>
    <cfRule type="beginsWith" dxfId="12178" priority="10211" operator="beginsWith" text="Stage">
      <formula>LEFT(BL126,LEN("Stage"))="Stage"</formula>
    </cfRule>
    <cfRule type="beginsWith" dxfId="12177" priority="10212" operator="beginsWith" text="Entreprise">
      <formula>LEFT(BL126,LEN("Entreprise"))="Entreprise"</formula>
    </cfRule>
    <cfRule type="beginsWith" dxfId="12176" priority="10213" operator="beginsWith" text="TOMIC">
      <formula>LEFT(BL126,LEN("TOMIC"))="TOMIC"</formula>
    </cfRule>
    <cfRule type="beginsWith" dxfId="12175" priority="10214" operator="beginsWith" text="Voltaire">
      <formula>LEFT(BL126,LEN("Voltaire"))="Voltaire"</formula>
    </cfRule>
  </conditionalFormatting>
  <conditionalFormatting sqref="BL136:BL140">
    <cfRule type="beginsWith" dxfId="12174" priority="12281" operator="beginsWith" text="Lancement Projet fil rouge">
      <formula>LEFT(BL136,LEN("Lancement Projet fil rouge"))="Lancement Projet fil rouge"</formula>
    </cfRule>
    <cfRule type="beginsWith" dxfId="12173" priority="12282" operator="beginsWith" text="Vacances">
      <formula>LEFT(BL136,LEN("Vacances"))="Vacances"</formula>
    </cfRule>
    <cfRule type="beginsWith" dxfId="12172" priority="12283" operator="beginsWith" text="Séminaire d'intégration">
      <formula>LEFT(BL136,LEN("Séminaire d'intégration"))="Séminaire d'intégration"</formula>
    </cfRule>
    <cfRule type="beginsWith" dxfId="12171" priority="12284" operator="beginsWith" text="Accueil">
      <formula>LEFT(BL136,LEN("Accueil"))="Accueil"</formula>
    </cfRule>
    <cfRule type="beginsWith" dxfId="12170" priority="12285" operator="beginsWith" text="TOPHYC">
      <formula>LEFT(BL136,LEN("TOPHYC"))="TOPHYC"</formula>
    </cfRule>
    <cfRule type="beginsWith" dxfId="12169" priority="12286" operator="beginsWith" text="Global Exam">
      <formula>LEFT(BL136,LEN("Global Exam"))="Global Exam"</formula>
    </cfRule>
    <cfRule type="beginsWith" dxfId="12168" priority="12287" operator="beginsWith" text="Stage">
      <formula>LEFT(BL136,LEN("Stage"))="Stage"</formula>
    </cfRule>
    <cfRule type="beginsWith" dxfId="12167" priority="12288" operator="beginsWith" text="Entreprise">
      <formula>LEFT(BL136,LEN("Entreprise"))="Entreprise"</formula>
    </cfRule>
    <cfRule type="beginsWith" dxfId="12166" priority="12289" operator="beginsWith" text="TOMIC">
      <formula>LEFT(BL136,LEN("TOMIC"))="TOMIC"</formula>
    </cfRule>
    <cfRule type="beginsWith" dxfId="12165" priority="12290" operator="beginsWith" text="Voltaire">
      <formula>LEFT(BL136,LEN("Voltaire"))="Voltaire"</formula>
    </cfRule>
  </conditionalFormatting>
  <conditionalFormatting sqref="BL186">
    <cfRule type="beginsWith" dxfId="12164" priority="17274" operator="beginsWith" text="Lancement Projet fil rouge">
      <formula>LEFT(BL186,LEN("Lancement Projet fil rouge"))="Lancement Projet fil rouge"</formula>
    </cfRule>
    <cfRule type="beginsWith" dxfId="12163" priority="17275" operator="beginsWith" text="Vacances">
      <formula>LEFT(BL186,LEN("Vacances"))="Vacances"</formula>
    </cfRule>
    <cfRule type="beginsWith" dxfId="12162" priority="17276" operator="beginsWith" text="Séminaire d'intégration">
      <formula>LEFT(BL186,LEN("Séminaire d'intégration"))="Séminaire d'intégration"</formula>
    </cfRule>
    <cfRule type="beginsWith" dxfId="12161" priority="17277" operator="beginsWith" text="Accueil">
      <formula>LEFT(BL186,LEN("Accueil"))="Accueil"</formula>
    </cfRule>
    <cfRule type="beginsWith" dxfId="12160" priority="17278" operator="beginsWith" text="TOPHYC">
      <formula>LEFT(BL186,LEN("TOPHYC"))="TOPHYC"</formula>
    </cfRule>
    <cfRule type="beginsWith" dxfId="12159" priority="17279" operator="beginsWith" text="Global Exam">
      <formula>LEFT(BL186,LEN("Global Exam"))="Global Exam"</formula>
    </cfRule>
    <cfRule type="beginsWith" dxfId="12158" priority="17280" operator="beginsWith" text="Stage">
      <formula>LEFT(BL186,LEN("Stage"))="Stage"</formula>
    </cfRule>
    <cfRule type="beginsWith" dxfId="12157" priority="17281" operator="beginsWith" text="Entreprise">
      <formula>LEFT(BL186,LEN("Entreprise"))="Entreprise"</formula>
    </cfRule>
    <cfRule type="beginsWith" dxfId="12156" priority="17282" operator="beginsWith" text="TOMIC">
      <formula>LEFT(BL186,LEN("TOMIC"))="TOMIC"</formula>
    </cfRule>
    <cfRule type="beginsWith" dxfId="12155" priority="17283" operator="beginsWith" text="Voltaire">
      <formula>LEFT(BL186,LEN("Voltaire"))="Voltaire"</formula>
    </cfRule>
  </conditionalFormatting>
  <conditionalFormatting sqref="BL191:BL193">
    <cfRule type="beginsWith" dxfId="12154" priority="22357" operator="beginsWith" text="Lancement Projet fil rouge">
      <formula>LEFT(BL191,LEN("Lancement Projet fil rouge"))="Lancement Projet fil rouge"</formula>
    </cfRule>
    <cfRule type="beginsWith" dxfId="12153" priority="22358" operator="beginsWith" text="Vacances">
      <formula>LEFT(BL191,LEN("Vacances"))="Vacances"</formula>
    </cfRule>
    <cfRule type="beginsWith" dxfId="12152" priority="22359" operator="beginsWith" text="Séminaire d'intégration">
      <formula>LEFT(BL191,LEN("Séminaire d'intégration"))="Séminaire d'intégration"</formula>
    </cfRule>
    <cfRule type="beginsWith" dxfId="12151" priority="22360" operator="beginsWith" text="Accueil">
      <formula>LEFT(BL191,LEN("Accueil"))="Accueil"</formula>
    </cfRule>
    <cfRule type="beginsWith" dxfId="12150" priority="22361" operator="beginsWith" text="TOPHYC">
      <formula>LEFT(BL191,LEN("TOPHYC"))="TOPHYC"</formula>
    </cfRule>
    <cfRule type="beginsWith" dxfId="12149" priority="22362" operator="beginsWith" text="Global Exam">
      <formula>LEFT(BL191,LEN("Global Exam"))="Global Exam"</formula>
    </cfRule>
    <cfRule type="beginsWith" dxfId="12148" priority="22363" operator="beginsWith" text="Stage">
      <formula>LEFT(BL191,LEN("Stage"))="Stage"</formula>
    </cfRule>
    <cfRule type="beginsWith" dxfId="12147" priority="22364" operator="beginsWith" text="Entreprise">
      <formula>LEFT(BL191,LEN("Entreprise"))="Entreprise"</formula>
    </cfRule>
    <cfRule type="beginsWith" dxfId="12146" priority="22365" operator="beginsWith" text="TOMIC">
      <formula>LEFT(BL191,LEN("TOMIC"))="TOMIC"</formula>
    </cfRule>
    <cfRule type="beginsWith" dxfId="12145" priority="22366" operator="beginsWith" text="Voltaire">
      <formula>LEFT(BL191,LEN("Voltaire"))="Voltaire"</formula>
    </cfRule>
  </conditionalFormatting>
  <conditionalFormatting sqref="BL196">
    <cfRule type="beginsWith" dxfId="12144" priority="12291" operator="beginsWith" text="Lancement Projet fil rouge">
      <formula>LEFT(BL196,LEN("Lancement Projet fil rouge"))="Lancement Projet fil rouge"</formula>
    </cfRule>
    <cfRule type="beginsWith" dxfId="12143" priority="12292" operator="beginsWith" text="Vacances">
      <formula>LEFT(BL196,LEN("Vacances"))="Vacances"</formula>
    </cfRule>
    <cfRule type="beginsWith" dxfId="12142" priority="12293" operator="beginsWith" text="Séminaire d'intégration">
      <formula>LEFT(BL196,LEN("Séminaire d'intégration"))="Séminaire d'intégration"</formula>
    </cfRule>
    <cfRule type="beginsWith" dxfId="12141" priority="12294" operator="beginsWith" text="Accueil">
      <formula>LEFT(BL196,LEN("Accueil"))="Accueil"</formula>
    </cfRule>
    <cfRule type="beginsWith" dxfId="12140" priority="12295" operator="beginsWith" text="TOPHYC">
      <formula>LEFT(BL196,LEN("TOPHYC"))="TOPHYC"</formula>
    </cfRule>
    <cfRule type="beginsWith" dxfId="12139" priority="12296" operator="beginsWith" text="Global Exam">
      <formula>LEFT(BL196,LEN("Global Exam"))="Global Exam"</formula>
    </cfRule>
    <cfRule type="beginsWith" dxfId="12138" priority="12297" operator="beginsWith" text="Stage">
      <formula>LEFT(BL196,LEN("Stage"))="Stage"</formula>
    </cfRule>
    <cfRule type="beginsWith" dxfId="12137" priority="12298" operator="beginsWith" text="Entreprise">
      <formula>LEFT(BL196,LEN("Entreprise"))="Entreprise"</formula>
    </cfRule>
    <cfRule type="beginsWith" dxfId="12136" priority="12299" operator="beginsWith" text="TOMIC">
      <formula>LEFT(BL196,LEN("TOMIC"))="TOMIC"</formula>
    </cfRule>
    <cfRule type="beginsWith" dxfId="12135" priority="12300" operator="beginsWith" text="Voltaire">
      <formula>LEFT(BL196,LEN("Voltaire"))="Voltaire"</formula>
    </cfRule>
  </conditionalFormatting>
  <conditionalFormatting sqref="BL207">
    <cfRule type="beginsWith" dxfId="12134" priority="17237" operator="beginsWith" text="Lancement Projet fil rouge">
      <formula>LEFT(BL207,LEN("Lancement Projet fil rouge"))="Lancement Projet fil rouge"</formula>
    </cfRule>
    <cfRule type="beginsWith" dxfId="12133" priority="17238" operator="beginsWith" text="Vacances">
      <formula>LEFT(BL207,LEN("Vacances"))="Vacances"</formula>
    </cfRule>
    <cfRule type="beginsWith" dxfId="12132" priority="17239" operator="beginsWith" text="Séminaire d'intégration">
      <formula>LEFT(BL207,LEN("Séminaire d'intégration"))="Séminaire d'intégration"</formula>
    </cfRule>
    <cfRule type="beginsWith" dxfId="12131" priority="17240" operator="beginsWith" text="Accueil">
      <formula>LEFT(BL207,LEN("Accueil"))="Accueil"</formula>
    </cfRule>
    <cfRule type="beginsWith" dxfId="12130" priority="17241" operator="beginsWith" text="TOPHYC">
      <formula>LEFT(BL207,LEN("TOPHYC"))="TOPHYC"</formula>
    </cfRule>
    <cfRule type="beginsWith" dxfId="12129" priority="17242" operator="beginsWith" text="Global Exam">
      <formula>LEFT(BL207,LEN("Global Exam"))="Global Exam"</formula>
    </cfRule>
    <cfRule type="beginsWith" dxfId="12128" priority="17243" operator="beginsWith" text="Stage">
      <formula>LEFT(BL207,LEN("Stage"))="Stage"</formula>
    </cfRule>
    <cfRule type="beginsWith" dxfId="12127" priority="17244" operator="beginsWith" text="Entreprise">
      <formula>LEFT(BL207,LEN("Entreprise"))="Entreprise"</formula>
    </cfRule>
    <cfRule type="beginsWith" dxfId="12126" priority="17245" operator="beginsWith" text="TOMIC">
      <formula>LEFT(BL207,LEN("TOMIC"))="TOMIC"</formula>
    </cfRule>
    <cfRule type="beginsWith" dxfId="12125" priority="17246" operator="beginsWith" text="Voltaire">
      <formula>LEFT(BL207,LEN("Voltaire"))="Voltaire"</formula>
    </cfRule>
  </conditionalFormatting>
  <conditionalFormatting sqref="BL208:BL210">
    <cfRule type="beginsWith" dxfId="12124" priority="17227" operator="beginsWith" text="Lancement Projet fil rouge">
      <formula>LEFT(BL208,LEN("Lancement Projet fil rouge"))="Lancement Projet fil rouge"</formula>
    </cfRule>
    <cfRule type="beginsWith" dxfId="12123" priority="17228" operator="beginsWith" text="Vacances">
      <formula>LEFT(BL208,LEN("Vacances"))="Vacances"</formula>
    </cfRule>
    <cfRule type="beginsWith" dxfId="12122" priority="17229" operator="beginsWith" text="Séminaire d'intégration">
      <formula>LEFT(BL208,LEN("Séminaire d'intégration"))="Séminaire d'intégration"</formula>
    </cfRule>
    <cfRule type="beginsWith" dxfId="12121" priority="17230" operator="beginsWith" text="Accueil">
      <formula>LEFT(BL208,LEN("Accueil"))="Accueil"</formula>
    </cfRule>
    <cfRule type="beginsWith" dxfId="12120" priority="17231" operator="beginsWith" text="TOPHYC">
      <formula>LEFT(BL208,LEN("TOPHYC"))="TOPHYC"</formula>
    </cfRule>
    <cfRule type="beginsWith" dxfId="12119" priority="17232" operator="beginsWith" text="Global Exam">
      <formula>LEFT(BL208,LEN("Global Exam"))="Global Exam"</formula>
    </cfRule>
    <cfRule type="beginsWith" dxfId="12118" priority="17233" operator="beginsWith" text="Stage">
      <formula>LEFT(BL208,LEN("Stage"))="Stage"</formula>
    </cfRule>
    <cfRule type="beginsWith" dxfId="12117" priority="17234" operator="beginsWith" text="Entreprise">
      <formula>LEFT(BL208,LEN("Entreprise"))="Entreprise"</formula>
    </cfRule>
    <cfRule type="beginsWith" dxfId="12116" priority="17235" operator="beginsWith" text="TOMIC">
      <formula>LEFT(BL208,LEN("TOMIC"))="TOMIC"</formula>
    </cfRule>
    <cfRule type="beginsWith" dxfId="12115" priority="17236" operator="beginsWith" text="Voltaire">
      <formula>LEFT(BL208,LEN("Voltaire"))="Voltaire"</formula>
    </cfRule>
  </conditionalFormatting>
  <conditionalFormatting sqref="BV1:BV2 BV5 BV44:BV45 BV159 BV99:BV104 BV60">
    <cfRule type="beginsWith" dxfId="12114" priority="30161" operator="beginsWith" text="Projet professionnel : Séminaire PFI">
      <formula>LEFT(BV1,LEN("Projet professionnel : Séminaire PFI"))="Projet professionnel : Séminaire PFI"</formula>
    </cfRule>
    <cfRule type="beginsWith" dxfId="12113" priority="30163" operator="beginsWith" text="Vacances">
      <formula>LEFT(BV1,LEN("Vacances"))="Vacances"</formula>
    </cfRule>
    <cfRule type="beginsWith" dxfId="12112" priority="30164" operator="beginsWith" text="Séminaire d'intégration">
      <formula>LEFT(BV1,LEN("Séminaire d'intégration"))="Séminaire d'intégration"</formula>
    </cfRule>
    <cfRule type="beginsWith" dxfId="12111" priority="30165" operator="beginsWith" text="Accueil">
      <formula>LEFT(BV1,LEN("Accueil"))="Accueil"</formula>
    </cfRule>
    <cfRule type="beginsWith" dxfId="12110" priority="30166" operator="beginsWith" text="Stage">
      <formula>LEFT(BV1,LEN("Stage"))="Stage"</formula>
    </cfRule>
    <cfRule type="beginsWith" dxfId="12109" priority="30167" operator="beginsWith" text="Entreprise">
      <formula>LEFT(BV1,LEN("Entreprise"))="Entreprise"</formula>
    </cfRule>
    <cfRule type="beginsWith" dxfId="12108" priority="30168" operator="beginsWith" text="Voltaire">
      <formula>LEFT(BV1,LEN("Voltaire"))="Voltaire"</formula>
    </cfRule>
  </conditionalFormatting>
  <conditionalFormatting sqref="BV3">
    <cfRule type="beginsWith" dxfId="12107" priority="29898" operator="beginsWith" text="Lancement Projet fil rouge">
      <formula>LEFT(BV3,LEN("Lancement Projet fil rouge"))="Lancement Projet fil rouge"</formula>
    </cfRule>
    <cfRule type="beginsWith" dxfId="12106" priority="29899" operator="beginsWith" text="Vacances">
      <formula>LEFT(BV3,LEN("Vacances"))="Vacances"</formula>
    </cfRule>
    <cfRule type="beginsWith" dxfId="12105" priority="29900" operator="beginsWith" text="Séminaire d'intégration">
      <formula>LEFT(BV3,LEN("Séminaire d'intégration"))="Séminaire d'intégration"</formula>
    </cfRule>
    <cfRule type="beginsWith" dxfId="12104" priority="29901" operator="beginsWith" text="Accueil">
      <formula>LEFT(BV3,LEN("Accueil"))="Accueil"</formula>
    </cfRule>
    <cfRule type="beginsWith" dxfId="12103" priority="29902" operator="beginsWith" text="Stage">
      <formula>LEFT(BV3,LEN("Stage"))="Stage"</formula>
    </cfRule>
    <cfRule type="beginsWith" dxfId="12102" priority="29903" operator="beginsWith" text="Entreprise">
      <formula>LEFT(BV3,LEN("Entreprise"))="Entreprise"</formula>
    </cfRule>
    <cfRule type="beginsWith" dxfId="12101" priority="29904" operator="beginsWith" text="Voltaire">
      <formula>LEFT(BV3,LEN("Voltaire"))="Voltaire"</formula>
    </cfRule>
  </conditionalFormatting>
  <conditionalFormatting sqref="BV21">
    <cfRule type="beginsWith" dxfId="12100" priority="29929" operator="beginsWith" text="Projet professionnel : Séminaire PFI">
      <formula>LEFT(BV21,LEN("Projet professionnel : Séminaire PFI"))="Projet professionnel : Séminaire PFI"</formula>
    </cfRule>
    <cfRule type="beginsWith" dxfId="12099" priority="29930" operator="beginsWith" text="Lancement Projet fil rouge">
      <formula>LEFT(BV21,LEN("Lancement Projet fil rouge"))="Lancement Projet fil rouge"</formula>
    </cfRule>
    <cfRule type="beginsWith" dxfId="12098" priority="29931" operator="beginsWith" text="Vacances">
      <formula>LEFT(BV21,LEN("Vacances"))="Vacances"</formula>
    </cfRule>
    <cfRule type="beginsWith" dxfId="12097" priority="29932" operator="beginsWith" text="Séminaire d'intégration">
      <formula>LEFT(BV21,LEN("Séminaire d'intégration"))="Séminaire d'intégration"</formula>
    </cfRule>
    <cfRule type="beginsWith" dxfId="12096" priority="29933" operator="beginsWith" text="Accueil">
      <formula>LEFT(BV21,LEN("Accueil"))="Accueil"</formula>
    </cfRule>
    <cfRule type="beginsWith" dxfId="12095" priority="29934" operator="beginsWith" text="Stage">
      <formula>LEFT(BV21,LEN("Stage"))="Stage"</formula>
    </cfRule>
    <cfRule type="beginsWith" dxfId="12094" priority="29935" operator="beginsWith" text="Entreprise">
      <formula>LEFT(BV21,LEN("Entreprise"))="Entreprise"</formula>
    </cfRule>
    <cfRule type="beginsWith" dxfId="12093" priority="29936" operator="beginsWith" text="Voltaire">
      <formula>LEFT(BV21,LEN("Voltaire"))="Voltaire"</formula>
    </cfRule>
  </conditionalFormatting>
  <conditionalFormatting sqref="BV31">
    <cfRule type="beginsWith" dxfId="12092" priority="29945" operator="beginsWith" text="Projet professionnel : Séminaire PFI">
      <formula>LEFT(BV31,LEN("Projet professionnel : Séminaire PFI"))="Projet professionnel : Séminaire PFI"</formula>
    </cfRule>
    <cfRule type="beginsWith" dxfId="12091" priority="29946" operator="beginsWith" text="Lancement Projet fil rouge">
      <formula>LEFT(BV31,LEN("Lancement Projet fil rouge"))="Lancement Projet fil rouge"</formula>
    </cfRule>
    <cfRule type="beginsWith" dxfId="12090" priority="29947" operator="beginsWith" text="Vacances">
      <formula>LEFT(BV31,LEN("Vacances"))="Vacances"</formula>
    </cfRule>
    <cfRule type="beginsWith" dxfId="12089" priority="29948" operator="beginsWith" text="Séminaire d'intégration">
      <formula>LEFT(BV31,LEN("Séminaire d'intégration"))="Séminaire d'intégration"</formula>
    </cfRule>
    <cfRule type="beginsWith" dxfId="12088" priority="29949" operator="beginsWith" text="Accueil">
      <formula>LEFT(BV31,LEN("Accueil"))="Accueil"</formula>
    </cfRule>
    <cfRule type="beginsWith" dxfId="12087" priority="29950" operator="beginsWith" text="Stage">
      <formula>LEFT(BV31,LEN("Stage"))="Stage"</formula>
    </cfRule>
    <cfRule type="beginsWith" dxfId="12086" priority="29951" operator="beginsWith" text="Entreprise">
      <formula>LEFT(BV31,LEN("Entreprise"))="Entreprise"</formula>
    </cfRule>
    <cfRule type="beginsWith" dxfId="12085" priority="29952" operator="beginsWith" text="Voltaire">
      <formula>LEFT(BV31,LEN("Voltaire"))="Voltaire"</formula>
    </cfRule>
  </conditionalFormatting>
  <conditionalFormatting sqref="BV41:BV43">
    <cfRule type="beginsWith" dxfId="12084" priority="29977" operator="beginsWith" text="Projet professionnel : Séminaire PFI">
      <formula>LEFT(BV41,LEN("Projet professionnel : Séminaire PFI"))="Projet professionnel : Séminaire PFI"</formula>
    </cfRule>
    <cfRule type="beginsWith" dxfId="12083" priority="29978" operator="beginsWith" text="Lancement Projet fil rouge">
      <formula>LEFT(BV41,LEN("Lancement Projet fil rouge"))="Lancement Projet fil rouge"</formula>
    </cfRule>
    <cfRule type="beginsWith" dxfId="12082" priority="29979" operator="beginsWith" text="Vacances">
      <formula>LEFT(BV41,LEN("Vacances"))="Vacances"</formula>
    </cfRule>
    <cfRule type="beginsWith" dxfId="12081" priority="29980" operator="beginsWith" text="Séminaire d'intégration">
      <formula>LEFT(BV41,LEN("Séminaire d'intégration"))="Séminaire d'intégration"</formula>
    </cfRule>
    <cfRule type="beginsWith" dxfId="12080" priority="29981" operator="beginsWith" text="Accueil">
      <formula>LEFT(BV41,LEN("Accueil"))="Accueil"</formula>
    </cfRule>
    <cfRule type="beginsWith" dxfId="12079" priority="29982" operator="beginsWith" text="Stage">
      <formula>LEFT(BV41,LEN("Stage"))="Stage"</formula>
    </cfRule>
    <cfRule type="beginsWith" dxfId="12078" priority="29983" operator="beginsWith" text="Entreprise">
      <formula>LEFT(BV41,LEN("Entreprise"))="Entreprise"</formula>
    </cfRule>
    <cfRule type="beginsWith" dxfId="12077" priority="29984" operator="beginsWith" text="Voltaire">
      <formula>LEFT(BV41,LEN("Voltaire"))="Voltaire"</formula>
    </cfRule>
  </conditionalFormatting>
  <conditionalFormatting sqref="BV46">
    <cfRule type="beginsWith" dxfId="12076" priority="29953" operator="beginsWith" text="Projet professionnel : Séminaire PFI">
      <formula>LEFT(BV46,LEN("Projet professionnel : Séminaire PFI"))="Projet professionnel : Séminaire PFI"</formula>
    </cfRule>
    <cfRule type="beginsWith" dxfId="12075" priority="29954" operator="beginsWith" text="Lancement Projet fil rouge">
      <formula>LEFT(BV46,LEN("Lancement Projet fil rouge"))="Lancement Projet fil rouge"</formula>
    </cfRule>
    <cfRule type="beginsWith" dxfId="12074" priority="29955" operator="beginsWith" text="Vacances">
      <formula>LEFT(BV46,LEN("Vacances"))="Vacances"</formula>
    </cfRule>
    <cfRule type="beginsWith" dxfId="12073" priority="29956" operator="beginsWith" text="Séminaire d'intégration">
      <formula>LEFT(BV46,LEN("Séminaire d'intégration"))="Séminaire d'intégration"</formula>
    </cfRule>
    <cfRule type="beginsWith" dxfId="12072" priority="29957" operator="beginsWith" text="Accueil">
      <formula>LEFT(BV46,LEN("Accueil"))="Accueil"</formula>
    </cfRule>
    <cfRule type="beginsWith" dxfId="12071" priority="29958" operator="beginsWith" text="Stage">
      <formula>LEFT(BV46,LEN("Stage"))="Stage"</formula>
    </cfRule>
    <cfRule type="beginsWith" dxfId="12070" priority="29959" operator="beginsWith" text="Entreprise">
      <formula>LEFT(BV46,LEN("Entreprise"))="Entreprise"</formula>
    </cfRule>
    <cfRule type="beginsWith" dxfId="12069" priority="29960" operator="beginsWith" text="Voltaire">
      <formula>LEFT(BV46,LEN("Voltaire"))="Voltaire"</formula>
    </cfRule>
  </conditionalFormatting>
  <conditionalFormatting sqref="BV47:BV59">
    <cfRule type="beginsWith" dxfId="12068" priority="29937" operator="beginsWith" text="Projet professionnel : Séminaire PFI">
      <formula>LEFT(BV47,LEN("Projet professionnel : Séminaire PFI"))="Projet professionnel : Séminaire PFI"</formula>
    </cfRule>
    <cfRule type="beginsWith" dxfId="12067" priority="29938" operator="beginsWith" text="Lancement Projet fil rouge">
      <formula>LEFT(BV47,LEN("Lancement Projet fil rouge"))="Lancement Projet fil rouge"</formula>
    </cfRule>
    <cfRule type="beginsWith" dxfId="12066" priority="29939" operator="beginsWith" text="Vacances">
      <formula>LEFT(BV47,LEN("Vacances"))="Vacances"</formula>
    </cfRule>
    <cfRule type="beginsWith" dxfId="12065" priority="29940" operator="beginsWith" text="Séminaire d'intégration">
      <formula>LEFT(BV47,LEN("Séminaire d'intégration"))="Séminaire d'intégration"</formula>
    </cfRule>
    <cfRule type="beginsWith" dxfId="12064" priority="29941" operator="beginsWith" text="Accueil">
      <formula>LEFT(BV47,LEN("Accueil"))="Accueil"</formula>
    </cfRule>
    <cfRule type="beginsWith" dxfId="12063" priority="29942" operator="beginsWith" text="Stage">
      <formula>LEFT(BV47,LEN("Stage"))="Stage"</formula>
    </cfRule>
    <cfRule type="beginsWith" dxfId="12062" priority="29943" operator="beginsWith" text="Entreprise">
      <formula>LEFT(BV47,LEN("Entreprise"))="Entreprise"</formula>
    </cfRule>
    <cfRule type="beginsWith" dxfId="12061" priority="29944" operator="beginsWith" text="Voltaire">
      <formula>LEFT(BV47,LEN("Voltaire"))="Voltaire"</formula>
    </cfRule>
  </conditionalFormatting>
  <conditionalFormatting sqref="BV61">
    <cfRule type="beginsWith" dxfId="12060" priority="29985" operator="beginsWith" text="Projet professionnel : Séminaire PFI">
      <formula>LEFT(BV61,LEN("Projet professionnel : Séminaire PFI"))="Projet professionnel : Séminaire PFI"</formula>
    </cfRule>
    <cfRule type="beginsWith" dxfId="12059" priority="29987" operator="beginsWith" text="Vacances">
      <formula>LEFT(BV61,LEN("Vacances"))="Vacances"</formula>
    </cfRule>
    <cfRule type="beginsWith" dxfId="12058" priority="29988" operator="beginsWith" text="Séminaire d'intégration">
      <formula>LEFT(BV61,LEN("Séminaire d'intégration"))="Séminaire d'intégration"</formula>
    </cfRule>
    <cfRule type="beginsWith" dxfId="12057" priority="29989" operator="beginsWith" text="Accueil">
      <formula>LEFT(BV61,LEN("Accueil"))="Accueil"</formula>
    </cfRule>
    <cfRule type="beginsWith" dxfId="12056" priority="29990" operator="beginsWith" text="Stage">
      <formula>LEFT(BV61,LEN("Stage"))="Stage"</formula>
    </cfRule>
    <cfRule type="beginsWith" dxfId="12055" priority="29991" operator="beginsWith" text="Entreprise">
      <formula>LEFT(BV61,LEN("Entreprise"))="Entreprise"</formula>
    </cfRule>
    <cfRule type="beginsWith" dxfId="12054" priority="29992" operator="beginsWith" text="Voltaire">
      <formula>LEFT(BV61,LEN("Voltaire"))="Voltaire"</formula>
    </cfRule>
  </conditionalFormatting>
  <conditionalFormatting sqref="BV66:BV68">
    <cfRule type="beginsWith" dxfId="12053" priority="29905" operator="beginsWith" text="Projet professionnel : Séminaire PFI">
      <formula>LEFT(BV66,LEN("Projet professionnel : Séminaire PFI"))="Projet professionnel : Séminaire PFI"</formula>
    </cfRule>
    <cfRule type="beginsWith" dxfId="12052" priority="29906" operator="beginsWith" text="Lancement Projet fil rouge">
      <formula>LEFT(BV66,LEN("Lancement Projet fil rouge"))="Lancement Projet fil rouge"</formula>
    </cfRule>
    <cfRule type="beginsWith" dxfId="12051" priority="29907" operator="beginsWith" text="Vacances">
      <formula>LEFT(BV66,LEN("Vacances"))="Vacances"</formula>
    </cfRule>
    <cfRule type="beginsWith" dxfId="12050" priority="29908" operator="beginsWith" text="Séminaire d'intégration">
      <formula>LEFT(BV66,LEN("Séminaire d'intégration"))="Séminaire d'intégration"</formula>
    </cfRule>
    <cfRule type="beginsWith" dxfId="12049" priority="29909" operator="beginsWith" text="Accueil">
      <formula>LEFT(BV66,LEN("Accueil"))="Accueil"</formula>
    </cfRule>
    <cfRule type="beginsWith" dxfId="12048" priority="29910" operator="beginsWith" text="Stage">
      <formula>LEFT(BV66,LEN("Stage"))="Stage"</formula>
    </cfRule>
    <cfRule type="beginsWith" dxfId="12047" priority="29911" operator="beginsWith" text="Entreprise">
      <formula>LEFT(BV66,LEN("Entreprise"))="Entreprise"</formula>
    </cfRule>
    <cfRule type="beginsWith" dxfId="12046" priority="29912" operator="beginsWith" text="Voltaire">
      <formula>LEFT(BV66,LEN("Voltaire"))="Voltaire"</formula>
    </cfRule>
  </conditionalFormatting>
  <conditionalFormatting sqref="BV71">
    <cfRule type="beginsWith" dxfId="12045" priority="29913" operator="beginsWith" text="Projet professionnel : Séminaire PFI">
      <formula>LEFT(BV71,LEN("Projet professionnel : Séminaire PFI"))="Projet professionnel : Séminaire PFI"</formula>
    </cfRule>
    <cfRule type="beginsWith" dxfId="12044" priority="29914" operator="beginsWith" text="Lancement Projet fil rouge">
      <formula>LEFT(BV71,LEN("Lancement Projet fil rouge"))="Lancement Projet fil rouge"</formula>
    </cfRule>
    <cfRule type="beginsWith" dxfId="12043" priority="29915" operator="beginsWith" text="Vacances">
      <formula>LEFT(BV71,LEN("Vacances"))="Vacances"</formula>
    </cfRule>
    <cfRule type="beginsWith" dxfId="12042" priority="29916" operator="beginsWith" text="Séminaire d'intégration">
      <formula>LEFT(BV71,LEN("Séminaire d'intégration"))="Séminaire d'intégration"</formula>
    </cfRule>
    <cfRule type="beginsWith" dxfId="12041" priority="29917" operator="beginsWith" text="Accueil">
      <formula>LEFT(BV71,LEN("Accueil"))="Accueil"</formula>
    </cfRule>
    <cfRule type="beginsWith" dxfId="12040" priority="29918" operator="beginsWith" text="Stage">
      <formula>LEFT(BV71,LEN("Stage"))="Stage"</formula>
    </cfRule>
    <cfRule type="beginsWith" dxfId="12039" priority="29919" operator="beginsWith" text="Entreprise">
      <formula>LEFT(BV71,LEN("Entreprise"))="Entreprise"</formula>
    </cfRule>
    <cfRule type="beginsWith" dxfId="12038" priority="29920" operator="beginsWith" text="Voltaire">
      <formula>LEFT(BV71,LEN("Voltaire"))="Voltaire"</formula>
    </cfRule>
  </conditionalFormatting>
  <conditionalFormatting sqref="BV81">
    <cfRule type="beginsWith" dxfId="12037" priority="29969" operator="beginsWith" text="Projet professionnel : Séminaire PFI">
      <formula>LEFT(BV81,LEN("Projet professionnel : Séminaire PFI"))="Projet professionnel : Séminaire PFI"</formula>
    </cfRule>
    <cfRule type="beginsWith" dxfId="12036" priority="29970" operator="beginsWith" text="Lancement Projet fil rouge">
      <formula>LEFT(BV81,LEN("Lancement Projet fil rouge"))="Lancement Projet fil rouge"</formula>
    </cfRule>
    <cfRule type="beginsWith" dxfId="12035" priority="29971" operator="beginsWith" text="Vacances">
      <formula>LEFT(BV81,LEN("Vacances"))="Vacances"</formula>
    </cfRule>
    <cfRule type="beginsWith" dxfId="12034" priority="29972" operator="beginsWith" text="Séminaire d'intégration">
      <formula>LEFT(BV81,LEN("Séminaire d'intégration"))="Séminaire d'intégration"</formula>
    </cfRule>
    <cfRule type="beginsWith" dxfId="12033" priority="29973" operator="beginsWith" text="Accueil">
      <formula>LEFT(BV81,LEN("Accueil"))="Accueil"</formula>
    </cfRule>
    <cfRule type="beginsWith" dxfId="12032" priority="29974" operator="beginsWith" text="Stage">
      <formula>LEFT(BV81,LEN("Stage"))="Stage"</formula>
    </cfRule>
    <cfRule type="beginsWith" dxfId="12031" priority="29975" operator="beginsWith" text="Entreprise">
      <formula>LEFT(BV81,LEN("Entreprise"))="Entreprise"</formula>
    </cfRule>
    <cfRule type="beginsWith" dxfId="12030" priority="29976" operator="beginsWith" text="Voltaire">
      <formula>LEFT(BV81,LEN("Voltaire"))="Voltaire"</formula>
    </cfRule>
  </conditionalFormatting>
  <conditionalFormatting sqref="BV86">
    <cfRule type="beginsWith" dxfId="12029" priority="30001" operator="beginsWith" text="Projet professionnel : Séminaire PFI">
      <formula>LEFT(BV86,LEN("Projet professionnel : Séminaire PFI"))="Projet professionnel : Séminaire PFI"</formula>
    </cfRule>
    <cfRule type="beginsWith" dxfId="12028" priority="30002" operator="beginsWith" text="Lancement Projet fil rouge">
      <formula>LEFT(BV86,LEN("Lancement Projet fil rouge"))="Lancement Projet fil rouge"</formula>
    </cfRule>
    <cfRule type="beginsWith" dxfId="12027" priority="30003" operator="beginsWith" text="Vacances">
      <formula>LEFT(BV86,LEN("Vacances"))="Vacances"</formula>
    </cfRule>
    <cfRule type="beginsWith" dxfId="12026" priority="30004" operator="beginsWith" text="Séminaire d'intégration">
      <formula>LEFT(BV86,LEN("Séminaire d'intégration"))="Séminaire d'intégration"</formula>
    </cfRule>
    <cfRule type="beginsWith" dxfId="12025" priority="30005" operator="beginsWith" text="Accueil">
      <formula>LEFT(BV86,LEN("Accueil"))="Accueil"</formula>
    </cfRule>
    <cfRule type="beginsWith" dxfId="12024" priority="30006" operator="beginsWith" text="Stage">
      <formula>LEFT(BV86,LEN("Stage"))="Stage"</formula>
    </cfRule>
    <cfRule type="beginsWith" dxfId="12023" priority="30007" operator="beginsWith" text="Entreprise">
      <formula>LEFT(BV86,LEN("Entreprise"))="Entreprise"</formula>
    </cfRule>
    <cfRule type="beginsWith" dxfId="12022" priority="30008" operator="beginsWith" text="Voltaire">
      <formula>LEFT(BV86,LEN("Voltaire"))="Voltaire"</formula>
    </cfRule>
  </conditionalFormatting>
  <conditionalFormatting sqref="BV96:BV98">
    <cfRule type="beginsWith" dxfId="12021" priority="14654" operator="beginsWith" text="Projet professionnel : Séminaire PFI">
      <formula>LEFT(BV96,LEN("Projet professionnel : Séminaire PFI"))="Projet professionnel : Séminaire PFI"</formula>
    </cfRule>
    <cfRule type="beginsWith" dxfId="12020" priority="14655" operator="beginsWith" text="Lancement Projet fil rouge">
      <formula>LEFT(BV96,LEN("Lancement Projet fil rouge"))="Lancement Projet fil rouge"</formula>
    </cfRule>
    <cfRule type="beginsWith" dxfId="12019" priority="14656" operator="beginsWith" text="Vacances">
      <formula>LEFT(BV96,LEN("Vacances"))="Vacances"</formula>
    </cfRule>
    <cfRule type="beginsWith" dxfId="12018" priority="14657" operator="beginsWith" text="Séminaire d'intégration">
      <formula>LEFT(BV96,LEN("Séminaire d'intégration"))="Séminaire d'intégration"</formula>
    </cfRule>
    <cfRule type="beginsWith" dxfId="12017" priority="14658" operator="beginsWith" text="Accueil">
      <formula>LEFT(BV96,LEN("Accueil"))="Accueil"</formula>
    </cfRule>
    <cfRule type="beginsWith" dxfId="12016" priority="14659" operator="beginsWith" text="Stage">
      <formula>LEFT(BV96,LEN("Stage"))="Stage"</formula>
    </cfRule>
    <cfRule type="beginsWith" dxfId="12015" priority="14660" operator="beginsWith" text="Entreprise">
      <formula>LEFT(BV96,LEN("Entreprise"))="Entreprise"</formula>
    </cfRule>
    <cfRule type="beginsWith" dxfId="12014" priority="14661" operator="beginsWith" text="Voltaire">
      <formula>LEFT(BV96,LEN("Voltaire"))="Voltaire"</formula>
    </cfRule>
  </conditionalFormatting>
  <conditionalFormatting sqref="BV171">
    <cfRule type="beginsWith" dxfId="12013" priority="30017" operator="beginsWith" text="Projet professionnel : Séminaire PFI">
      <formula>LEFT(BV171,LEN("Projet professionnel : Séminaire PFI"))="Projet professionnel : Séminaire PFI"</formula>
    </cfRule>
    <cfRule type="beginsWith" dxfId="12012" priority="30018" operator="beginsWith" text="Lancement Projet fil rouge">
      <formula>LEFT(BV171,LEN("Lancement Projet fil rouge"))="Lancement Projet fil rouge"</formula>
    </cfRule>
    <cfRule type="beginsWith" dxfId="12011" priority="30019" operator="beginsWith" text="Vacances">
      <formula>LEFT(BV171,LEN("Vacances"))="Vacances"</formula>
    </cfRule>
    <cfRule type="beginsWith" dxfId="12010" priority="30020" operator="beginsWith" text="Séminaire d'intégration">
      <formula>LEFT(BV171,LEN("Séminaire d'intégration"))="Séminaire d'intégration"</formula>
    </cfRule>
    <cfRule type="beginsWith" dxfId="12009" priority="30021" operator="beginsWith" text="Accueil">
      <formula>LEFT(BV171,LEN("Accueil"))="Accueil"</formula>
    </cfRule>
    <cfRule type="beginsWith" dxfId="12008" priority="30022" operator="beginsWith" text="Stage">
      <formula>LEFT(BV171,LEN("Stage"))="Stage"</formula>
    </cfRule>
    <cfRule type="beginsWith" dxfId="12007" priority="30023" operator="beginsWith" text="Entreprise">
      <formula>LEFT(BV171,LEN("Entreprise"))="Entreprise"</formula>
    </cfRule>
    <cfRule type="beginsWith" dxfId="12006" priority="30024" operator="beginsWith" text="Voltaire">
      <formula>LEFT(BV171,LEN("Voltaire"))="Voltaire"</formula>
    </cfRule>
  </conditionalFormatting>
  <conditionalFormatting sqref="BV121">
    <cfRule type="beginsWith" dxfId="12005" priority="30105" operator="beginsWith" text="Projet professionnel : Séminaire PFI">
      <formula>LEFT(BV121,LEN("Projet professionnel : Séminaire PFI"))="Projet professionnel : Séminaire PFI"</formula>
    </cfRule>
    <cfRule type="beginsWith" dxfId="12004" priority="30106" operator="beginsWith" text="Lancement Projet fil rouge">
      <formula>LEFT(BV121,LEN("Lancement Projet fil rouge"))="Lancement Projet fil rouge"</formula>
    </cfRule>
    <cfRule type="beginsWith" dxfId="12003" priority="30107" operator="beginsWith" text="Vacances">
      <formula>LEFT(BV121,LEN("Vacances"))="Vacances"</formula>
    </cfRule>
    <cfRule type="beginsWith" dxfId="12002" priority="30108" operator="beginsWith" text="Séminaire d'intégration">
      <formula>LEFT(BV121,LEN("Séminaire d'intégration"))="Séminaire d'intégration"</formula>
    </cfRule>
    <cfRule type="beginsWith" dxfId="12001" priority="30109" operator="beginsWith" text="Accueil">
      <formula>LEFT(BV121,LEN("Accueil"))="Accueil"</formula>
    </cfRule>
    <cfRule type="beginsWith" dxfId="12000" priority="30110" operator="beginsWith" text="Stage">
      <formula>LEFT(BV121,LEN("Stage"))="Stage"</formula>
    </cfRule>
    <cfRule type="beginsWith" dxfId="11999" priority="30111" operator="beginsWith" text="Entreprise">
      <formula>LEFT(BV121,LEN("Entreprise"))="Entreprise"</formula>
    </cfRule>
    <cfRule type="beginsWith" dxfId="11998" priority="30112" operator="beginsWith" text="Voltaire">
      <formula>LEFT(BV121,LEN("Voltaire"))="Voltaire"</formula>
    </cfRule>
  </conditionalFormatting>
  <conditionalFormatting sqref="BV126">
    <cfRule type="beginsWith" dxfId="11997" priority="30097" operator="beginsWith" text="Projet professionnel : Séminaire PFI">
      <formula>LEFT(BV126,LEN("Projet professionnel : Séminaire PFI"))="Projet professionnel : Séminaire PFI"</formula>
    </cfRule>
    <cfRule type="beginsWith" dxfId="11996" priority="30098" operator="beginsWith" text="Lancement Projet fil rouge">
      <formula>LEFT(BV126,LEN("Lancement Projet fil rouge"))="Lancement Projet fil rouge"</formula>
    </cfRule>
    <cfRule type="beginsWith" dxfId="11995" priority="30099" operator="beginsWith" text="Vacances">
      <formula>LEFT(BV126,LEN("Vacances"))="Vacances"</formula>
    </cfRule>
    <cfRule type="beginsWith" dxfId="11994" priority="30100" operator="beginsWith" text="Séminaire d'intégration">
      <formula>LEFT(BV126,LEN("Séminaire d'intégration"))="Séminaire d'intégration"</formula>
    </cfRule>
    <cfRule type="beginsWith" dxfId="11993" priority="30101" operator="beginsWith" text="Accueil">
      <formula>LEFT(BV126,LEN("Accueil"))="Accueil"</formula>
    </cfRule>
    <cfRule type="beginsWith" dxfId="11992" priority="30102" operator="beginsWith" text="Stage">
      <formula>LEFT(BV126,LEN("Stage"))="Stage"</formula>
    </cfRule>
    <cfRule type="beginsWith" dxfId="11991" priority="30103" operator="beginsWith" text="Entreprise">
      <formula>LEFT(BV126,LEN("Entreprise"))="Entreprise"</formula>
    </cfRule>
    <cfRule type="beginsWith" dxfId="11990" priority="30104" operator="beginsWith" text="Voltaire">
      <formula>LEFT(BV126,LEN("Voltaire"))="Voltaire"</formula>
    </cfRule>
  </conditionalFormatting>
  <conditionalFormatting sqref="BV131:BV141">
    <cfRule type="beginsWith" dxfId="11989" priority="30025" operator="beginsWith" text="Projet professionnel : Séminaire PFI">
      <formula>LEFT(BV131,LEN("Projet professionnel : Séminaire PFI"))="Projet professionnel : Séminaire PFI"</formula>
    </cfRule>
    <cfRule type="beginsWith" dxfId="11988" priority="30026" operator="beginsWith" text="Lancement Projet fil rouge">
      <formula>LEFT(BV131,LEN("Lancement Projet fil rouge"))="Lancement Projet fil rouge"</formula>
    </cfRule>
    <cfRule type="beginsWith" dxfId="11987" priority="30027" operator="beginsWith" text="Vacances">
      <formula>LEFT(BV131,LEN("Vacances"))="Vacances"</formula>
    </cfRule>
    <cfRule type="beginsWith" dxfId="11986" priority="30028" operator="beginsWith" text="Séminaire d'intégration">
      <formula>LEFT(BV131,LEN("Séminaire d'intégration"))="Séminaire d'intégration"</formula>
    </cfRule>
    <cfRule type="beginsWith" dxfId="11985" priority="30029" operator="beginsWith" text="Accueil">
      <formula>LEFT(BV131,LEN("Accueil"))="Accueil"</formula>
    </cfRule>
    <cfRule type="beginsWith" dxfId="11984" priority="30030" operator="beginsWith" text="Stage">
      <formula>LEFT(BV131,LEN("Stage"))="Stage"</formula>
    </cfRule>
    <cfRule type="beginsWith" dxfId="11983" priority="30031" operator="beginsWith" text="Entreprise">
      <formula>LEFT(BV131,LEN("Entreprise"))="Entreprise"</formula>
    </cfRule>
    <cfRule type="beginsWith" dxfId="11982" priority="30032" operator="beginsWith" text="Voltaire">
      <formula>LEFT(BV131,LEN("Voltaire"))="Voltaire"</formula>
    </cfRule>
  </conditionalFormatting>
  <conditionalFormatting sqref="BV142:BV143">
    <cfRule type="beginsWith" dxfId="11981" priority="30137" operator="beginsWith" text="Projet professionnel : Séminaire PFI">
      <formula>LEFT(BV142,LEN("Projet professionnel : Séminaire PFI"))="Projet professionnel : Séminaire PFI"</formula>
    </cfRule>
    <cfRule type="beginsWith" dxfId="11980" priority="30138" operator="beginsWith" text="Lancement Projet fil rouge">
      <formula>LEFT(BV142,LEN("Lancement Projet fil rouge"))="Lancement Projet fil rouge"</formula>
    </cfRule>
    <cfRule type="beginsWith" dxfId="11979" priority="30139" operator="beginsWith" text="Vacances">
      <formula>LEFT(BV142,LEN("Vacances"))="Vacances"</formula>
    </cfRule>
    <cfRule type="beginsWith" dxfId="11978" priority="30140" operator="beginsWith" text="Séminaire d'intégration">
      <formula>LEFT(BV142,LEN("Séminaire d'intégration"))="Séminaire d'intégration"</formula>
    </cfRule>
    <cfRule type="beginsWith" dxfId="11977" priority="30141" operator="beginsWith" text="Accueil">
      <formula>LEFT(BV142,LEN("Accueil"))="Accueil"</formula>
    </cfRule>
    <cfRule type="beginsWith" dxfId="11976" priority="30142" operator="beginsWith" text="Stage">
      <formula>LEFT(BV142,LEN("Stage"))="Stage"</formula>
    </cfRule>
    <cfRule type="beginsWith" dxfId="11975" priority="30143" operator="beginsWith" text="Entreprise">
      <formula>LEFT(BV142,LEN("Entreprise"))="Entreprise"</formula>
    </cfRule>
    <cfRule type="beginsWith" dxfId="11974" priority="30144" operator="beginsWith" text="Voltaire">
      <formula>LEFT(BV142,LEN("Voltaire"))="Voltaire"</formula>
    </cfRule>
  </conditionalFormatting>
  <conditionalFormatting sqref="BV144:BV158">
    <cfRule type="beginsWith" dxfId="11973" priority="30009" operator="beginsWith" text="Projet professionnel : Séminaire PFI">
      <formula>LEFT(BV144,LEN("Projet professionnel : Séminaire PFI"))="Projet professionnel : Séminaire PFI"</formula>
    </cfRule>
    <cfRule type="beginsWith" dxfId="11972" priority="30010" operator="beginsWith" text="Lancement Projet fil rouge">
      <formula>LEFT(BV144,LEN("Lancement Projet fil rouge"))="Lancement Projet fil rouge"</formula>
    </cfRule>
    <cfRule type="beginsWith" dxfId="11971" priority="30011" operator="beginsWith" text="Vacances">
      <formula>LEFT(BV144,LEN("Vacances"))="Vacances"</formula>
    </cfRule>
    <cfRule type="beginsWith" dxfId="11970" priority="30012" operator="beginsWith" text="Séminaire d'intégration">
      <formula>LEFT(BV144,LEN("Séminaire d'intégration"))="Séminaire d'intégration"</formula>
    </cfRule>
    <cfRule type="beginsWith" dxfId="11969" priority="30013" operator="beginsWith" text="Accueil">
      <formula>LEFT(BV144,LEN("Accueil"))="Accueil"</formula>
    </cfRule>
    <cfRule type="beginsWith" dxfId="11968" priority="30014" operator="beginsWith" text="Stage">
      <formula>LEFT(BV144,LEN("Stage"))="Stage"</formula>
    </cfRule>
    <cfRule type="beginsWith" dxfId="11967" priority="30015" operator="beginsWith" text="Entreprise">
      <formula>LEFT(BV144,LEN("Entreprise"))="Entreprise"</formula>
    </cfRule>
    <cfRule type="beginsWith" dxfId="11966" priority="30016" operator="beginsWith" text="Voltaire">
      <formula>LEFT(BV144,LEN("Voltaire"))="Voltaire"</formula>
    </cfRule>
  </conditionalFormatting>
  <conditionalFormatting sqref="BV160:BV163">
    <cfRule type="beginsWith" dxfId="11965" priority="30113" operator="beginsWith" text="Projet professionnel : Séminaire PFI">
      <formula>LEFT(BV160,LEN("Projet professionnel : Séminaire PFI"))="Projet professionnel : Séminaire PFI"</formula>
    </cfRule>
    <cfRule type="beginsWith" dxfId="11964" priority="30114" operator="beginsWith" text="Lancement Projet fil rouge">
      <formula>LEFT(BV160,LEN("Lancement Projet fil rouge"))="Lancement Projet fil rouge"</formula>
    </cfRule>
    <cfRule type="beginsWith" dxfId="11963" priority="30115" operator="beginsWith" text="Vacances">
      <formula>LEFT(BV160,LEN("Vacances"))="Vacances"</formula>
    </cfRule>
    <cfRule type="beginsWith" dxfId="11962" priority="30116" operator="beginsWith" text="Séminaire d'intégration">
      <formula>LEFT(BV160,LEN("Séminaire d'intégration"))="Séminaire d'intégration"</formula>
    </cfRule>
    <cfRule type="beginsWith" dxfId="11961" priority="30117" operator="beginsWith" text="Accueil">
      <formula>LEFT(BV160,LEN("Accueil"))="Accueil"</formula>
    </cfRule>
    <cfRule type="beginsWith" dxfId="11960" priority="30118" operator="beginsWith" text="Stage">
      <formula>LEFT(BV160,LEN("Stage"))="Stage"</formula>
    </cfRule>
    <cfRule type="beginsWith" dxfId="11959" priority="30119" operator="beginsWith" text="Entreprise">
      <formula>LEFT(BV160,LEN("Entreprise"))="Entreprise"</formula>
    </cfRule>
    <cfRule type="beginsWith" dxfId="11958" priority="30120" operator="beginsWith" text="Voltaire">
      <formula>LEFT(BV160,LEN("Voltaire"))="Voltaire"</formula>
    </cfRule>
  </conditionalFormatting>
  <conditionalFormatting sqref="BV164:BV170">
    <cfRule type="beginsWith" dxfId="11957" priority="30033" operator="beginsWith" text="Projet professionnel : Séminaire PFI">
      <formula>LEFT(BV164,LEN("Projet professionnel : Séminaire PFI"))="Projet professionnel : Séminaire PFI"</formula>
    </cfRule>
    <cfRule type="beginsWith" dxfId="11956" priority="30034" operator="beginsWith" text="Lancement Projet fil rouge">
      <formula>LEFT(BV164,LEN("Lancement Projet fil rouge"))="Lancement Projet fil rouge"</formula>
    </cfRule>
    <cfRule type="beginsWith" dxfId="11955" priority="30035" operator="beginsWith" text="Vacances">
      <formula>LEFT(BV164,LEN("Vacances"))="Vacances"</formula>
    </cfRule>
    <cfRule type="beginsWith" dxfId="11954" priority="30036" operator="beginsWith" text="Séminaire d'intégration">
      <formula>LEFT(BV164,LEN("Séminaire d'intégration"))="Séminaire d'intégration"</formula>
    </cfRule>
    <cfRule type="beginsWith" dxfId="11953" priority="30037" operator="beginsWith" text="Accueil">
      <formula>LEFT(BV164,LEN("Accueil"))="Accueil"</formula>
    </cfRule>
    <cfRule type="beginsWith" dxfId="11952" priority="30038" operator="beginsWith" text="Stage">
      <formula>LEFT(BV164,LEN("Stage"))="Stage"</formula>
    </cfRule>
    <cfRule type="beginsWith" dxfId="11951" priority="30039" operator="beginsWith" text="Entreprise">
      <formula>LEFT(BV164,LEN("Entreprise"))="Entreprise"</formula>
    </cfRule>
    <cfRule type="beginsWith" dxfId="11950" priority="30040" operator="beginsWith" text="Voltaire">
      <formula>LEFT(BV164,LEN("Voltaire"))="Voltaire"</formula>
    </cfRule>
  </conditionalFormatting>
  <conditionalFormatting sqref="BV181:BV184">
    <cfRule type="beginsWith" dxfId="11949" priority="30057" operator="beginsWith" text="Projet professionnel : Séminaire PFI">
      <formula>LEFT(BV181,LEN("Projet professionnel : Séminaire PFI"))="Projet professionnel : Séminaire PFI"</formula>
    </cfRule>
    <cfRule type="beginsWith" dxfId="11948" priority="30058" operator="beginsWith" text="Lancement Projet fil rouge">
      <formula>LEFT(BV181,LEN("Lancement Projet fil rouge"))="Lancement Projet fil rouge"</formula>
    </cfRule>
    <cfRule type="beginsWith" dxfId="11947" priority="30059" operator="beginsWith" text="Vacances">
      <formula>LEFT(BV181,LEN("Vacances"))="Vacances"</formula>
    </cfRule>
    <cfRule type="beginsWith" dxfId="11946" priority="30060" operator="beginsWith" text="Séminaire d'intégration">
      <formula>LEFT(BV181,LEN("Séminaire d'intégration"))="Séminaire d'intégration"</formula>
    </cfRule>
    <cfRule type="beginsWith" dxfId="11945" priority="30061" operator="beginsWith" text="Accueil">
      <formula>LEFT(BV181,LEN("Accueil"))="Accueil"</formula>
    </cfRule>
    <cfRule type="beginsWith" dxfId="11944" priority="30062" operator="beginsWith" text="Stage">
      <formula>LEFT(BV181,LEN("Stage"))="Stage"</formula>
    </cfRule>
    <cfRule type="beginsWith" dxfId="11943" priority="30063" operator="beginsWith" text="Entreprise">
      <formula>LEFT(BV181,LEN("Entreprise"))="Entreprise"</formula>
    </cfRule>
    <cfRule type="beginsWith" dxfId="11942" priority="30064" operator="beginsWith" text="Voltaire">
      <formula>LEFT(BV181,LEN("Voltaire"))="Voltaire"</formula>
    </cfRule>
  </conditionalFormatting>
  <conditionalFormatting sqref="BV185:BV188">
    <cfRule type="beginsWith" dxfId="11941" priority="30065" operator="beginsWith" text="Projet professionnel : Séminaire PFI">
      <formula>LEFT(BV185,LEN("Projet professionnel : Séminaire PFI"))="Projet professionnel : Séminaire PFI"</formula>
    </cfRule>
    <cfRule type="beginsWith" dxfId="11940" priority="30066" operator="beginsWith" text="Lancement Projet fil rouge">
      <formula>LEFT(BV185,LEN("Lancement Projet fil rouge"))="Lancement Projet fil rouge"</formula>
    </cfRule>
    <cfRule type="beginsWith" dxfId="11939" priority="30067" operator="beginsWith" text="Vacances">
      <formula>LEFT(BV185,LEN("Vacances"))="Vacances"</formula>
    </cfRule>
    <cfRule type="beginsWith" dxfId="11938" priority="30068" operator="beginsWith" text="Séminaire d'intégration">
      <formula>LEFT(BV185,LEN("Séminaire d'intégration"))="Séminaire d'intégration"</formula>
    </cfRule>
    <cfRule type="beginsWith" dxfId="11937" priority="30069" operator="beginsWith" text="Accueil">
      <formula>LEFT(BV185,LEN("Accueil"))="Accueil"</formula>
    </cfRule>
    <cfRule type="beginsWith" dxfId="11936" priority="30070" operator="beginsWith" text="Stage">
      <formula>LEFT(BV185,LEN("Stage"))="Stage"</formula>
    </cfRule>
    <cfRule type="beginsWith" dxfId="11935" priority="30071" operator="beginsWith" text="Entreprise">
      <formula>LEFT(BV185,LEN("Entreprise"))="Entreprise"</formula>
    </cfRule>
    <cfRule type="beginsWith" dxfId="11934" priority="30072" operator="beginsWith" text="Voltaire">
      <formula>LEFT(BV185,LEN("Voltaire"))="Voltaire"</formula>
    </cfRule>
  </conditionalFormatting>
  <conditionalFormatting sqref="BV189:BV197">
    <cfRule type="beginsWith" dxfId="11933" priority="30129" operator="beginsWith" text="Projet professionnel : Séminaire PFI">
      <formula>LEFT(BV189,LEN("Projet professionnel : Séminaire PFI"))="Projet professionnel : Séminaire PFI"</formula>
    </cfRule>
    <cfRule type="beginsWith" dxfId="11932" priority="30130" operator="beginsWith" text="Lancement Projet fil rouge">
      <formula>LEFT(BV189,LEN("Lancement Projet fil rouge"))="Lancement Projet fil rouge"</formula>
    </cfRule>
    <cfRule type="beginsWith" dxfId="11931" priority="30131" operator="beginsWith" text="Vacances">
      <formula>LEFT(BV189,LEN("Vacances"))="Vacances"</formula>
    </cfRule>
    <cfRule type="beginsWith" dxfId="11930" priority="30132" operator="beginsWith" text="Séminaire d'intégration">
      <formula>LEFT(BV189,LEN("Séminaire d'intégration"))="Séminaire d'intégration"</formula>
    </cfRule>
    <cfRule type="beginsWith" dxfId="11929" priority="30133" operator="beginsWith" text="Accueil">
      <formula>LEFT(BV189,LEN("Accueil"))="Accueil"</formula>
    </cfRule>
    <cfRule type="beginsWith" dxfId="11928" priority="30134" operator="beginsWith" text="Stage">
      <formula>LEFT(BV189,LEN("Stage"))="Stage"</formula>
    </cfRule>
    <cfRule type="beginsWith" dxfId="11927" priority="30135" operator="beginsWith" text="Entreprise">
      <formula>LEFT(BV189,LEN("Entreprise"))="Entreprise"</formula>
    </cfRule>
    <cfRule type="beginsWith" dxfId="11926" priority="30136" operator="beginsWith" text="Voltaire">
      <formula>LEFT(BV189,LEN("Voltaire"))="Voltaire"</formula>
    </cfRule>
  </conditionalFormatting>
  <conditionalFormatting sqref="BV198:BV200">
    <cfRule type="beginsWith" dxfId="11925" priority="30121" operator="beginsWith" text="Projet professionnel : Séminaire PFI">
      <formula>LEFT(BV198,LEN("Projet professionnel : Séminaire PFI"))="Projet professionnel : Séminaire PFI"</formula>
    </cfRule>
    <cfRule type="beginsWith" dxfId="11924" priority="30122" operator="beginsWith" text="Lancement Projet fil rouge">
      <formula>LEFT(BV198,LEN("Lancement Projet fil rouge"))="Lancement Projet fil rouge"</formula>
    </cfRule>
    <cfRule type="beginsWith" dxfId="11923" priority="30123" operator="beginsWith" text="Vacances">
      <formula>LEFT(BV198,LEN("Vacances"))="Vacances"</formula>
    </cfRule>
    <cfRule type="beginsWith" dxfId="11922" priority="30124" operator="beginsWith" text="Séminaire d'intégration">
      <formula>LEFT(BV198,LEN("Séminaire d'intégration"))="Séminaire d'intégration"</formula>
    </cfRule>
    <cfRule type="beginsWith" dxfId="11921" priority="30125" operator="beginsWith" text="Accueil">
      <formula>LEFT(BV198,LEN("Accueil"))="Accueil"</formula>
    </cfRule>
    <cfRule type="beginsWith" dxfId="11920" priority="30126" operator="beginsWith" text="Stage">
      <formula>LEFT(BV198,LEN("Stage"))="Stage"</formula>
    </cfRule>
    <cfRule type="beginsWith" dxfId="11919" priority="30127" operator="beginsWith" text="Entreprise">
      <formula>LEFT(BV198,LEN("Entreprise"))="Entreprise"</formula>
    </cfRule>
    <cfRule type="beginsWith" dxfId="11918" priority="30128" operator="beginsWith" text="Voltaire">
      <formula>LEFT(BV198,LEN("Voltaire"))="Voltaire"</formula>
    </cfRule>
  </conditionalFormatting>
  <conditionalFormatting sqref="BV216">
    <cfRule type="beginsWith" dxfId="11917" priority="30041" operator="beginsWith" text="Projet professionnel : Séminaire PFI">
      <formula>LEFT(BV216,LEN("Projet professionnel : Séminaire PFI"))="Projet professionnel : Séminaire PFI"</formula>
    </cfRule>
    <cfRule type="beginsWith" dxfId="11916" priority="30042" operator="beginsWith" text="Lancement Projet fil rouge">
      <formula>LEFT(BV216,LEN("Lancement Projet fil rouge"))="Lancement Projet fil rouge"</formula>
    </cfRule>
    <cfRule type="beginsWith" dxfId="11915" priority="30043" operator="beginsWith" text="Vacances">
      <formula>LEFT(BV216,LEN("Vacances"))="Vacances"</formula>
    </cfRule>
    <cfRule type="beginsWith" dxfId="11914" priority="30044" operator="beginsWith" text="Séminaire d'intégration">
      <formula>LEFT(BV216,LEN("Séminaire d'intégration"))="Séminaire d'intégration"</formula>
    </cfRule>
    <cfRule type="beginsWith" dxfId="11913" priority="30045" operator="beginsWith" text="Accueil">
      <formula>LEFT(BV216,LEN("Accueil"))="Accueil"</formula>
    </cfRule>
    <cfRule type="beginsWith" dxfId="11912" priority="30046" operator="beginsWith" text="Stage">
      <formula>LEFT(BV216,LEN("Stage"))="Stage"</formula>
    </cfRule>
    <cfRule type="beginsWith" dxfId="11911" priority="30047" operator="beginsWith" text="Entreprise">
      <formula>LEFT(BV216,LEN("Entreprise"))="Entreprise"</formula>
    </cfRule>
    <cfRule type="beginsWith" dxfId="11910" priority="30048" operator="beginsWith" text="Voltaire">
      <formula>LEFT(BV216,LEN("Voltaire"))="Voltaire"</formula>
    </cfRule>
    <cfRule type="beginsWith" dxfId="11909" priority="30049" operator="beginsWith" text="Projet professionnel : Séminaire PFI">
      <formula>LEFT(BV216,LEN("Projet professionnel : Séminaire PFI"))="Projet professionnel : Séminaire PFI"</formula>
    </cfRule>
    <cfRule type="beginsWith" dxfId="11908" priority="30050" operator="beginsWith" text="Lancement Projet fil rouge">
      <formula>LEFT(BV216,LEN("Lancement Projet fil rouge"))="Lancement Projet fil rouge"</formula>
    </cfRule>
    <cfRule type="beginsWith" dxfId="11907" priority="30051" operator="beginsWith" text="Vacances">
      <formula>LEFT(BV216,LEN("Vacances"))="Vacances"</formula>
    </cfRule>
    <cfRule type="beginsWith" dxfId="11906" priority="30052" operator="beginsWith" text="Séminaire d'intégration">
      <formula>LEFT(BV216,LEN("Séminaire d'intégration"))="Séminaire d'intégration"</formula>
    </cfRule>
    <cfRule type="beginsWith" dxfId="11905" priority="30053" operator="beginsWith" text="Accueil">
      <formula>LEFT(BV216,LEN("Accueil"))="Accueil"</formula>
    </cfRule>
    <cfRule type="beginsWith" dxfId="11904" priority="30054" operator="beginsWith" text="Stage">
      <formula>LEFT(BV216,LEN("Stage"))="Stage"</formula>
    </cfRule>
    <cfRule type="beginsWith" dxfId="11903" priority="30055" operator="beginsWith" text="Entreprise">
      <formula>LEFT(BV216,LEN("Entreprise"))="Entreprise"</formula>
    </cfRule>
    <cfRule type="beginsWith" dxfId="11902" priority="30056" operator="beginsWith" text="Voltaire">
      <formula>LEFT(BV216,LEN("Voltaire"))="Voltaire"</formula>
    </cfRule>
  </conditionalFormatting>
  <conditionalFormatting sqref="BV256">
    <cfRule type="beginsWith" dxfId="11901" priority="20117" operator="beginsWith" text="Projet professionnel : Séminaire PFI">
      <formula>LEFT(BV256,LEN("Projet professionnel : Séminaire PFI"))="Projet professionnel : Séminaire PFI"</formula>
    </cfRule>
    <cfRule type="beginsWith" dxfId="11900" priority="20118" operator="beginsWith" text="Lancement Projet fil rouge">
      <formula>LEFT(BV256,LEN("Lancement Projet fil rouge"))="Lancement Projet fil rouge"</formula>
    </cfRule>
    <cfRule type="beginsWith" dxfId="11899" priority="20119" operator="beginsWith" text="Vacances">
      <formula>LEFT(BV256,LEN("Vacances"))="Vacances"</formula>
    </cfRule>
    <cfRule type="beginsWith" dxfId="11898" priority="20120" operator="beginsWith" text="Séminaire d'intégration">
      <formula>LEFT(BV256,LEN("Séminaire d'intégration"))="Séminaire d'intégration"</formula>
    </cfRule>
    <cfRule type="beginsWith" dxfId="11897" priority="20121" operator="beginsWith" text="Accueil">
      <formula>LEFT(BV256,LEN("Accueil"))="Accueil"</formula>
    </cfRule>
    <cfRule type="beginsWith" dxfId="11896" priority="20122" operator="beginsWith" text="Stage">
      <formula>LEFT(BV256,LEN("Stage"))="Stage"</formula>
    </cfRule>
    <cfRule type="beginsWith" dxfId="11895" priority="20123" operator="beginsWith" text="Entreprise">
      <formula>LEFT(BV256,LEN("Entreprise"))="Entreprise"</formula>
    </cfRule>
    <cfRule type="beginsWith" dxfId="11894" priority="20124" operator="beginsWith" text="Voltaire">
      <formula>LEFT(BV256,LEN("Voltaire"))="Voltaire"</formula>
    </cfRule>
  </conditionalFormatting>
  <conditionalFormatting sqref="BV61:BW61">
    <cfRule type="beginsWith" dxfId="11893" priority="29986" operator="beginsWith" text="Lancement Projet fil rouge">
      <formula>LEFT(BV61,LEN("Lancement Projet fil rouge"))="Lancement Projet fil rouge"</formula>
    </cfRule>
  </conditionalFormatting>
  <conditionalFormatting sqref="BV1:CA2 BV5:CA5 BV44:BV45 BV60 BV99:BV104 BV159">
    <cfRule type="beginsWith" dxfId="11892" priority="30162" operator="beginsWith" text="Lancement Projet fil rouge">
      <formula>LEFT(BV1,LEN("Lancement Projet fil rouge"))="Lancement Projet fil rouge"</formula>
    </cfRule>
  </conditionalFormatting>
  <conditionalFormatting sqref="BW6:BW10">
    <cfRule type="beginsWith" dxfId="11891" priority="18068" operator="beginsWith" text="Lancement Projet fil rouge">
      <formula>LEFT(BW6,LEN("Lancement Projet fil rouge"))="Lancement Projet fil rouge"</formula>
    </cfRule>
    <cfRule type="beginsWith" dxfId="11890" priority="18069" operator="beginsWith" text="Vacances">
      <formula>LEFT(BW6,LEN("Vacances"))="Vacances"</formula>
    </cfRule>
    <cfRule type="beginsWith" dxfId="11889" priority="18070" operator="beginsWith" text="Séminaire d'intégration">
      <formula>LEFT(BW6,LEN("Séminaire d'intégration"))="Séminaire d'intégration"</formula>
    </cfRule>
    <cfRule type="beginsWith" dxfId="11888" priority="18071" operator="beginsWith" text="Accueil">
      <formula>LEFT(BW6,LEN("Accueil"))="Accueil"</formula>
    </cfRule>
    <cfRule type="beginsWith" dxfId="11887" priority="18072" operator="beginsWith" text="Stage">
      <formula>LEFT(BW6,LEN("Stage"))="Stage"</formula>
    </cfRule>
    <cfRule type="beginsWith" dxfId="11886" priority="18073" operator="beginsWith" text="Entreprise">
      <formula>LEFT(BW6,LEN("Entreprise"))="Entreprise"</formula>
    </cfRule>
    <cfRule type="beginsWith" dxfId="11885" priority="18074" operator="beginsWith" text="Voltaire">
      <formula>LEFT(BW6,LEN("Voltaire"))="Voltaire"</formula>
    </cfRule>
  </conditionalFormatting>
  <conditionalFormatting sqref="BW68">
    <cfRule type="beginsWith" dxfId="11884" priority="19990" operator="beginsWith" text="Lancement Projet fil rouge">
      <formula>LEFT(BW68,LEN("Lancement Projet fil rouge"))="Lancement Projet fil rouge"</formula>
    </cfRule>
    <cfRule type="beginsWith" dxfId="11883" priority="19991" operator="beginsWith" text="Vacances">
      <formula>LEFT(BW68,LEN("Vacances"))="Vacances"</formula>
    </cfRule>
    <cfRule type="beginsWith" dxfId="11882" priority="19992" operator="beginsWith" text="Séminaire d'intégration">
      <formula>LEFT(BW68,LEN("Séminaire d'intégration"))="Séminaire d'intégration"</formula>
    </cfRule>
    <cfRule type="beginsWith" dxfId="11881" priority="19993" operator="beginsWith" text="Accueil">
      <formula>LEFT(BW68,LEN("Accueil"))="Accueil"</formula>
    </cfRule>
    <cfRule type="beginsWith" dxfId="11880" priority="19994" operator="beginsWith" text="Stage">
      <formula>LEFT(BW68,LEN("Stage"))="Stage"</formula>
    </cfRule>
    <cfRule type="beginsWith" dxfId="11879" priority="19995" operator="beginsWith" text="Entreprise">
      <formula>LEFT(BW68,LEN("Entreprise"))="Entreprise"</formula>
    </cfRule>
    <cfRule type="beginsWith" dxfId="11878" priority="19996" operator="beginsWith" text="Voltaire">
      <formula>LEFT(BW68,LEN("Voltaire"))="Voltaire"</formula>
    </cfRule>
  </conditionalFormatting>
  <conditionalFormatting sqref="BX61:BX65">
    <cfRule type="beginsWith" dxfId="11877" priority="21000" operator="beginsWith" text="Lancement Projet fil rouge">
      <formula>LEFT(BX61,LEN("Lancement Projet fil rouge"))="Lancement Projet fil rouge"</formula>
    </cfRule>
    <cfRule type="beginsWith" dxfId="11876" priority="21001" operator="beginsWith" text="Vacances">
      <formula>LEFT(BX61,LEN("Vacances"))="Vacances"</formula>
    </cfRule>
    <cfRule type="beginsWith" dxfId="11875" priority="21002" operator="beginsWith" text="Séminaire d'intégration">
      <formula>LEFT(BX61,LEN("Séminaire d'intégration"))="Séminaire d'intégration"</formula>
    </cfRule>
    <cfRule type="beginsWith" dxfId="11874" priority="21003" operator="beginsWith" text="Accueil">
      <formula>LEFT(BX61,LEN("Accueil"))="Accueil"</formula>
    </cfRule>
    <cfRule type="beginsWith" dxfId="11873" priority="21004" operator="beginsWith" text="Stage">
      <formula>LEFT(BX61,LEN("Stage"))="Stage"</formula>
    </cfRule>
    <cfRule type="beginsWith" dxfId="11872" priority="21005" operator="beginsWith" text="Entreprise">
      <formula>LEFT(BX61,LEN("Entreprise"))="Entreprise"</formula>
    </cfRule>
    <cfRule type="beginsWith" dxfId="11871" priority="21006" operator="beginsWith" text="Voltaire">
      <formula>LEFT(BX61,LEN("Voltaire"))="Voltaire"</formula>
    </cfRule>
  </conditionalFormatting>
  <conditionalFormatting sqref="BX71:BX75">
    <cfRule type="beginsWith" dxfId="11870" priority="20993" operator="beginsWith" text="Lancement Projet fil rouge">
      <formula>LEFT(BX71,LEN("Lancement Projet fil rouge"))="Lancement Projet fil rouge"</formula>
    </cfRule>
    <cfRule type="beginsWith" dxfId="11869" priority="20994" operator="beginsWith" text="Vacances">
      <formula>LEFT(BX71,LEN("Vacances"))="Vacances"</formula>
    </cfRule>
    <cfRule type="beginsWith" dxfId="11868" priority="20995" operator="beginsWith" text="Séminaire d'intégration">
      <formula>LEFT(BX71,LEN("Séminaire d'intégration"))="Séminaire d'intégration"</formula>
    </cfRule>
    <cfRule type="beginsWith" dxfId="11867" priority="20996" operator="beginsWith" text="Accueil">
      <formula>LEFT(BX71,LEN("Accueil"))="Accueil"</formula>
    </cfRule>
    <cfRule type="beginsWith" dxfId="11866" priority="20997" operator="beginsWith" text="Stage">
      <formula>LEFT(BX71,LEN("Stage"))="Stage"</formula>
    </cfRule>
    <cfRule type="beginsWith" dxfId="11865" priority="20998" operator="beginsWith" text="Entreprise">
      <formula>LEFT(BX71,LEN("Entreprise"))="Entreprise"</formula>
    </cfRule>
    <cfRule type="beginsWith" dxfId="11864" priority="20999" operator="beginsWith" text="Voltaire">
      <formula>LEFT(BX71,LEN("Voltaire"))="Voltaire"</formula>
    </cfRule>
  </conditionalFormatting>
  <conditionalFormatting sqref="BX76:BX80">
    <cfRule type="beginsWith" dxfId="11863" priority="20986" operator="beginsWith" text="Lancement Projet fil rouge">
      <formula>LEFT(BX76,LEN("Lancement Projet fil rouge"))="Lancement Projet fil rouge"</formula>
    </cfRule>
    <cfRule type="beginsWith" dxfId="11862" priority="20987" operator="beginsWith" text="Vacances">
      <formula>LEFT(BX76,LEN("Vacances"))="Vacances"</formula>
    </cfRule>
    <cfRule type="beginsWith" dxfId="11861" priority="20988" operator="beginsWith" text="Séminaire d'intégration">
      <formula>LEFT(BX76,LEN("Séminaire d'intégration"))="Séminaire d'intégration"</formula>
    </cfRule>
    <cfRule type="beginsWith" dxfId="11860" priority="20989" operator="beginsWith" text="Accueil">
      <formula>LEFT(BX76,LEN("Accueil"))="Accueil"</formula>
    </cfRule>
    <cfRule type="beginsWith" dxfId="11859" priority="20990" operator="beginsWith" text="Stage">
      <formula>LEFT(BX76,LEN("Stage"))="Stage"</formula>
    </cfRule>
    <cfRule type="beginsWith" dxfId="11858" priority="20991" operator="beginsWith" text="Entreprise">
      <formula>LEFT(BX76,LEN("Entreprise"))="Entreprise"</formula>
    </cfRule>
    <cfRule type="beginsWith" dxfId="11857" priority="20992" operator="beginsWith" text="Voltaire">
      <formula>LEFT(BX76,LEN("Voltaire"))="Voltaire"</formula>
    </cfRule>
  </conditionalFormatting>
  <conditionalFormatting sqref="BX81:BX85">
    <cfRule type="beginsWith" dxfId="11856" priority="14640" operator="beginsWith" text="Lancement Projet fil rouge">
      <formula>LEFT(BX81,LEN("Lancement Projet fil rouge"))="Lancement Projet fil rouge"</formula>
    </cfRule>
    <cfRule type="beginsWith" dxfId="11855" priority="14641" operator="beginsWith" text="Vacances">
      <formula>LEFT(BX81,LEN("Vacances"))="Vacances"</formula>
    </cfRule>
    <cfRule type="beginsWith" dxfId="11854" priority="14642" operator="beginsWith" text="Séminaire d'intégration">
      <formula>LEFT(BX81,LEN("Séminaire d'intégration"))="Séminaire d'intégration"</formula>
    </cfRule>
    <cfRule type="beginsWith" dxfId="11853" priority="14643" operator="beginsWith" text="Accueil">
      <formula>LEFT(BX81,LEN("Accueil"))="Accueil"</formula>
    </cfRule>
    <cfRule type="beginsWith" dxfId="11852" priority="14644" operator="beginsWith" text="Stage">
      <formula>LEFT(BX81,LEN("Stage"))="Stage"</formula>
    </cfRule>
    <cfRule type="beginsWith" dxfId="11851" priority="14645" operator="beginsWith" text="Entreprise">
      <formula>LEFT(BX81,LEN("Entreprise"))="Entreprise"</formula>
    </cfRule>
    <cfRule type="beginsWith" dxfId="11850" priority="14646" operator="beginsWith" text="Voltaire">
      <formula>LEFT(BX81,LEN("Voltaire"))="Voltaire"</formula>
    </cfRule>
  </conditionalFormatting>
  <conditionalFormatting sqref="BX86:BX90">
    <cfRule type="beginsWith" dxfId="11849" priority="14647" operator="beginsWith" text="Lancement Projet fil rouge">
      <formula>LEFT(BX86,LEN("Lancement Projet fil rouge"))="Lancement Projet fil rouge"</formula>
    </cfRule>
    <cfRule type="beginsWith" dxfId="11848" priority="14648" operator="beginsWith" text="Vacances">
      <formula>LEFT(BX86,LEN("Vacances"))="Vacances"</formula>
    </cfRule>
    <cfRule type="beginsWith" dxfId="11847" priority="14649" operator="beginsWith" text="Séminaire d'intégration">
      <formula>LEFT(BX86,LEN("Séminaire d'intégration"))="Séminaire d'intégration"</formula>
    </cfRule>
    <cfRule type="beginsWith" dxfId="11846" priority="14650" operator="beginsWith" text="Accueil">
      <formula>LEFT(BX86,LEN("Accueil"))="Accueil"</formula>
    </cfRule>
    <cfRule type="beginsWith" dxfId="11845" priority="14651" operator="beginsWith" text="Stage">
      <formula>LEFT(BX86,LEN("Stage"))="Stage"</formula>
    </cfRule>
    <cfRule type="beginsWith" dxfId="11844" priority="14652" operator="beginsWith" text="Entreprise">
      <formula>LEFT(BX86,LEN("Entreprise"))="Entreprise"</formula>
    </cfRule>
    <cfRule type="beginsWith" dxfId="11843" priority="14653" operator="beginsWith" text="Voltaire">
      <formula>LEFT(BX86,LEN("Voltaire"))="Voltaire"</formula>
    </cfRule>
  </conditionalFormatting>
  <conditionalFormatting sqref="BZ61:BZ65">
    <cfRule type="beginsWith" dxfId="11842" priority="10818" operator="beginsWith" text="Lancement Projet fil rouge">
      <formula>LEFT(BZ61,LEN("Lancement Projet fil rouge"))="Lancement Projet fil rouge"</formula>
    </cfRule>
    <cfRule type="beginsWith" dxfId="11841" priority="10819" operator="beginsWith" text="Vacances">
      <formula>LEFT(BZ61,LEN("Vacances"))="Vacances"</formula>
    </cfRule>
    <cfRule type="beginsWith" dxfId="11840" priority="10820" operator="beginsWith" text="Séminaire d'intégration">
      <formula>LEFT(BZ61,LEN("Séminaire d'intégration"))="Séminaire d'intégration"</formula>
    </cfRule>
    <cfRule type="beginsWith" dxfId="11839" priority="10821" operator="beginsWith" text="Accueil">
      <formula>LEFT(BZ61,LEN("Accueil"))="Accueil"</formula>
    </cfRule>
    <cfRule type="beginsWith" dxfId="11838" priority="10822" operator="beginsWith" text="TOPHYC">
      <formula>LEFT(BZ61,LEN("TOPHYC"))="TOPHYC"</formula>
    </cfRule>
    <cfRule type="beginsWith" dxfId="11837" priority="10823" operator="beginsWith" text="Global Exam">
      <formula>LEFT(BZ61,LEN("Global Exam"))="Global Exam"</formula>
    </cfRule>
    <cfRule type="beginsWith" dxfId="11836" priority="10824" operator="beginsWith" text="Stage">
      <formula>LEFT(BZ61,LEN("Stage"))="Stage"</formula>
    </cfRule>
    <cfRule type="beginsWith" dxfId="11835" priority="10825" operator="beginsWith" text="Entreprise">
      <formula>LEFT(BZ61,LEN("Entreprise"))="Entreprise"</formula>
    </cfRule>
    <cfRule type="beginsWith" dxfId="11834" priority="10826" operator="beginsWith" text="TOMIC">
      <formula>LEFT(BZ61,LEN("TOMIC"))="TOMIC"</formula>
    </cfRule>
    <cfRule type="beginsWith" dxfId="11833" priority="10827" operator="beginsWith" text="Voltaire">
      <formula>LEFT(BZ61,LEN("Voltaire"))="Voltaire"</formula>
    </cfRule>
  </conditionalFormatting>
  <conditionalFormatting sqref="CB1:CB2 CB5 CB44:CB45 CB91:CB103">
    <cfRule type="beginsWith" dxfId="11832" priority="29890" operator="beginsWith" text="Projet professionnel : Séminaire PFI">
      <formula>LEFT(CB1,LEN("Projet professionnel : Séminaire PFI"))="Projet professionnel : Séminaire PFI"</formula>
    </cfRule>
    <cfRule type="beginsWith" dxfId="11831" priority="29892" operator="beginsWith" text="Vacances">
      <formula>LEFT(CB1,LEN("Vacances"))="Vacances"</formula>
    </cfRule>
    <cfRule type="beginsWith" dxfId="11830" priority="29893" operator="beginsWith" text="Séminaire d'intégration">
      <formula>LEFT(CB1,LEN("Séminaire d'intégration"))="Séminaire d'intégration"</formula>
    </cfRule>
    <cfRule type="beginsWith" dxfId="11829" priority="29894" operator="beginsWith" text="Accueil">
      <formula>LEFT(CB1,LEN("Accueil"))="Accueil"</formula>
    </cfRule>
    <cfRule type="beginsWith" dxfId="11828" priority="29895" operator="beginsWith" text="Stage">
      <formula>LEFT(CB1,LEN("Stage"))="Stage"</formula>
    </cfRule>
    <cfRule type="beginsWith" dxfId="11827" priority="29896" operator="beginsWith" text="Entreprise">
      <formula>LEFT(CB1,LEN("Entreprise"))="Entreprise"</formula>
    </cfRule>
    <cfRule type="beginsWith" dxfId="11826" priority="29897" operator="beginsWith" text="Voltaire">
      <formula>LEFT(CB1,LEN("Voltaire"))="Voltaire"</formula>
    </cfRule>
  </conditionalFormatting>
  <conditionalFormatting sqref="CB3">
    <cfRule type="beginsWith" dxfId="11825" priority="29611" operator="beginsWith" text="Lancement Projet fil rouge">
      <formula>LEFT(CB3,LEN("Lancement Projet fil rouge"))="Lancement Projet fil rouge"</formula>
    </cfRule>
    <cfRule type="beginsWith" dxfId="11824" priority="29612" operator="beginsWith" text="Vacances">
      <formula>LEFT(CB3,LEN("Vacances"))="Vacances"</formula>
    </cfRule>
    <cfRule type="beginsWith" dxfId="11823" priority="29613" operator="beginsWith" text="Séminaire d'intégration">
      <formula>LEFT(CB3,LEN("Séminaire d'intégration"))="Séminaire d'intégration"</formula>
    </cfRule>
    <cfRule type="beginsWith" dxfId="11822" priority="29614" operator="beginsWith" text="Accueil">
      <formula>LEFT(CB3,LEN("Accueil"))="Accueil"</formula>
    </cfRule>
    <cfRule type="beginsWith" dxfId="11821" priority="29615" operator="beginsWith" text="Stage">
      <formula>LEFT(CB3,LEN("Stage"))="Stage"</formula>
    </cfRule>
    <cfRule type="beginsWith" dxfId="11820" priority="29616" operator="beginsWith" text="Entreprise">
      <formula>LEFT(CB3,LEN("Entreprise"))="Entreprise"</formula>
    </cfRule>
    <cfRule type="beginsWith" dxfId="11819" priority="29617" operator="beginsWith" text="Voltaire">
      <formula>LEFT(CB3,LEN("Voltaire"))="Voltaire"</formula>
    </cfRule>
  </conditionalFormatting>
  <conditionalFormatting sqref="CB61:CB66">
    <cfRule type="beginsWith" dxfId="11818" priority="29722" operator="beginsWith" text="Projet professionnel : Séminaire PFI">
      <formula>LEFT(CB61,LEN("Projet professionnel : Séminaire PFI"))="Projet professionnel : Séminaire PFI"</formula>
    </cfRule>
    <cfRule type="beginsWith" dxfId="11817" priority="29723" operator="beginsWith" text="Lancement Projet fil rouge">
      <formula>LEFT(CB61,LEN("Lancement Projet fil rouge"))="Lancement Projet fil rouge"</formula>
    </cfRule>
    <cfRule type="beginsWith" dxfId="11816" priority="29724" operator="beginsWith" text="Vacances">
      <formula>LEFT(CB61,LEN("Vacances"))="Vacances"</formula>
    </cfRule>
    <cfRule type="beginsWith" dxfId="11815" priority="29725" operator="beginsWith" text="Séminaire d'intégration">
      <formula>LEFT(CB61,LEN("Séminaire d'intégration"))="Séminaire d'intégration"</formula>
    </cfRule>
    <cfRule type="beginsWith" dxfId="11814" priority="29726" operator="beginsWith" text="Accueil">
      <formula>LEFT(CB61,LEN("Accueil"))="Accueil"</formula>
    </cfRule>
    <cfRule type="beginsWith" dxfId="11813" priority="29727" operator="beginsWith" text="Stage">
      <formula>LEFT(CB61,LEN("Stage"))="Stage"</formula>
    </cfRule>
    <cfRule type="beginsWith" dxfId="11812" priority="29728" operator="beginsWith" text="Entreprise">
      <formula>LEFT(CB61,LEN("Entreprise"))="Entreprise"</formula>
    </cfRule>
    <cfRule type="beginsWith" dxfId="11811" priority="29729" operator="beginsWith" text="Voltaire">
      <formula>LEFT(CB61,LEN("Voltaire"))="Voltaire"</formula>
    </cfRule>
  </conditionalFormatting>
  <conditionalFormatting sqref="CB42:CB43">
    <cfRule type="beginsWith" dxfId="11810" priority="29794" operator="beginsWith" text="Projet professionnel : Séminaire PFI">
      <formula>LEFT(CB42,LEN("Projet professionnel : Séminaire PFI"))="Projet professionnel : Séminaire PFI"</formula>
    </cfRule>
    <cfRule type="beginsWith" dxfId="11809" priority="29795" operator="beginsWith" text="Lancement Projet fil rouge">
      <formula>LEFT(CB42,LEN("Lancement Projet fil rouge"))="Lancement Projet fil rouge"</formula>
    </cfRule>
    <cfRule type="beginsWith" dxfId="11808" priority="29796" operator="beginsWith" text="Vacances">
      <formula>LEFT(CB42,LEN("Vacances"))="Vacances"</formula>
    </cfRule>
    <cfRule type="beginsWith" dxfId="11807" priority="29797" operator="beginsWith" text="Séminaire d'intégration">
      <formula>LEFT(CB42,LEN("Séminaire d'intégration"))="Séminaire d'intégration"</formula>
    </cfRule>
    <cfRule type="beginsWith" dxfId="11806" priority="29798" operator="beginsWith" text="Accueil">
      <formula>LEFT(CB42,LEN("Accueil"))="Accueil"</formula>
    </cfRule>
    <cfRule type="beginsWith" dxfId="11805" priority="29799" operator="beginsWith" text="Stage">
      <formula>LEFT(CB42,LEN("Stage"))="Stage"</formula>
    </cfRule>
    <cfRule type="beginsWith" dxfId="11804" priority="29800" operator="beginsWith" text="Entreprise">
      <formula>LEFT(CB42,LEN("Entreprise"))="Entreprise"</formula>
    </cfRule>
    <cfRule type="beginsWith" dxfId="11803" priority="29801" operator="beginsWith" text="Voltaire">
      <formula>LEFT(CB42,LEN("Voltaire"))="Voltaire"</formula>
    </cfRule>
  </conditionalFormatting>
  <conditionalFormatting sqref="CB46">
    <cfRule type="beginsWith" dxfId="11802" priority="29786" operator="beginsWith" text="Projet professionnel : Séminaire PFI">
      <formula>LEFT(CB46,LEN("Projet professionnel : Séminaire PFI"))="Projet professionnel : Séminaire PFI"</formula>
    </cfRule>
    <cfRule type="beginsWith" dxfId="11801" priority="29787" operator="beginsWith" text="Lancement Projet fil rouge">
      <formula>LEFT(CB46,LEN("Lancement Projet fil rouge"))="Lancement Projet fil rouge"</formula>
    </cfRule>
    <cfRule type="beginsWith" dxfId="11800" priority="29788" operator="beginsWith" text="Vacances">
      <formula>LEFT(CB46,LEN("Vacances"))="Vacances"</formula>
    </cfRule>
    <cfRule type="beginsWith" dxfId="11799" priority="29789" operator="beginsWith" text="Séminaire d'intégration">
      <formula>LEFT(CB46,LEN("Séminaire d'intégration"))="Séminaire d'intégration"</formula>
    </cfRule>
    <cfRule type="beginsWith" dxfId="11798" priority="29790" operator="beginsWith" text="Accueil">
      <formula>LEFT(CB46,LEN("Accueil"))="Accueil"</formula>
    </cfRule>
    <cfRule type="beginsWith" dxfId="11797" priority="29791" operator="beginsWith" text="Stage">
      <formula>LEFT(CB46,LEN("Stage"))="Stage"</formula>
    </cfRule>
    <cfRule type="beginsWith" dxfId="11796" priority="29792" operator="beginsWith" text="Entreprise">
      <formula>LEFT(CB46,LEN("Entreprise"))="Entreprise"</formula>
    </cfRule>
    <cfRule type="beginsWith" dxfId="11795" priority="29793" operator="beginsWith" text="Voltaire">
      <formula>LEFT(CB46,LEN("Voltaire"))="Voltaire"</formula>
    </cfRule>
  </conditionalFormatting>
  <conditionalFormatting sqref="CB47:CB50">
    <cfRule type="beginsWith" dxfId="11794" priority="29770" operator="beginsWith" text="Projet professionnel : Séminaire PFI">
      <formula>LEFT(CB47,LEN("Projet professionnel : Séminaire PFI"))="Projet professionnel : Séminaire PFI"</formula>
    </cfRule>
    <cfRule type="beginsWith" dxfId="11793" priority="29771" operator="beginsWith" text="Lancement Projet fil rouge">
      <formula>LEFT(CB47,LEN("Lancement Projet fil rouge"))="Lancement Projet fil rouge"</formula>
    </cfRule>
    <cfRule type="beginsWith" dxfId="11792" priority="29772" operator="beginsWith" text="Vacances">
      <formula>LEFT(CB47,LEN("Vacances"))="Vacances"</formula>
    </cfRule>
    <cfRule type="beginsWith" dxfId="11791" priority="29773" operator="beginsWith" text="Séminaire d'intégration">
      <formula>LEFT(CB47,LEN("Séminaire d'intégration"))="Séminaire d'intégration"</formula>
    </cfRule>
    <cfRule type="beginsWith" dxfId="11790" priority="29774" operator="beginsWith" text="Accueil">
      <formula>LEFT(CB47,LEN("Accueil"))="Accueil"</formula>
    </cfRule>
    <cfRule type="beginsWith" dxfId="11789" priority="29775" operator="beginsWith" text="Stage">
      <formula>LEFT(CB47,LEN("Stage"))="Stage"</formula>
    </cfRule>
    <cfRule type="beginsWith" dxfId="11788" priority="29776" operator="beginsWith" text="Entreprise">
      <formula>LEFT(CB47,LEN("Entreprise"))="Entreprise"</formula>
    </cfRule>
    <cfRule type="beginsWith" dxfId="11787" priority="29777" operator="beginsWith" text="Voltaire">
      <formula>LEFT(CB47,LEN("Voltaire"))="Voltaire"</formula>
    </cfRule>
  </conditionalFormatting>
  <conditionalFormatting sqref="CB51">
    <cfRule type="beginsWith" dxfId="11786" priority="29738" operator="beginsWith" text="Projet professionnel : Séminaire PFI">
      <formula>LEFT(CB51,LEN("Projet professionnel : Séminaire PFI"))="Projet professionnel : Séminaire PFI"</formula>
    </cfRule>
    <cfRule type="beginsWith" dxfId="11785" priority="29739" operator="beginsWith" text="Lancement Projet fil rouge">
      <formula>LEFT(CB51,LEN("Lancement Projet fil rouge"))="Lancement Projet fil rouge"</formula>
    </cfRule>
    <cfRule type="beginsWith" dxfId="11784" priority="29740" operator="beginsWith" text="Vacances">
      <formula>LEFT(CB51,LEN("Vacances"))="Vacances"</formula>
    </cfRule>
    <cfRule type="beginsWith" dxfId="11783" priority="29741" operator="beginsWith" text="Séminaire d'intégration">
      <formula>LEFT(CB51,LEN("Séminaire d'intégration"))="Séminaire d'intégration"</formula>
    </cfRule>
    <cfRule type="beginsWith" dxfId="11782" priority="29742" operator="beginsWith" text="Accueil">
      <formula>LEFT(CB51,LEN("Accueil"))="Accueil"</formula>
    </cfRule>
    <cfRule type="beginsWith" dxfId="11781" priority="29743" operator="beginsWith" text="Stage">
      <formula>LEFT(CB51,LEN("Stage"))="Stage"</formula>
    </cfRule>
    <cfRule type="beginsWith" dxfId="11780" priority="29744" operator="beginsWith" text="Entreprise">
      <formula>LEFT(CB51,LEN("Entreprise"))="Entreprise"</formula>
    </cfRule>
    <cfRule type="beginsWith" dxfId="11779" priority="29745" operator="beginsWith" text="Voltaire">
      <formula>LEFT(CB51,LEN("Voltaire"))="Voltaire"</formula>
    </cfRule>
  </conditionalFormatting>
  <conditionalFormatting sqref="CB56">
    <cfRule type="beginsWith" dxfId="11778" priority="29730" operator="beginsWith" text="Projet professionnel : Séminaire PFI">
      <formula>LEFT(CB56,LEN("Projet professionnel : Séminaire PFI"))="Projet professionnel : Séminaire PFI"</formula>
    </cfRule>
    <cfRule type="beginsWith" dxfId="11777" priority="29731" operator="beginsWith" text="Lancement Projet fil rouge">
      <formula>LEFT(CB56,LEN("Lancement Projet fil rouge"))="Lancement Projet fil rouge"</formula>
    </cfRule>
    <cfRule type="beginsWith" dxfId="11776" priority="29732" operator="beginsWith" text="Vacances">
      <formula>LEFT(CB56,LEN("Vacances"))="Vacances"</formula>
    </cfRule>
    <cfRule type="beginsWith" dxfId="11775" priority="29733" operator="beginsWith" text="Séminaire d'intégration">
      <formula>LEFT(CB56,LEN("Séminaire d'intégration"))="Séminaire d'intégration"</formula>
    </cfRule>
    <cfRule type="beginsWith" dxfId="11774" priority="29734" operator="beginsWith" text="Accueil">
      <formula>LEFT(CB56,LEN("Accueil"))="Accueil"</formula>
    </cfRule>
    <cfRule type="beginsWith" dxfId="11773" priority="29735" operator="beginsWith" text="Stage">
      <formula>LEFT(CB56,LEN("Stage"))="Stage"</formula>
    </cfRule>
    <cfRule type="beginsWith" dxfId="11772" priority="29736" operator="beginsWith" text="Entreprise">
      <formula>LEFT(CB56,LEN("Entreprise"))="Entreprise"</formula>
    </cfRule>
    <cfRule type="beginsWith" dxfId="11771" priority="29737" operator="beginsWith" text="Voltaire">
      <formula>LEFT(CB56,LEN("Voltaire"))="Voltaire"</formula>
    </cfRule>
  </conditionalFormatting>
  <conditionalFormatting sqref="CB67:CB68">
    <cfRule type="beginsWith" dxfId="11770" priority="29746" operator="beginsWith" text="Projet professionnel : Séminaire PFI">
      <formula>LEFT(CB67,LEN("Projet professionnel : Séminaire PFI"))="Projet professionnel : Séminaire PFI"</formula>
    </cfRule>
    <cfRule type="beginsWith" dxfId="11769" priority="29747" operator="beginsWith" text="Lancement Projet fil rouge">
      <formula>LEFT(CB67,LEN("Lancement Projet fil rouge"))="Lancement Projet fil rouge"</formula>
    </cfRule>
    <cfRule type="beginsWith" dxfId="11768" priority="29748" operator="beginsWith" text="Vacances">
      <formula>LEFT(CB67,LEN("Vacances"))="Vacances"</formula>
    </cfRule>
    <cfRule type="beginsWith" dxfId="11767" priority="29749" operator="beginsWith" text="Séminaire d'intégration">
      <formula>LEFT(CB67,LEN("Séminaire d'intégration"))="Séminaire d'intégration"</formula>
    </cfRule>
    <cfRule type="beginsWith" dxfId="11766" priority="29750" operator="beginsWith" text="Accueil">
      <formula>LEFT(CB67,LEN("Accueil"))="Accueil"</formula>
    </cfRule>
    <cfRule type="beginsWith" dxfId="11765" priority="29751" operator="beginsWith" text="Stage">
      <formula>LEFT(CB67,LEN("Stage"))="Stage"</formula>
    </cfRule>
    <cfRule type="beginsWith" dxfId="11764" priority="29752" operator="beginsWith" text="Entreprise">
      <formula>LEFT(CB67,LEN("Entreprise"))="Entreprise"</formula>
    </cfRule>
    <cfRule type="beginsWith" dxfId="11763" priority="29753" operator="beginsWith" text="Voltaire">
      <formula>LEFT(CB67,LEN("Voltaire"))="Voltaire"</formula>
    </cfRule>
  </conditionalFormatting>
  <conditionalFormatting sqref="CB70:CB77">
    <cfRule type="beginsWith" dxfId="11762" priority="29714" operator="beginsWith" text="Projet professionnel : Séminaire PFI">
      <formula>LEFT(CB70,LEN("Projet professionnel : Séminaire PFI"))="Projet professionnel : Séminaire PFI"</formula>
    </cfRule>
    <cfRule type="beginsWith" dxfId="11761" priority="29715" operator="beginsWith" text="Lancement Projet fil rouge">
      <formula>LEFT(CB70,LEN("Lancement Projet fil rouge"))="Lancement Projet fil rouge"</formula>
    </cfRule>
    <cfRule type="beginsWith" dxfId="11760" priority="29716" operator="beginsWith" text="Vacances">
      <formula>LEFT(CB70,LEN("Vacances"))="Vacances"</formula>
    </cfRule>
    <cfRule type="beginsWith" dxfId="11759" priority="29717" operator="beginsWith" text="Séminaire d'intégration">
      <formula>LEFT(CB70,LEN("Séminaire d'intégration"))="Séminaire d'intégration"</formula>
    </cfRule>
    <cfRule type="beginsWith" dxfId="11758" priority="29718" operator="beginsWith" text="Accueil">
      <formula>LEFT(CB70,LEN("Accueil"))="Accueil"</formula>
    </cfRule>
    <cfRule type="beginsWith" dxfId="11757" priority="29719" operator="beginsWith" text="Stage">
      <formula>LEFT(CB70,LEN("Stage"))="Stage"</formula>
    </cfRule>
    <cfRule type="beginsWith" dxfId="11756" priority="29720" operator="beginsWith" text="Entreprise">
      <formula>LEFT(CB70,LEN("Entreprise"))="Entreprise"</formula>
    </cfRule>
    <cfRule type="beginsWith" dxfId="11755" priority="29721" operator="beginsWith" text="Voltaire">
      <formula>LEFT(CB70,LEN("Voltaire"))="Voltaire"</formula>
    </cfRule>
  </conditionalFormatting>
  <conditionalFormatting sqref="CB80:CB85">
    <cfRule type="beginsWith" dxfId="11754" priority="29698" operator="beginsWith" text="Projet professionnel : Séminaire PFI">
      <formula>LEFT(CB80,LEN("Projet professionnel : Séminaire PFI"))="Projet professionnel : Séminaire PFI"</formula>
    </cfRule>
    <cfRule type="beginsWith" dxfId="11753" priority="29699" operator="beginsWith" text="Lancement Projet fil rouge">
      <formula>LEFT(CB80,LEN("Lancement Projet fil rouge"))="Lancement Projet fil rouge"</formula>
    </cfRule>
    <cfRule type="beginsWith" dxfId="11752" priority="29700" operator="beginsWith" text="Vacances">
      <formula>LEFT(CB80,LEN("Vacances"))="Vacances"</formula>
    </cfRule>
    <cfRule type="beginsWith" dxfId="11751" priority="29701" operator="beginsWith" text="Séminaire d'intégration">
      <formula>LEFT(CB80,LEN("Séminaire d'intégration"))="Séminaire d'intégration"</formula>
    </cfRule>
    <cfRule type="beginsWith" dxfId="11750" priority="29702" operator="beginsWith" text="Accueil">
      <formula>LEFT(CB80,LEN("Accueil"))="Accueil"</formula>
    </cfRule>
    <cfRule type="beginsWith" dxfId="11749" priority="29703" operator="beginsWith" text="Stage">
      <formula>LEFT(CB80,LEN("Stage"))="Stage"</formula>
    </cfRule>
    <cfRule type="beginsWith" dxfId="11748" priority="29704" operator="beginsWith" text="Entreprise">
      <formula>LEFT(CB80,LEN("Entreprise"))="Entreprise"</formula>
    </cfRule>
    <cfRule type="beginsWith" dxfId="11747" priority="29705" operator="beginsWith" text="Voltaire">
      <formula>LEFT(CB80,LEN("Voltaire"))="Voltaire"</formula>
    </cfRule>
  </conditionalFormatting>
  <conditionalFormatting sqref="CB86">
    <cfRule type="beginsWith" dxfId="11746" priority="29706" operator="beginsWith" text="Projet professionnel : Séminaire PFI">
      <formula>LEFT(CB86,LEN("Projet professionnel : Séminaire PFI"))="Projet professionnel : Séminaire PFI"</formula>
    </cfRule>
    <cfRule type="beginsWith" dxfId="11745" priority="29707" operator="beginsWith" text="Lancement Projet fil rouge">
      <formula>LEFT(CB86,LEN("Lancement Projet fil rouge"))="Lancement Projet fil rouge"</formula>
    </cfRule>
    <cfRule type="beginsWith" dxfId="11744" priority="29708" operator="beginsWith" text="Vacances">
      <formula>LEFT(CB86,LEN("Vacances"))="Vacances"</formula>
    </cfRule>
    <cfRule type="beginsWith" dxfId="11743" priority="29709" operator="beginsWith" text="Séminaire d'intégration">
      <formula>LEFT(CB86,LEN("Séminaire d'intégration"))="Séminaire d'intégration"</formula>
    </cfRule>
    <cfRule type="beginsWith" dxfId="11742" priority="29710" operator="beginsWith" text="Accueil">
      <formula>LEFT(CB86,LEN("Accueil"))="Accueil"</formula>
    </cfRule>
    <cfRule type="beginsWith" dxfId="11741" priority="29711" operator="beginsWith" text="Stage">
      <formula>LEFT(CB86,LEN("Stage"))="Stage"</formula>
    </cfRule>
    <cfRule type="beginsWith" dxfId="11740" priority="29712" operator="beginsWith" text="Entreprise">
      <formula>LEFT(CB86,LEN("Entreprise"))="Entreprise"</formula>
    </cfRule>
    <cfRule type="beginsWith" dxfId="11739" priority="29713" operator="beginsWith" text="Voltaire">
      <formula>LEFT(CB86,LEN("Voltaire"))="Voltaire"</formula>
    </cfRule>
  </conditionalFormatting>
  <conditionalFormatting sqref="CB91">
    <cfRule type="beginsWith" dxfId="11738" priority="29690" operator="beginsWith" text="Projet professionnel : Séminaire PFI">
      <formula>LEFT(CB91,LEN("Projet professionnel : Séminaire PFI"))="Projet professionnel : Séminaire PFI"</formula>
    </cfRule>
    <cfRule type="beginsWith" dxfId="11737" priority="29691" operator="beginsWith" text="Lancement Projet fil rouge">
      <formula>LEFT(CB91,LEN("Lancement Projet fil rouge"))="Lancement Projet fil rouge"</formula>
    </cfRule>
    <cfRule type="beginsWith" dxfId="11736" priority="29692" operator="beginsWith" text="Vacances">
      <formula>LEFT(CB91,LEN("Vacances"))="Vacances"</formula>
    </cfRule>
    <cfRule type="beginsWith" dxfId="11735" priority="29693" operator="beginsWith" text="Séminaire d'intégration">
      <formula>LEFT(CB91,LEN("Séminaire d'intégration"))="Séminaire d'intégration"</formula>
    </cfRule>
    <cfRule type="beginsWith" dxfId="11734" priority="29694" operator="beginsWith" text="Accueil">
      <formula>LEFT(CB91,LEN("Accueil"))="Accueil"</formula>
    </cfRule>
    <cfRule type="beginsWith" dxfId="11733" priority="29695" operator="beginsWith" text="Stage">
      <formula>LEFT(CB91,LEN("Stage"))="Stage"</formula>
    </cfRule>
    <cfRule type="beginsWith" dxfId="11732" priority="29696" operator="beginsWith" text="Entreprise">
      <formula>LEFT(CB91,LEN("Entreprise"))="Entreprise"</formula>
    </cfRule>
    <cfRule type="beginsWith" dxfId="11731" priority="29697" operator="beginsWith" text="Voltaire">
      <formula>LEFT(CB91,LEN("Voltaire"))="Voltaire"</formula>
    </cfRule>
  </conditionalFormatting>
  <conditionalFormatting sqref="CB96:CB97">
    <cfRule type="beginsWith" dxfId="11730" priority="29802" operator="beginsWith" text="Projet professionnel : Séminaire PFI">
      <formula>LEFT(CB96,LEN("Projet professionnel : Séminaire PFI"))="Projet professionnel : Séminaire PFI"</formula>
    </cfRule>
    <cfRule type="beginsWith" dxfId="11729" priority="29803" operator="beginsWith" text="Lancement Projet fil rouge">
      <formula>LEFT(CB96,LEN("Lancement Projet fil rouge"))="Lancement Projet fil rouge"</formula>
    </cfRule>
    <cfRule type="beginsWith" dxfId="11728" priority="29804" operator="beginsWith" text="Vacances">
      <formula>LEFT(CB96,LEN("Vacances"))="Vacances"</formula>
    </cfRule>
    <cfRule type="beginsWith" dxfId="11727" priority="29805" operator="beginsWith" text="Séminaire d'intégration">
      <formula>LEFT(CB96,LEN("Séminaire d'intégration"))="Séminaire d'intégration"</formula>
    </cfRule>
    <cfRule type="beginsWith" dxfId="11726" priority="29806" operator="beginsWith" text="Accueil">
      <formula>LEFT(CB96,LEN("Accueil"))="Accueil"</formula>
    </cfRule>
    <cfRule type="beginsWith" dxfId="11725" priority="29807" operator="beginsWith" text="Stage">
      <formula>LEFT(CB96,LEN("Stage"))="Stage"</formula>
    </cfRule>
    <cfRule type="beginsWith" dxfId="11724" priority="29808" operator="beginsWith" text="Entreprise">
      <formula>LEFT(CB96,LEN("Entreprise"))="Entreprise"</formula>
    </cfRule>
    <cfRule type="beginsWith" dxfId="11723" priority="29809" operator="beginsWith" text="Voltaire">
      <formula>LEFT(CB96,LEN("Voltaire"))="Voltaire"</formula>
    </cfRule>
  </conditionalFormatting>
  <conditionalFormatting sqref="CB121">
    <cfRule type="beginsWith" dxfId="11722" priority="14610" operator="beginsWith" text="Projet professionnel : Séminaire PFI">
      <formula>LEFT(CB121,LEN("Projet professionnel : Séminaire PFI"))="Projet professionnel : Séminaire PFI"</formula>
    </cfRule>
    <cfRule type="beginsWith" dxfId="11721" priority="14611" operator="beginsWith" text="Lancement Projet fil rouge">
      <formula>LEFT(CB121,LEN("Lancement Projet fil rouge"))="Lancement Projet fil rouge"</formula>
    </cfRule>
    <cfRule type="beginsWith" dxfId="11720" priority="14612" operator="beginsWith" text="Vacances">
      <formula>LEFT(CB121,LEN("Vacances"))="Vacances"</formula>
    </cfRule>
    <cfRule type="beginsWith" dxfId="11719" priority="14613" operator="beginsWith" text="Séminaire d'intégration">
      <formula>LEFT(CB121,LEN("Séminaire d'intégration"))="Séminaire d'intégration"</formula>
    </cfRule>
    <cfRule type="beginsWith" dxfId="11718" priority="14614" operator="beginsWith" text="Accueil">
      <formula>LEFT(CB121,LEN("Accueil"))="Accueil"</formula>
    </cfRule>
    <cfRule type="beginsWith" dxfId="11717" priority="14615" operator="beginsWith" text="Stage">
      <formula>LEFT(CB121,LEN("Stage"))="Stage"</formula>
    </cfRule>
    <cfRule type="beginsWith" dxfId="11716" priority="14616" operator="beginsWith" text="Entreprise">
      <formula>LEFT(CB121,LEN("Entreprise"))="Entreprise"</formula>
    </cfRule>
    <cfRule type="beginsWith" dxfId="11715" priority="14617" operator="beginsWith" text="Voltaire">
      <formula>LEFT(CB121,LEN("Voltaire"))="Voltaire"</formula>
    </cfRule>
  </conditionalFormatting>
  <conditionalFormatting sqref="CB126">
    <cfRule type="beginsWith" dxfId="11714" priority="14618" operator="beginsWith" text="Projet professionnel : Séminaire PFI">
      <formula>LEFT(CB126,LEN("Projet professionnel : Séminaire PFI"))="Projet professionnel : Séminaire PFI"</formula>
    </cfRule>
    <cfRule type="beginsWith" dxfId="11713" priority="14619" operator="beginsWith" text="Lancement Projet fil rouge">
      <formula>LEFT(CB126,LEN("Lancement Projet fil rouge"))="Lancement Projet fil rouge"</formula>
    </cfRule>
    <cfRule type="beginsWith" dxfId="11712" priority="14620" operator="beginsWith" text="Vacances">
      <formula>LEFT(CB126,LEN("Vacances"))="Vacances"</formula>
    </cfRule>
    <cfRule type="beginsWith" dxfId="11711" priority="14621" operator="beginsWith" text="Séminaire d'intégration">
      <formula>LEFT(CB126,LEN("Séminaire d'intégration"))="Séminaire d'intégration"</formula>
    </cfRule>
    <cfRule type="beginsWith" dxfId="11710" priority="14622" operator="beginsWith" text="Accueil">
      <formula>LEFT(CB126,LEN("Accueil"))="Accueil"</formula>
    </cfRule>
    <cfRule type="beginsWith" dxfId="11709" priority="14623" operator="beginsWith" text="Stage">
      <formula>LEFT(CB126,LEN("Stage"))="Stage"</formula>
    </cfRule>
    <cfRule type="beginsWith" dxfId="11708" priority="14624" operator="beginsWith" text="Entreprise">
      <formula>LEFT(CB126,LEN("Entreprise"))="Entreprise"</formula>
    </cfRule>
    <cfRule type="beginsWith" dxfId="11707" priority="14625" operator="beginsWith" text="Voltaire">
      <formula>LEFT(CB126,LEN("Voltaire"))="Voltaire"</formula>
    </cfRule>
  </conditionalFormatting>
  <conditionalFormatting sqref="CB131:CB132">
    <cfRule type="beginsWith" dxfId="11706" priority="29674" operator="beginsWith" text="Projet professionnel : Séminaire PFI">
      <formula>LEFT(CB131,LEN("Projet professionnel : Séminaire PFI"))="Projet professionnel : Séminaire PFI"</formula>
    </cfRule>
    <cfRule type="beginsWith" dxfId="11705" priority="29675" operator="beginsWith" text="Lancement Projet fil rouge">
      <formula>LEFT(CB131,LEN("Lancement Projet fil rouge"))="Lancement Projet fil rouge"</formula>
    </cfRule>
    <cfRule type="beginsWith" dxfId="11704" priority="29676" operator="beginsWith" text="Vacances">
      <formula>LEFT(CB131,LEN("Vacances"))="Vacances"</formula>
    </cfRule>
    <cfRule type="beginsWith" dxfId="11703" priority="29677" operator="beginsWith" text="Séminaire d'intégration">
      <formula>LEFT(CB131,LEN("Séminaire d'intégration"))="Séminaire d'intégration"</formula>
    </cfRule>
    <cfRule type="beginsWith" dxfId="11702" priority="29678" operator="beginsWith" text="Accueil">
      <formula>LEFT(CB131,LEN("Accueil"))="Accueil"</formula>
    </cfRule>
    <cfRule type="beginsWith" dxfId="11701" priority="29679" operator="beginsWith" text="Stage">
      <formula>LEFT(CB131,LEN("Stage"))="Stage"</formula>
    </cfRule>
    <cfRule type="beginsWith" dxfId="11700" priority="29680" operator="beginsWith" text="Entreprise">
      <formula>LEFT(CB131,LEN("Entreprise"))="Entreprise"</formula>
    </cfRule>
    <cfRule type="beginsWith" dxfId="11699" priority="29681" operator="beginsWith" text="Voltaire">
      <formula>LEFT(CB131,LEN("Voltaire"))="Voltaire"</formula>
    </cfRule>
  </conditionalFormatting>
  <conditionalFormatting sqref="CB133:CB141">
    <cfRule type="beginsWith" dxfId="11698" priority="29818" operator="beginsWith" text="Projet professionnel : Séminaire PFI">
      <formula>LEFT(CB133,LEN("Projet professionnel : Séminaire PFI"))="Projet professionnel : Séminaire PFI"</formula>
    </cfRule>
    <cfRule type="beginsWith" dxfId="11697" priority="29819" operator="beginsWith" text="Lancement Projet fil rouge">
      <formula>LEFT(CB133,LEN("Lancement Projet fil rouge"))="Lancement Projet fil rouge"</formula>
    </cfRule>
    <cfRule type="beginsWith" dxfId="11696" priority="29820" operator="beginsWith" text="Vacances">
      <formula>LEFT(CB133,LEN("Vacances"))="Vacances"</formula>
    </cfRule>
    <cfRule type="beginsWith" dxfId="11695" priority="29821" operator="beginsWith" text="Séminaire d'intégration">
      <formula>LEFT(CB133,LEN("Séminaire d'intégration"))="Séminaire d'intégration"</formula>
    </cfRule>
    <cfRule type="beginsWith" dxfId="11694" priority="29822" operator="beginsWith" text="Accueil">
      <formula>LEFT(CB133,LEN("Accueil"))="Accueil"</formula>
    </cfRule>
    <cfRule type="beginsWith" dxfId="11693" priority="29823" operator="beginsWith" text="Stage">
      <formula>LEFT(CB133,LEN("Stage"))="Stage"</formula>
    </cfRule>
    <cfRule type="beginsWith" dxfId="11692" priority="29824" operator="beginsWith" text="Entreprise">
      <formula>LEFT(CB133,LEN("Entreprise"))="Entreprise"</formula>
    </cfRule>
    <cfRule type="beginsWith" dxfId="11691" priority="29825" operator="beginsWith" text="Voltaire">
      <formula>LEFT(CB133,LEN("Voltaire"))="Voltaire"</formula>
    </cfRule>
  </conditionalFormatting>
  <conditionalFormatting sqref="CB142:CB143">
    <cfRule type="beginsWith" dxfId="11690" priority="29874" operator="beginsWith" text="Projet professionnel : Séminaire PFI">
      <formula>LEFT(CB142,LEN("Projet professionnel : Séminaire PFI"))="Projet professionnel : Séminaire PFI"</formula>
    </cfRule>
    <cfRule type="beginsWith" dxfId="11689" priority="29875" operator="beginsWith" text="Lancement Projet fil rouge">
      <formula>LEFT(CB142,LEN("Lancement Projet fil rouge"))="Lancement Projet fil rouge"</formula>
    </cfRule>
    <cfRule type="beginsWith" dxfId="11688" priority="29876" operator="beginsWith" text="Vacances">
      <formula>LEFT(CB142,LEN("Vacances"))="Vacances"</formula>
    </cfRule>
    <cfRule type="beginsWith" dxfId="11687" priority="29877" operator="beginsWith" text="Séminaire d'intégration">
      <formula>LEFT(CB142,LEN("Séminaire d'intégration"))="Séminaire d'intégration"</formula>
    </cfRule>
    <cfRule type="beginsWith" dxfId="11686" priority="29878" operator="beginsWith" text="Accueil">
      <formula>LEFT(CB142,LEN("Accueil"))="Accueil"</formula>
    </cfRule>
    <cfRule type="beginsWith" dxfId="11685" priority="29879" operator="beginsWith" text="Stage">
      <formula>LEFT(CB142,LEN("Stage"))="Stage"</formula>
    </cfRule>
    <cfRule type="beginsWith" dxfId="11684" priority="29880" operator="beginsWith" text="Entreprise">
      <formula>LEFT(CB142,LEN("Entreprise"))="Entreprise"</formula>
    </cfRule>
    <cfRule type="beginsWith" dxfId="11683" priority="29881" operator="beginsWith" text="Voltaire">
      <formula>LEFT(CB142,LEN("Voltaire"))="Voltaire"</formula>
    </cfRule>
  </conditionalFormatting>
  <conditionalFormatting sqref="CB144:CB150">
    <cfRule type="beginsWith" dxfId="11682" priority="29810" operator="beginsWith" text="Projet professionnel : Séminaire PFI">
      <formula>LEFT(CB144,LEN("Projet professionnel : Séminaire PFI"))="Projet professionnel : Séminaire PFI"</formula>
    </cfRule>
    <cfRule type="beginsWith" dxfId="11681" priority="29811" operator="beginsWith" text="Lancement Projet fil rouge">
      <formula>LEFT(CB144,LEN("Lancement Projet fil rouge"))="Lancement Projet fil rouge"</formula>
    </cfRule>
    <cfRule type="beginsWith" dxfId="11680" priority="29812" operator="beginsWith" text="Vacances">
      <formula>LEFT(CB144,LEN("Vacances"))="Vacances"</formula>
    </cfRule>
    <cfRule type="beginsWith" dxfId="11679" priority="29813" operator="beginsWith" text="Séminaire d'intégration">
      <formula>LEFT(CB144,LEN("Séminaire d'intégration"))="Séminaire d'intégration"</formula>
    </cfRule>
    <cfRule type="beginsWith" dxfId="11678" priority="29814" operator="beginsWith" text="Accueil">
      <formula>LEFT(CB144,LEN("Accueil"))="Accueil"</formula>
    </cfRule>
    <cfRule type="beginsWith" dxfId="11677" priority="29815" operator="beginsWith" text="Stage">
      <formula>LEFT(CB144,LEN("Stage"))="Stage"</formula>
    </cfRule>
    <cfRule type="beginsWith" dxfId="11676" priority="29816" operator="beginsWith" text="Entreprise">
      <formula>LEFT(CB144,LEN("Entreprise"))="Entreprise"</formula>
    </cfRule>
    <cfRule type="beginsWith" dxfId="11675" priority="29817" operator="beginsWith" text="Voltaire">
      <formula>LEFT(CB144,LEN("Voltaire"))="Voltaire"</formula>
    </cfRule>
  </conditionalFormatting>
  <conditionalFormatting sqref="CB151">
    <cfRule type="beginsWith" dxfId="11674" priority="21022" operator="beginsWith" text="Projet professionnel : Séminaire PFI">
      <formula>LEFT(CB151,LEN("Projet professionnel : Séminaire PFI"))="Projet professionnel : Séminaire PFI"</formula>
    </cfRule>
    <cfRule type="beginsWith" dxfId="11673" priority="21023" operator="beginsWith" text="Lancement Projet fil rouge">
      <formula>LEFT(CB151,LEN("Lancement Projet fil rouge"))="Lancement Projet fil rouge"</formula>
    </cfRule>
    <cfRule type="beginsWith" dxfId="11672" priority="21024" operator="beginsWith" text="Vacances">
      <formula>LEFT(CB151,LEN("Vacances"))="Vacances"</formula>
    </cfRule>
    <cfRule type="beginsWith" dxfId="11671" priority="21025" operator="beginsWith" text="Séminaire d'intégration">
      <formula>LEFT(CB151,LEN("Séminaire d'intégration"))="Séminaire d'intégration"</formula>
    </cfRule>
    <cfRule type="beginsWith" dxfId="11670" priority="21026" operator="beginsWith" text="Accueil">
      <formula>LEFT(CB151,LEN("Accueil"))="Accueil"</formula>
    </cfRule>
    <cfRule type="beginsWith" dxfId="11669" priority="21027" operator="beginsWith" text="Stage">
      <formula>LEFT(CB151,LEN("Stage"))="Stage"</formula>
    </cfRule>
    <cfRule type="beginsWith" dxfId="11668" priority="21028" operator="beginsWith" text="Entreprise">
      <formula>LEFT(CB151,LEN("Entreprise"))="Entreprise"</formula>
    </cfRule>
    <cfRule type="beginsWith" dxfId="11667" priority="21029" operator="beginsWith" text="Voltaire">
      <formula>LEFT(CB151,LEN("Voltaire"))="Voltaire"</formula>
    </cfRule>
  </conditionalFormatting>
  <conditionalFormatting sqref="CB156:CB159">
    <cfRule type="beginsWith" dxfId="11666" priority="22025" operator="beginsWith" text="Projet professionnel : Séminaire PFI">
      <formula>LEFT(CB156,LEN("Projet professionnel : Séminaire PFI"))="Projet professionnel : Séminaire PFI"</formula>
    </cfRule>
    <cfRule type="beginsWith" dxfId="11665" priority="22026" operator="beginsWith" text="Lancement Projet fil rouge">
      <formula>LEFT(CB156,LEN("Lancement Projet fil rouge"))="Lancement Projet fil rouge"</formula>
    </cfRule>
    <cfRule type="beginsWith" dxfId="11664" priority="22027" operator="beginsWith" text="Vacances">
      <formula>LEFT(CB156,LEN("Vacances"))="Vacances"</formula>
    </cfRule>
    <cfRule type="beginsWith" dxfId="11663" priority="22028" operator="beginsWith" text="Séminaire d'intégration">
      <formula>LEFT(CB156,LEN("Séminaire d'intégration"))="Séminaire d'intégration"</formula>
    </cfRule>
    <cfRule type="beginsWith" dxfId="11662" priority="22029" operator="beginsWith" text="Accueil">
      <formula>LEFT(CB156,LEN("Accueil"))="Accueil"</formula>
    </cfRule>
    <cfRule type="beginsWith" dxfId="11661" priority="22030" operator="beginsWith" text="Stage">
      <formula>LEFT(CB156,LEN("Stage"))="Stage"</formula>
    </cfRule>
    <cfRule type="beginsWith" dxfId="11660" priority="22031" operator="beginsWith" text="Entreprise">
      <formula>LEFT(CB156,LEN("Entreprise"))="Entreprise"</formula>
    </cfRule>
    <cfRule type="beginsWith" dxfId="11659" priority="22032" operator="beginsWith" text="Voltaire">
      <formula>LEFT(CB156,LEN("Voltaire"))="Voltaire"</formula>
    </cfRule>
  </conditionalFormatting>
  <conditionalFormatting sqref="CB160:CB169">
    <cfRule type="beginsWith" dxfId="11658" priority="21007" operator="beginsWith" text="Projet professionnel : Séminaire PFI">
      <formula>LEFT(CB160,LEN("Projet professionnel : Séminaire PFI"))="Projet professionnel : Séminaire PFI"</formula>
    </cfRule>
    <cfRule type="beginsWith" dxfId="11657" priority="21008" operator="beginsWith" text="Lancement Projet fil rouge">
      <formula>LEFT(CB160,LEN("Lancement Projet fil rouge"))="Lancement Projet fil rouge"</formula>
    </cfRule>
    <cfRule type="beginsWith" dxfId="11656" priority="21009" operator="beginsWith" text="Vacances">
      <formula>LEFT(CB160,LEN("Vacances"))="Vacances"</formula>
    </cfRule>
    <cfRule type="beginsWith" dxfId="11655" priority="21010" operator="beginsWith" text="Séminaire d'intégration">
      <formula>LEFT(CB160,LEN("Séminaire d'intégration"))="Séminaire d'intégration"</formula>
    </cfRule>
    <cfRule type="beginsWith" dxfId="11654" priority="21011" operator="beginsWith" text="Accueil">
      <formula>LEFT(CB160,LEN("Accueil"))="Accueil"</formula>
    </cfRule>
    <cfRule type="beginsWith" dxfId="11653" priority="21012" operator="beginsWith" text="Stage">
      <formula>LEFT(CB160,LEN("Stage"))="Stage"</formula>
    </cfRule>
    <cfRule type="beginsWith" dxfId="11652" priority="21013" operator="beginsWith" text="Entreprise">
      <formula>LEFT(CB160,LEN("Entreprise"))="Entreprise"</formula>
    </cfRule>
    <cfRule type="beginsWith" dxfId="11651" priority="21014" operator="beginsWith" text="Voltaire">
      <formula>LEFT(CB160,LEN("Voltaire"))="Voltaire"</formula>
    </cfRule>
  </conditionalFormatting>
  <conditionalFormatting sqref="CB170:CB173">
    <cfRule type="beginsWith" dxfId="11650" priority="22017" operator="beginsWith" text="Projet professionnel : Séminaire PFI">
      <formula>LEFT(CB170,LEN("Projet professionnel : Séminaire PFI"))="Projet professionnel : Séminaire PFI"</formula>
    </cfRule>
    <cfRule type="beginsWith" dxfId="11649" priority="22018" operator="beginsWith" text="Lancement Projet fil rouge">
      <formula>LEFT(CB170,LEN("Lancement Projet fil rouge"))="Lancement Projet fil rouge"</formula>
    </cfRule>
    <cfRule type="beginsWith" dxfId="11648" priority="22019" operator="beginsWith" text="Vacances">
      <formula>LEFT(CB170,LEN("Vacances"))="Vacances"</formula>
    </cfRule>
    <cfRule type="beginsWith" dxfId="11647" priority="22020" operator="beginsWith" text="Séminaire d'intégration">
      <formula>LEFT(CB170,LEN("Séminaire d'intégration"))="Séminaire d'intégration"</formula>
    </cfRule>
    <cfRule type="beginsWith" dxfId="11646" priority="22021" operator="beginsWith" text="Accueil">
      <formula>LEFT(CB170,LEN("Accueil"))="Accueil"</formula>
    </cfRule>
    <cfRule type="beginsWith" dxfId="11645" priority="22022" operator="beginsWith" text="Stage">
      <formula>LEFT(CB170,LEN("Stage"))="Stage"</formula>
    </cfRule>
    <cfRule type="beginsWith" dxfId="11644" priority="22023" operator="beginsWith" text="Entreprise">
      <formula>LEFT(CB170,LEN("Entreprise"))="Entreprise"</formula>
    </cfRule>
    <cfRule type="beginsWith" dxfId="11643" priority="22024" operator="beginsWith" text="Voltaire">
      <formula>LEFT(CB170,LEN("Voltaire"))="Voltaire"</formula>
    </cfRule>
  </conditionalFormatting>
  <conditionalFormatting sqref="CB174">
    <cfRule type="beginsWith" dxfId="11642" priority="29666" operator="beginsWith" text="Projet professionnel : Séminaire PFI">
      <formula>LEFT(CB174,LEN("Projet professionnel : Séminaire PFI"))="Projet professionnel : Séminaire PFI"</formula>
    </cfRule>
    <cfRule type="beginsWith" dxfId="11641" priority="29667" operator="beginsWith" text="Lancement Projet fil rouge">
      <formula>LEFT(CB174,LEN("Lancement Projet fil rouge"))="Lancement Projet fil rouge"</formula>
    </cfRule>
    <cfRule type="beginsWith" dxfId="11640" priority="29668" operator="beginsWith" text="Vacances">
      <formula>LEFT(CB174,LEN("Vacances"))="Vacances"</formula>
    </cfRule>
    <cfRule type="beginsWith" dxfId="11639" priority="29669" operator="beginsWith" text="Séminaire d'intégration">
      <formula>LEFT(CB174,LEN("Séminaire d'intégration"))="Séminaire d'intégration"</formula>
    </cfRule>
    <cfRule type="beginsWith" dxfId="11638" priority="29670" operator="beginsWith" text="Accueil">
      <formula>LEFT(CB174,LEN("Accueil"))="Accueil"</formula>
    </cfRule>
    <cfRule type="beginsWith" dxfId="11637" priority="29671" operator="beginsWith" text="Stage">
      <formula>LEFT(CB174,LEN("Stage"))="Stage"</formula>
    </cfRule>
    <cfRule type="beginsWith" dxfId="11636" priority="29672" operator="beginsWith" text="Entreprise">
      <formula>LEFT(CB174,LEN("Entreprise"))="Entreprise"</formula>
    </cfRule>
    <cfRule type="beginsWith" dxfId="11635" priority="29673" operator="beginsWith" text="Voltaire">
      <formula>LEFT(CB174,LEN("Voltaire"))="Voltaire"</formula>
    </cfRule>
  </conditionalFormatting>
  <conditionalFormatting sqref="CB175:CB190">
    <cfRule type="beginsWith" dxfId="11634" priority="22041" operator="beginsWith" text="Projet professionnel : Séminaire PFI">
      <formula>LEFT(CB175,LEN("Projet professionnel : Séminaire PFI"))="Projet professionnel : Séminaire PFI"</formula>
    </cfRule>
    <cfRule type="beginsWith" dxfId="11633" priority="22042" operator="beginsWith" text="Lancement Projet fil rouge">
      <formula>LEFT(CB175,LEN("Lancement Projet fil rouge"))="Lancement Projet fil rouge"</formula>
    </cfRule>
    <cfRule type="beginsWith" dxfId="11632" priority="22043" operator="beginsWith" text="Vacances">
      <formula>LEFT(CB175,LEN("Vacances"))="Vacances"</formula>
    </cfRule>
    <cfRule type="beginsWith" dxfId="11631" priority="22044" operator="beginsWith" text="Séminaire d'intégration">
      <formula>LEFT(CB175,LEN("Séminaire d'intégration"))="Séminaire d'intégration"</formula>
    </cfRule>
    <cfRule type="beginsWith" dxfId="11630" priority="22045" operator="beginsWith" text="Accueil">
      <formula>LEFT(CB175,LEN("Accueil"))="Accueil"</formula>
    </cfRule>
    <cfRule type="beginsWith" dxfId="11629" priority="22046" operator="beginsWith" text="Stage">
      <formula>LEFT(CB175,LEN("Stage"))="Stage"</formula>
    </cfRule>
    <cfRule type="beginsWith" dxfId="11628" priority="22047" operator="beginsWith" text="Entreprise">
      <formula>LEFT(CB175,LEN("Entreprise"))="Entreprise"</formula>
    </cfRule>
    <cfRule type="beginsWith" dxfId="11627" priority="22048" operator="beginsWith" text="Voltaire">
      <formula>LEFT(CB175,LEN("Voltaire"))="Voltaire"</formula>
    </cfRule>
  </conditionalFormatting>
  <conditionalFormatting sqref="CB191:CB197">
    <cfRule type="beginsWith" dxfId="11626" priority="29866" operator="beginsWith" text="Projet professionnel : Séminaire PFI">
      <formula>LEFT(CB191,LEN("Projet professionnel : Séminaire PFI"))="Projet professionnel : Séminaire PFI"</formula>
    </cfRule>
    <cfRule type="beginsWith" dxfId="11625" priority="29867" operator="beginsWith" text="Lancement Projet fil rouge">
      <formula>LEFT(CB191,LEN("Lancement Projet fil rouge"))="Lancement Projet fil rouge"</formula>
    </cfRule>
    <cfRule type="beginsWith" dxfId="11624" priority="29868" operator="beginsWith" text="Vacances">
      <formula>LEFT(CB191,LEN("Vacances"))="Vacances"</formula>
    </cfRule>
    <cfRule type="beginsWith" dxfId="11623" priority="29869" operator="beginsWith" text="Séminaire d'intégration">
      <formula>LEFT(CB191,LEN("Séminaire d'intégration"))="Séminaire d'intégration"</formula>
    </cfRule>
    <cfRule type="beginsWith" dxfId="11622" priority="29870" operator="beginsWith" text="Accueil">
      <formula>LEFT(CB191,LEN("Accueil"))="Accueil"</formula>
    </cfRule>
    <cfRule type="beginsWith" dxfId="11621" priority="29871" operator="beginsWith" text="Stage">
      <formula>LEFT(CB191,LEN("Stage"))="Stage"</formula>
    </cfRule>
    <cfRule type="beginsWith" dxfId="11620" priority="29872" operator="beginsWith" text="Entreprise">
      <formula>LEFT(CB191,LEN("Entreprise"))="Entreprise"</formula>
    </cfRule>
    <cfRule type="beginsWith" dxfId="11619" priority="29873" operator="beginsWith" text="Voltaire">
      <formula>LEFT(CB191,LEN("Voltaire"))="Voltaire"</formula>
    </cfRule>
  </conditionalFormatting>
  <conditionalFormatting sqref="CB198:CB200">
    <cfRule type="beginsWith" dxfId="11618" priority="29858" operator="beginsWith" text="Projet professionnel : Séminaire PFI">
      <formula>LEFT(CB198,LEN("Projet professionnel : Séminaire PFI"))="Projet professionnel : Séminaire PFI"</formula>
    </cfRule>
    <cfRule type="beginsWith" dxfId="11617" priority="29859" operator="beginsWith" text="Lancement Projet fil rouge">
      <formula>LEFT(CB198,LEN("Lancement Projet fil rouge"))="Lancement Projet fil rouge"</formula>
    </cfRule>
    <cfRule type="beginsWith" dxfId="11616" priority="29860" operator="beginsWith" text="Vacances">
      <formula>LEFT(CB198,LEN("Vacances"))="Vacances"</formula>
    </cfRule>
    <cfRule type="beginsWith" dxfId="11615" priority="29861" operator="beginsWith" text="Séminaire d'intégration">
      <formula>LEFT(CB198,LEN("Séminaire d'intégration"))="Séminaire d'intégration"</formula>
    </cfRule>
    <cfRule type="beginsWith" dxfId="11614" priority="29862" operator="beginsWith" text="Accueil">
      <formula>LEFT(CB198,LEN("Accueil"))="Accueil"</formula>
    </cfRule>
    <cfRule type="beginsWith" dxfId="11613" priority="29863" operator="beginsWith" text="Stage">
      <formula>LEFT(CB198,LEN("Stage"))="Stage"</formula>
    </cfRule>
    <cfRule type="beginsWith" dxfId="11612" priority="29864" operator="beginsWith" text="Entreprise">
      <formula>LEFT(CB198,LEN("Entreprise"))="Entreprise"</formula>
    </cfRule>
    <cfRule type="beginsWith" dxfId="11611" priority="29865" operator="beginsWith" text="Voltaire">
      <formula>LEFT(CB198,LEN("Voltaire"))="Voltaire"</formula>
    </cfRule>
  </conditionalFormatting>
  <conditionalFormatting sqref="CB251">
    <cfRule type="beginsWith" dxfId="11610" priority="29618" operator="beginsWith" text="Projet professionnel : Séminaire PFI">
      <formula>LEFT(CB251,LEN("Projet professionnel : Séminaire PFI"))="Projet professionnel : Séminaire PFI"</formula>
    </cfRule>
    <cfRule type="beginsWith" dxfId="11609" priority="29619" operator="beginsWith" text="Lancement Projet fil rouge">
      <formula>LEFT(CB251,LEN("Lancement Projet fil rouge"))="Lancement Projet fil rouge"</formula>
    </cfRule>
    <cfRule type="beginsWith" dxfId="11608" priority="29620" operator="beginsWith" text="Vacances">
      <formula>LEFT(CB251,LEN("Vacances"))="Vacances"</formula>
    </cfRule>
    <cfRule type="beginsWith" dxfId="11607" priority="29621" operator="beginsWith" text="Séminaire d'intégration">
      <formula>LEFT(CB251,LEN("Séminaire d'intégration"))="Séminaire d'intégration"</formula>
    </cfRule>
    <cfRule type="beginsWith" dxfId="11606" priority="29622" operator="beginsWith" text="Accueil">
      <formula>LEFT(CB251,LEN("Accueil"))="Accueil"</formula>
    </cfRule>
    <cfRule type="beginsWith" dxfId="11605" priority="29623" operator="beginsWith" text="Stage">
      <formula>LEFT(CB251,LEN("Stage"))="Stage"</formula>
    </cfRule>
    <cfRule type="beginsWith" dxfId="11604" priority="29624" operator="beginsWith" text="Entreprise">
      <formula>LEFT(CB251,LEN("Entreprise"))="Entreprise"</formula>
    </cfRule>
    <cfRule type="beginsWith" dxfId="11603" priority="29625" operator="beginsWith" text="Voltaire">
      <formula>LEFT(CB251,LEN("Voltaire"))="Voltaire"</formula>
    </cfRule>
    <cfRule type="beginsWith" dxfId="11602" priority="29626" operator="beginsWith" text="Projet professionnel : Séminaire PFI">
      <formula>LEFT(CB251,LEN("Projet professionnel : Séminaire PFI"))="Projet professionnel : Séminaire PFI"</formula>
    </cfRule>
    <cfRule type="beginsWith" dxfId="11601" priority="29627" operator="beginsWith" text="Lancement Projet fil rouge">
      <formula>LEFT(CB251,LEN("Lancement Projet fil rouge"))="Lancement Projet fil rouge"</formula>
    </cfRule>
    <cfRule type="beginsWith" dxfId="11600" priority="29628" operator="beginsWith" text="Vacances">
      <formula>LEFT(CB251,LEN("Vacances"))="Vacances"</formula>
    </cfRule>
    <cfRule type="beginsWith" dxfId="11599" priority="29629" operator="beginsWith" text="Séminaire d'intégration">
      <formula>LEFT(CB251,LEN("Séminaire d'intégration"))="Séminaire d'intégration"</formula>
    </cfRule>
    <cfRule type="beginsWith" dxfId="11598" priority="29630" operator="beginsWith" text="Accueil">
      <formula>LEFT(CB251,LEN("Accueil"))="Accueil"</formula>
    </cfRule>
    <cfRule type="beginsWith" dxfId="11597" priority="29631" operator="beginsWith" text="Stage">
      <formula>LEFT(CB251,LEN("Stage"))="Stage"</formula>
    </cfRule>
    <cfRule type="beginsWith" dxfId="11596" priority="29632" operator="beginsWith" text="Entreprise">
      <formula>LEFT(CB251,LEN("Entreprise"))="Entreprise"</formula>
    </cfRule>
    <cfRule type="beginsWith" dxfId="11595" priority="29633" operator="beginsWith" text="Voltaire">
      <formula>LEFT(CB251,LEN("Voltaire"))="Voltaire"</formula>
    </cfRule>
  </conditionalFormatting>
  <conditionalFormatting sqref="CB256">
    <cfRule type="beginsWith" dxfId="11594" priority="20125" operator="beginsWith" text="Projet professionnel : Séminaire PFI">
      <formula>LEFT(CB256,LEN("Projet professionnel : Séminaire PFI"))="Projet professionnel : Séminaire PFI"</formula>
    </cfRule>
    <cfRule type="beginsWith" dxfId="11593" priority="20126" operator="beginsWith" text="Lancement Projet fil rouge">
      <formula>LEFT(CB256,LEN("Lancement Projet fil rouge"))="Lancement Projet fil rouge"</formula>
    </cfRule>
    <cfRule type="beginsWith" dxfId="11592" priority="20127" operator="beginsWith" text="Vacances">
      <formula>LEFT(CB256,LEN("Vacances"))="Vacances"</formula>
    </cfRule>
    <cfRule type="beginsWith" dxfId="11591" priority="20128" operator="beginsWith" text="Séminaire d'intégration">
      <formula>LEFT(CB256,LEN("Séminaire d'intégration"))="Séminaire d'intégration"</formula>
    </cfRule>
    <cfRule type="beginsWith" dxfId="11590" priority="20129" operator="beginsWith" text="Accueil">
      <formula>LEFT(CB256,LEN("Accueil"))="Accueil"</formula>
    </cfRule>
    <cfRule type="beginsWith" dxfId="11589" priority="20130" operator="beginsWith" text="Stage">
      <formula>LEFT(CB256,LEN("Stage"))="Stage"</formula>
    </cfRule>
    <cfRule type="beginsWith" dxfId="11588" priority="20131" operator="beginsWith" text="Entreprise">
      <formula>LEFT(CB256,LEN("Entreprise"))="Entreprise"</formula>
    </cfRule>
    <cfRule type="beginsWith" dxfId="11587" priority="20132" operator="beginsWith" text="Voltaire">
      <formula>LEFT(CB256,LEN("Voltaire"))="Voltaire"</formula>
    </cfRule>
  </conditionalFormatting>
  <conditionalFormatting sqref="CB1:CC2 CB5:CC5 CB44:CB45 CB91:CB103">
    <cfRule type="beginsWith" dxfId="11586" priority="29891" operator="beginsWith" text="Lancement Projet fil rouge">
      <formula>LEFT(CB1,LEN("Lancement Projet fil rouge"))="Lancement Projet fil rouge"</formula>
    </cfRule>
  </conditionalFormatting>
  <conditionalFormatting sqref="CC31">
    <cfRule type="beginsWith" dxfId="11585" priority="29779" operator="beginsWith" text="Lancement Projet fil rouge">
      <formula>LEFT(CC31,LEN("Lancement Projet fil rouge"))="Lancement Projet fil rouge"</formula>
    </cfRule>
  </conditionalFormatting>
  <conditionalFormatting sqref="CC11:CC17 A11:H20 AX11:BA25 AJ11:AM30 BX11:CA30 DD11:DH35 DW11:EA35 O11:O55 EJ11:EM55 CE11:CG60 CP11:CS95 ED11:EG60 BG11:BG25 AU11:AU30">
    <cfRule type="beginsWith" dxfId="11584" priority="30989" operator="beginsWith" text="Lancement Projet fil rouge">
      <formula>LEFT(A11,LEN("Lancement Projet fil rouge"))="Lancement Projet fil rouge"</formula>
    </cfRule>
  </conditionalFormatting>
  <conditionalFormatting sqref="CC126">
    <cfRule type="beginsWith" dxfId="11583" priority="14626" operator="beginsWith" text="Lancement Projet fil rouge">
      <formula>LEFT(CC126,LEN("Lancement Projet fil rouge"))="Lancement Projet fil rouge"</formula>
    </cfRule>
    <cfRule type="beginsWith" dxfId="11582" priority="14627" operator="beginsWith" text="Vacances">
      <formula>LEFT(CC126,LEN("Vacances"))="Vacances"</formula>
    </cfRule>
    <cfRule type="beginsWith" dxfId="11581" priority="14628" operator="beginsWith" text="Séminaire d'intégration">
      <formula>LEFT(CC126,LEN("Séminaire d'intégration"))="Séminaire d'intégration"</formula>
    </cfRule>
    <cfRule type="beginsWith" dxfId="11580" priority="14629" operator="beginsWith" text="Accueil">
      <formula>LEFT(CC126,LEN("Accueil"))="Accueil"</formula>
    </cfRule>
    <cfRule type="beginsWith" dxfId="11579" priority="14630" operator="beginsWith" text="Stage">
      <formula>LEFT(CC126,LEN("Stage"))="Stage"</formula>
    </cfRule>
    <cfRule type="beginsWith" dxfId="11578" priority="14631" operator="beginsWith" text="Entreprise">
      <formula>LEFT(CC126,LEN("Entreprise"))="Entreprise"</formula>
    </cfRule>
    <cfRule type="beginsWith" dxfId="11577" priority="14632" operator="beginsWith" text="Voltaire">
      <formula>LEFT(CC126,LEN("Voltaire"))="Voltaire"</formula>
    </cfRule>
  </conditionalFormatting>
  <conditionalFormatting sqref="CC146">
    <cfRule type="beginsWith" dxfId="11576" priority="21030" operator="beginsWith" text="Lancement Projet fil rouge">
      <formula>LEFT(CC146,LEN("Lancement Projet fil rouge"))="Lancement Projet fil rouge"</formula>
    </cfRule>
    <cfRule type="beginsWith" dxfId="11575" priority="21031" operator="beginsWith" text="Vacances">
      <formula>LEFT(CC146,LEN("Vacances"))="Vacances"</formula>
    </cfRule>
    <cfRule type="beginsWith" dxfId="11574" priority="21032" operator="beginsWith" text="Séminaire d'intégration">
      <formula>LEFT(CC146,LEN("Séminaire d'intégration"))="Séminaire d'intégration"</formula>
    </cfRule>
    <cfRule type="beginsWith" dxfId="11573" priority="21033" operator="beginsWith" text="Accueil">
      <formula>LEFT(CC146,LEN("Accueil"))="Accueil"</formula>
    </cfRule>
    <cfRule type="beginsWith" dxfId="11572" priority="21034" operator="beginsWith" text="Stage">
      <formula>LEFT(CC146,LEN("Stage"))="Stage"</formula>
    </cfRule>
    <cfRule type="beginsWith" dxfId="11571" priority="21035" operator="beginsWith" text="Entreprise">
      <formula>LEFT(CC146,LEN("Entreprise"))="Entreprise"</formula>
    </cfRule>
    <cfRule type="beginsWith" dxfId="11570" priority="21036" operator="beginsWith" text="Voltaire">
      <formula>LEFT(CC146,LEN("Voltaire"))="Voltaire"</formula>
    </cfRule>
  </conditionalFormatting>
  <conditionalFormatting sqref="CC151">
    <cfRule type="beginsWith" dxfId="11569" priority="22065" operator="beginsWith" text="Lancement Projet fil rouge">
      <formula>LEFT(CC151,LEN("Lancement Projet fil rouge"))="Lancement Projet fil rouge"</formula>
    </cfRule>
    <cfRule type="beginsWith" dxfId="11568" priority="22066" operator="beginsWith" text="Vacances">
      <formula>LEFT(CC151,LEN("Vacances"))="Vacances"</formula>
    </cfRule>
    <cfRule type="beginsWith" dxfId="11567" priority="22067" operator="beginsWith" text="Séminaire d'intégration">
      <formula>LEFT(CC151,LEN("Séminaire d'intégration"))="Séminaire d'intégration"</formula>
    </cfRule>
    <cfRule type="beginsWith" dxfId="11566" priority="22068" operator="beginsWith" text="Accueil">
      <formula>LEFT(CC151,LEN("Accueil"))="Accueil"</formula>
    </cfRule>
    <cfRule type="beginsWith" dxfId="11565" priority="22069" operator="beginsWith" text="Stage">
      <formula>LEFT(CC151,LEN("Stage"))="Stage"</formula>
    </cfRule>
    <cfRule type="beginsWith" dxfId="11564" priority="22070" operator="beginsWith" text="Entreprise">
      <formula>LEFT(CC151,LEN("Entreprise"))="Entreprise"</formula>
    </cfRule>
    <cfRule type="beginsWith" dxfId="11563" priority="22071" operator="beginsWith" text="Voltaire">
      <formula>LEFT(CC151,LEN("Voltaire"))="Voltaire"</formula>
    </cfRule>
  </conditionalFormatting>
  <conditionalFormatting sqref="CC156">
    <cfRule type="beginsWith" dxfId="11562" priority="21015" operator="beginsWith" text="Lancement Projet fil rouge">
      <formula>LEFT(CC156,LEN("Lancement Projet fil rouge"))="Lancement Projet fil rouge"</formula>
    </cfRule>
    <cfRule type="beginsWith" dxfId="11561" priority="21016" operator="beginsWith" text="Vacances">
      <formula>LEFT(CC156,LEN("Vacances"))="Vacances"</formula>
    </cfRule>
    <cfRule type="beginsWith" dxfId="11560" priority="21017" operator="beginsWith" text="Séminaire d'intégration">
      <formula>LEFT(CC156,LEN("Séminaire d'intégration"))="Séminaire d'intégration"</formula>
    </cfRule>
    <cfRule type="beginsWith" dxfId="11559" priority="21018" operator="beginsWith" text="Accueil">
      <formula>LEFT(CC156,LEN("Accueil"))="Accueil"</formula>
    </cfRule>
    <cfRule type="beginsWith" dxfId="11558" priority="21019" operator="beginsWith" text="Stage">
      <formula>LEFT(CC156,LEN("Stage"))="Stage"</formula>
    </cfRule>
    <cfRule type="beginsWith" dxfId="11557" priority="21020" operator="beginsWith" text="Entreprise">
      <formula>LEFT(CC156,LEN("Entreprise"))="Entreprise"</formula>
    </cfRule>
    <cfRule type="beginsWith" dxfId="11556" priority="21021" operator="beginsWith" text="Voltaire">
      <formula>LEFT(CC156,LEN("Voltaire"))="Voltaire"</formula>
    </cfRule>
  </conditionalFormatting>
  <conditionalFormatting sqref="CD1:CD2 CD5 CD16:CD30 CD36:CD115">
    <cfRule type="beginsWith" dxfId="11555" priority="20650" operator="beginsWith" text="Lancement Projet fil rouge">
      <formula>LEFT(CD1,LEN("Lancement Projet fil rouge"))="Lancement Projet fil rouge"</formula>
    </cfRule>
    <cfRule type="beginsWith" dxfId="11554" priority="20651" operator="beginsWith" text="Vacances">
      <formula>LEFT(CD1,LEN("Vacances"))="Vacances"</formula>
    </cfRule>
    <cfRule type="beginsWith" dxfId="11553" priority="20652" operator="beginsWith" text="Séminaire d'intégration">
      <formula>LEFT(CD1,LEN("Séminaire d'intégration"))="Séminaire d'intégration"</formula>
    </cfRule>
    <cfRule type="beginsWith" dxfId="11552" priority="20653" operator="beginsWith" text="Accueil">
      <formula>LEFT(CD1,LEN("Accueil"))="Accueil"</formula>
    </cfRule>
    <cfRule type="beginsWith" dxfId="11551" priority="20654" operator="beginsWith" text="Stage">
      <formula>LEFT(CD1,LEN("Stage"))="Stage"</formula>
    </cfRule>
    <cfRule type="beginsWith" dxfId="11550" priority="20655" operator="beginsWith" text="Entreprise">
      <formula>LEFT(CD1,LEN("Entreprise"))="Entreprise"</formula>
    </cfRule>
    <cfRule type="beginsWith" dxfId="11549" priority="20656" operator="beginsWith" text="Voltaire">
      <formula>LEFT(CD1,LEN("Voltaire"))="Voltaire"</formula>
    </cfRule>
  </conditionalFormatting>
  <conditionalFormatting sqref="CD6:CD10">
    <cfRule type="beginsWith" dxfId="11548" priority="18204" operator="beginsWith" text="Lancement Projet fil rouge">
      <formula>LEFT(CD6,LEN("Lancement Projet fil rouge"))="Lancement Projet fil rouge"</formula>
    </cfRule>
    <cfRule type="beginsWith" dxfId="11547" priority="18205" operator="beginsWith" text="Vacances">
      <formula>LEFT(CD6,LEN("Vacances"))="Vacances"</formula>
    </cfRule>
    <cfRule type="beginsWith" dxfId="11546" priority="18206" operator="beginsWith" text="Séminaire d'intégration">
      <formula>LEFT(CD6,LEN("Séminaire d'intégration"))="Séminaire d'intégration"</formula>
    </cfRule>
    <cfRule type="beginsWith" dxfId="11545" priority="18207" operator="beginsWith" text="Accueil">
      <formula>LEFT(CD6,LEN("Accueil"))="Accueil"</formula>
    </cfRule>
    <cfRule type="beginsWith" dxfId="11544" priority="18208" operator="beginsWith" text="Stage">
      <formula>LEFT(CD6,LEN("Stage"))="Stage"</formula>
    </cfRule>
    <cfRule type="beginsWith" dxfId="11543" priority="18209" operator="beginsWith" text="Entreprise">
      <formula>LEFT(CD6,LEN("Entreprise"))="Entreprise"</formula>
    </cfRule>
    <cfRule type="beginsWith" dxfId="11542" priority="18210" operator="beginsWith" text="Voltaire">
      <formula>LEFT(CD6,LEN("Voltaire"))="Voltaire"</formula>
    </cfRule>
  </conditionalFormatting>
  <conditionalFormatting sqref="CD11:CD15">
    <cfRule type="beginsWith" dxfId="11541" priority="20643" operator="beginsWith" text="Lancement Projet fil rouge">
      <formula>LEFT(CD11,LEN("Lancement Projet fil rouge"))="Lancement Projet fil rouge"</formula>
    </cfRule>
    <cfRule type="beginsWith" dxfId="11540" priority="20644" operator="beginsWith" text="Vacances">
      <formula>LEFT(CD11,LEN("Vacances"))="Vacances"</formula>
    </cfRule>
    <cfRule type="beginsWith" dxfId="11539" priority="20645" operator="beginsWith" text="Séminaire d'intégration">
      <formula>LEFT(CD11,LEN("Séminaire d'intégration"))="Séminaire d'intégration"</formula>
    </cfRule>
    <cfRule type="beginsWith" dxfId="11538" priority="20646" operator="beginsWith" text="Accueil">
      <formula>LEFT(CD11,LEN("Accueil"))="Accueil"</formula>
    </cfRule>
    <cfRule type="beginsWith" dxfId="11537" priority="20647" operator="beginsWith" text="Stage">
      <formula>LEFT(CD11,LEN("Stage"))="Stage"</formula>
    </cfRule>
    <cfRule type="beginsWith" dxfId="11536" priority="20648" operator="beginsWith" text="Entreprise">
      <formula>LEFT(CD11,LEN("Entreprise"))="Entreprise"</formula>
    </cfRule>
    <cfRule type="beginsWith" dxfId="11535" priority="20649" operator="beginsWith" text="Voltaire">
      <formula>LEFT(CD11,LEN("Voltaire"))="Voltaire"</formula>
    </cfRule>
  </conditionalFormatting>
  <conditionalFormatting sqref="CD31:CD35">
    <cfRule type="beginsWith" dxfId="11534" priority="20636" operator="beginsWith" text="Lancement Projet fil rouge">
      <formula>LEFT(CD31,LEN("Lancement Projet fil rouge"))="Lancement Projet fil rouge"</formula>
    </cfRule>
    <cfRule type="beginsWith" dxfId="11533" priority="20637" operator="beginsWith" text="Vacances">
      <formula>LEFT(CD31,LEN("Vacances"))="Vacances"</formula>
    </cfRule>
    <cfRule type="beginsWith" dxfId="11532" priority="20638" operator="beginsWith" text="Séminaire d'intégration">
      <formula>LEFT(CD31,LEN("Séminaire d'intégration"))="Séminaire d'intégration"</formula>
    </cfRule>
    <cfRule type="beginsWith" dxfId="11531" priority="20639" operator="beginsWith" text="Accueil">
      <formula>LEFT(CD31,LEN("Accueil"))="Accueil"</formula>
    </cfRule>
    <cfRule type="beginsWith" dxfId="11530" priority="20640" operator="beginsWith" text="Stage">
      <formula>LEFT(CD31,LEN("Stage"))="Stage"</formula>
    </cfRule>
    <cfRule type="beginsWith" dxfId="11529" priority="20641" operator="beginsWith" text="Entreprise">
      <formula>LEFT(CD31,LEN("Entreprise"))="Entreprise"</formula>
    </cfRule>
    <cfRule type="beginsWith" dxfId="11528" priority="20642" operator="beginsWith" text="Voltaire">
      <formula>LEFT(CD31,LEN("Voltaire"))="Voltaire"</formula>
    </cfRule>
  </conditionalFormatting>
  <conditionalFormatting sqref="CD116:CD120">
    <cfRule type="beginsWith" dxfId="11527" priority="14633" operator="beginsWith" text="Lancement Projet fil rouge">
      <formula>LEFT(CD116,LEN("Lancement Projet fil rouge"))="Lancement Projet fil rouge"</formula>
    </cfRule>
    <cfRule type="beginsWith" dxfId="11526" priority="14634" operator="beginsWith" text="Vacances">
      <formula>LEFT(CD116,LEN("Vacances"))="Vacances"</formula>
    </cfRule>
    <cfRule type="beginsWith" dxfId="11525" priority="14635" operator="beginsWith" text="Séminaire d'intégration">
      <formula>LEFT(CD116,LEN("Séminaire d'intégration"))="Séminaire d'intégration"</formula>
    </cfRule>
    <cfRule type="beginsWith" dxfId="11524" priority="14636" operator="beginsWith" text="Accueil">
      <formula>LEFT(CD116,LEN("Accueil"))="Accueil"</formula>
    </cfRule>
    <cfRule type="beginsWith" dxfId="11523" priority="14637" operator="beginsWith" text="Stage">
      <formula>LEFT(CD116,LEN("Stage"))="Stage"</formula>
    </cfRule>
    <cfRule type="beginsWith" dxfId="11522" priority="14638" operator="beginsWith" text="Entreprise">
      <formula>LEFT(CD116,LEN("Entreprise"))="Entreprise"</formula>
    </cfRule>
    <cfRule type="beginsWith" dxfId="11521" priority="14639" operator="beginsWith" text="Voltaire">
      <formula>LEFT(CD116,LEN("Voltaire"))="Voltaire"</formula>
    </cfRule>
  </conditionalFormatting>
  <conditionalFormatting sqref="CF61:CF65">
    <cfRule type="beginsWith" dxfId="11520" priority="10808" operator="beginsWith" text="Lancement Projet fil rouge">
      <formula>LEFT(CF61,LEN("Lancement Projet fil rouge"))="Lancement Projet fil rouge"</formula>
    </cfRule>
    <cfRule type="beginsWith" dxfId="11519" priority="10809" operator="beginsWith" text="Vacances">
      <formula>LEFT(CF61,LEN("Vacances"))="Vacances"</formula>
    </cfRule>
    <cfRule type="beginsWith" dxfId="11518" priority="10810" operator="beginsWith" text="Séminaire d'intégration">
      <formula>LEFT(CF61,LEN("Séminaire d'intégration"))="Séminaire d'intégration"</formula>
    </cfRule>
    <cfRule type="beginsWith" dxfId="11517" priority="10811" operator="beginsWith" text="Accueil">
      <formula>LEFT(CF61,LEN("Accueil"))="Accueil"</formula>
    </cfRule>
    <cfRule type="beginsWith" dxfId="11516" priority="10812" operator="beginsWith" text="TOPHYC">
      <formula>LEFT(CF61,LEN("TOPHYC"))="TOPHYC"</formula>
    </cfRule>
    <cfRule type="beginsWith" dxfId="11515" priority="10813" operator="beginsWith" text="Global Exam">
      <formula>LEFT(CF61,LEN("Global Exam"))="Global Exam"</formula>
    </cfRule>
    <cfRule type="beginsWith" dxfId="11514" priority="10814" operator="beginsWith" text="Stage">
      <formula>LEFT(CF61,LEN("Stage"))="Stage"</formula>
    </cfRule>
    <cfRule type="beginsWith" dxfId="11513" priority="10815" operator="beginsWith" text="Entreprise">
      <formula>LEFT(CF61,LEN("Entreprise"))="Entreprise"</formula>
    </cfRule>
    <cfRule type="beginsWith" dxfId="11512" priority="10816" operator="beginsWith" text="TOMIC">
      <formula>LEFT(CF61,LEN("TOMIC"))="TOMIC"</formula>
    </cfRule>
    <cfRule type="beginsWith" dxfId="11511" priority="10817" operator="beginsWith" text="Voltaire">
      <formula>LEFT(CF61,LEN("Voltaire"))="Voltaire"</formula>
    </cfRule>
  </conditionalFormatting>
  <conditionalFormatting sqref="DD11:DD15 DW11:DW15 AJ11:AJ15 AX11:AX15">
    <cfRule type="notContainsBlanks" dxfId="11510" priority="30999">
      <formula>LEN(TRIM(AJ11))&gt;0</formula>
    </cfRule>
  </conditionalFormatting>
  <conditionalFormatting sqref="R114">
    <cfRule type="beginsWith" dxfId="11509" priority="7783" operator="beginsWith" text="Lancement Projet fil rouge">
      <formula>LEFT(R114,LEN("Lancement Projet fil rouge"))="Lancement Projet fil rouge"</formula>
    </cfRule>
    <cfRule type="beginsWith" dxfId="11508" priority="7784" operator="beginsWith" text="Vacances">
      <formula>LEFT(R114,LEN("Vacances"))="Vacances"</formula>
    </cfRule>
    <cfRule type="beginsWith" dxfId="11507" priority="7785" operator="beginsWith" text="Séminaire d'intégration">
      <formula>LEFT(R114,LEN("Séminaire d'intégration"))="Séminaire d'intégration"</formula>
    </cfRule>
    <cfRule type="beginsWith" dxfId="11506" priority="7786" operator="beginsWith" text="Accueil">
      <formula>LEFT(R114,LEN("Accueil"))="Accueil"</formula>
    </cfRule>
    <cfRule type="beginsWith" dxfId="11505" priority="7787" operator="beginsWith" text="TOPHYC">
      <formula>LEFT(R114,LEN("TOPHYC"))="TOPHYC"</formula>
    </cfRule>
    <cfRule type="beginsWith" dxfId="11504" priority="7788" operator="beginsWith" text="Global Exam">
      <formula>LEFT(R114,LEN("Global Exam"))="Global Exam"</formula>
    </cfRule>
    <cfRule type="beginsWith" dxfId="11503" priority="7789" operator="beginsWith" text="Stage">
      <formula>LEFT(R114,LEN("Stage"))="Stage"</formula>
    </cfRule>
    <cfRule type="beginsWith" dxfId="11502" priority="7790" operator="beginsWith" text="Entreprise">
      <formula>LEFT(R114,LEN("Entreprise"))="Entreprise"</formula>
    </cfRule>
    <cfRule type="beginsWith" dxfId="11501" priority="7791" operator="beginsWith" text="TOMIC">
      <formula>LEFT(R114,LEN("TOMIC"))="TOMIC"</formula>
    </cfRule>
    <cfRule type="beginsWith" dxfId="11500" priority="7792" operator="beginsWith" text="Voltaire">
      <formula>LEFT(R114,LEN("Voltaire"))="Voltaire"</formula>
    </cfRule>
  </conditionalFormatting>
  <conditionalFormatting sqref="T146">
    <cfRule type="beginsWith" dxfId="11499" priority="8094" operator="beginsWith" text="Lancement Projet fil rouge">
      <formula>LEFT(T146,LEN("Lancement Projet fil rouge"))="Lancement Projet fil rouge"</formula>
    </cfRule>
    <cfRule type="beginsWith" dxfId="11498" priority="8095" operator="beginsWith" text="Vacances">
      <formula>LEFT(T146,LEN("Vacances"))="Vacances"</formula>
    </cfRule>
    <cfRule type="beginsWith" dxfId="11497" priority="8096" operator="beginsWith" text="Séminaire d'intégration">
      <formula>LEFT(T146,LEN("Séminaire d'intégration"))="Séminaire d'intégration"</formula>
    </cfRule>
    <cfRule type="beginsWith" dxfId="11496" priority="8097" operator="beginsWith" text="Accueil">
      <formula>LEFT(T146,LEN("Accueil"))="Accueil"</formula>
    </cfRule>
    <cfRule type="beginsWith" dxfId="11495" priority="8098" operator="beginsWith" text="TOPHYC">
      <formula>LEFT(T146,LEN("TOPHYC"))="TOPHYC"</formula>
    </cfRule>
    <cfRule type="beginsWith" dxfId="11494" priority="8099" operator="beginsWith" text="Global Exam">
      <formula>LEFT(T146,LEN("Global Exam"))="Global Exam"</formula>
    </cfRule>
    <cfRule type="beginsWith" dxfId="11493" priority="8100" operator="beginsWith" text="Stage">
      <formula>LEFT(T146,LEN("Stage"))="Stage"</formula>
    </cfRule>
    <cfRule type="beginsWith" dxfId="11492" priority="8101" operator="beginsWith" text="Entreprise">
      <formula>LEFT(T146,LEN("Entreprise"))="Entreprise"</formula>
    </cfRule>
    <cfRule type="beginsWith" dxfId="11491" priority="8102" operator="beginsWith" text="TOMIC">
      <formula>LEFT(T146,LEN("TOMIC"))="TOMIC"</formula>
    </cfRule>
    <cfRule type="beginsWith" dxfId="11490" priority="8103" operator="beginsWith" text="Voltaire">
      <formula>LEFT(T146,LEN("Voltaire"))="Voltaire"</formula>
    </cfRule>
  </conditionalFormatting>
  <conditionalFormatting sqref="EB111">
    <cfRule type="beginsWith" dxfId="11489" priority="14949" operator="beginsWith" text="Projet professionnel : Séminaire PFI">
      <formula>LEFT(EB111,LEN("Projet professionnel : Séminaire PFI"))="Projet professionnel : Séminaire PFI"</formula>
    </cfRule>
    <cfRule type="beginsWith" dxfId="11488" priority="14950" operator="beginsWith" text="Lancement Projet fil rouge">
      <formula>LEFT(EB111,LEN("Lancement Projet fil rouge"))="Lancement Projet fil rouge"</formula>
    </cfRule>
    <cfRule type="beginsWith" dxfId="11487" priority="14951" operator="beginsWith" text="Vacances">
      <formula>LEFT(EB111,LEN("Vacances"))="Vacances"</formula>
    </cfRule>
    <cfRule type="beginsWith" dxfId="11486" priority="14952" operator="beginsWith" text="Séminaire d'intégration">
      <formula>LEFT(EB111,LEN("Séminaire d'intégration"))="Séminaire d'intégration"</formula>
    </cfRule>
    <cfRule type="beginsWith" dxfId="11485" priority="14953" operator="beginsWith" text="Accueil">
      <formula>LEFT(EB111,LEN("Accueil"))="Accueil"</formula>
    </cfRule>
    <cfRule type="beginsWith" dxfId="11484" priority="14954" operator="beginsWith" text="Stage">
      <formula>LEFT(EB111,LEN("Stage"))="Stage"</formula>
    </cfRule>
    <cfRule type="beginsWith" dxfId="11483" priority="14955" operator="beginsWith" text="Entreprise">
      <formula>LEFT(EB111,LEN("Entreprise"))="Entreprise"</formula>
    </cfRule>
    <cfRule type="beginsWith" dxfId="11482" priority="14956" operator="beginsWith" text="Voltaire">
      <formula>LEFT(EB111,LEN("Voltaire"))="Voltaire"</formula>
    </cfRule>
  </conditionalFormatting>
  <conditionalFormatting sqref="DY106">
    <cfRule type="beginsWith" dxfId="11481" priority="9935" operator="beginsWith" text="Lancement Projet fil rouge">
      <formula>LEFT(DY106,LEN("Lancement Projet fil rouge"))="Lancement Projet fil rouge"</formula>
    </cfRule>
    <cfRule type="beginsWith" dxfId="11480" priority="9936" operator="beginsWith" text="Vacances">
      <formula>LEFT(DY106,LEN("Vacances"))="Vacances"</formula>
    </cfRule>
    <cfRule type="beginsWith" dxfId="11479" priority="9937" operator="beginsWith" text="Séminaire d'intégration">
      <formula>LEFT(DY106,LEN("Séminaire d'intégration"))="Séminaire d'intégration"</formula>
    </cfRule>
    <cfRule type="beginsWith" dxfId="11478" priority="9938" operator="beginsWith" text="Accueil">
      <formula>LEFT(DY106,LEN("Accueil"))="Accueil"</formula>
    </cfRule>
    <cfRule type="beginsWith" dxfId="11477" priority="9939" operator="beginsWith" text="TOPHYC">
      <formula>LEFT(DY106,LEN("TOPHYC"))="TOPHYC"</formula>
    </cfRule>
    <cfRule type="beginsWith" dxfId="11476" priority="9940" operator="beginsWith" text="Global Exam">
      <formula>LEFT(DY106,LEN("Global Exam"))="Global Exam"</formula>
    </cfRule>
    <cfRule type="beginsWith" dxfId="11475" priority="9941" operator="beginsWith" text="Stage">
      <formula>LEFT(DY106,LEN("Stage"))="Stage"</formula>
    </cfRule>
    <cfRule type="beginsWith" dxfId="11474" priority="9942" operator="beginsWith" text="Entreprise">
      <formula>LEFT(DY106,LEN("Entreprise"))="Entreprise"</formula>
    </cfRule>
    <cfRule type="beginsWith" dxfId="11473" priority="9943" operator="beginsWith" text="TOMIC">
      <formula>LEFT(DY106,LEN("TOMIC"))="TOMIC"</formula>
    </cfRule>
    <cfRule type="beginsWith" dxfId="11472" priority="9944" operator="beginsWith" text="Voltaire">
      <formula>LEFT(DY106,LEN("Voltaire"))="Voltaire"</formula>
    </cfRule>
  </conditionalFormatting>
  <conditionalFormatting sqref="CH3">
    <cfRule type="beginsWith" dxfId="11471" priority="28240" operator="beginsWith" text="Lancement Projet fil rouge">
      <formula>LEFT(CH3,LEN("Lancement Projet fil rouge"))="Lancement Projet fil rouge"</formula>
    </cfRule>
    <cfRule type="beginsWith" dxfId="11470" priority="28241" operator="beginsWith" text="Vacances">
      <formula>LEFT(CH3,LEN("Vacances"))="Vacances"</formula>
    </cfRule>
    <cfRule type="beginsWith" dxfId="11469" priority="28242" operator="beginsWith" text="Séminaire d'intégration">
      <formula>LEFT(CH3,LEN("Séminaire d'intégration"))="Séminaire d'intégration"</formula>
    </cfRule>
    <cfRule type="beginsWith" dxfId="11468" priority="28243" operator="beginsWith" text="Accueil">
      <formula>LEFT(CH3,LEN("Accueil"))="Accueil"</formula>
    </cfRule>
    <cfRule type="beginsWith" dxfId="11467" priority="28244" operator="beginsWith" text="Stage">
      <formula>LEFT(CH3,LEN("Stage"))="Stage"</formula>
    </cfRule>
    <cfRule type="beginsWith" dxfId="11466" priority="28245" operator="beginsWith" text="Entreprise">
      <formula>LEFT(CH3,LEN("Entreprise"))="Entreprise"</formula>
    </cfRule>
    <cfRule type="beginsWith" dxfId="11465" priority="28246" operator="beginsWith" text="Voltaire">
      <formula>LEFT(CH3,LEN("Voltaire"))="Voltaire"</formula>
    </cfRule>
  </conditionalFormatting>
  <conditionalFormatting sqref="CH31">
    <cfRule type="beginsWith" dxfId="11464" priority="19445" operator="beginsWith" text="Projet professionnel : Séminaire PFI">
      <formula>LEFT(CH31,LEN("Projet professionnel : Séminaire PFI"))="Projet professionnel : Séminaire PFI"</formula>
    </cfRule>
    <cfRule type="beginsWith" dxfId="11463" priority="19446" operator="beginsWith" text="Lancement Projet fil rouge">
      <formula>LEFT(CH31,LEN("Lancement Projet fil rouge"))="Lancement Projet fil rouge"</formula>
    </cfRule>
    <cfRule type="beginsWith" dxfId="11462" priority="19447" operator="beginsWith" text="Vacances">
      <formula>LEFT(CH31,LEN("Vacances"))="Vacances"</formula>
    </cfRule>
    <cfRule type="beginsWith" dxfId="11461" priority="19448" operator="beginsWith" text="Séminaire d'intégration">
      <formula>LEFT(CH31,LEN("Séminaire d'intégration"))="Séminaire d'intégration"</formula>
    </cfRule>
    <cfRule type="beginsWith" dxfId="11460" priority="19449" operator="beginsWith" text="Accueil">
      <formula>LEFT(CH31,LEN("Accueil"))="Accueil"</formula>
    </cfRule>
    <cfRule type="beginsWith" dxfId="11459" priority="19450" operator="beginsWith" text="Stage">
      <formula>LEFT(CH31,LEN("Stage"))="Stage"</formula>
    </cfRule>
    <cfRule type="beginsWith" dxfId="11458" priority="19451" operator="beginsWith" text="Entreprise">
      <formula>LEFT(CH31,LEN("Entreprise"))="Entreprise"</formula>
    </cfRule>
    <cfRule type="beginsWith" dxfId="11457" priority="19452" operator="beginsWith" text="Voltaire">
      <formula>LEFT(CH31,LEN("Voltaire"))="Voltaire"</formula>
    </cfRule>
  </conditionalFormatting>
  <conditionalFormatting sqref="CH41">
    <cfRule type="beginsWith" dxfId="11456" priority="19453" operator="beginsWith" text="Projet professionnel : Séminaire PFI">
      <formula>LEFT(CH41,LEN("Projet professionnel : Séminaire PFI"))="Projet professionnel : Séminaire PFI"</formula>
    </cfRule>
    <cfRule type="beginsWith" dxfId="11455" priority="19454" operator="beginsWith" text="Lancement Projet fil rouge">
      <formula>LEFT(CH41,LEN("Lancement Projet fil rouge"))="Lancement Projet fil rouge"</formula>
    </cfRule>
    <cfRule type="beginsWith" dxfId="11454" priority="19455" operator="beginsWith" text="Vacances">
      <formula>LEFT(CH41,LEN("Vacances"))="Vacances"</formula>
    </cfRule>
    <cfRule type="beginsWith" dxfId="11453" priority="19456" operator="beginsWith" text="Séminaire d'intégration">
      <formula>LEFT(CH41,LEN("Séminaire d'intégration"))="Séminaire d'intégration"</formula>
    </cfRule>
    <cfRule type="beginsWith" dxfId="11452" priority="19457" operator="beginsWith" text="Accueil">
      <formula>LEFT(CH41,LEN("Accueil"))="Accueil"</formula>
    </cfRule>
    <cfRule type="beginsWith" dxfId="11451" priority="19458" operator="beginsWith" text="Stage">
      <formula>LEFT(CH41,LEN("Stage"))="Stage"</formula>
    </cfRule>
    <cfRule type="beginsWith" dxfId="11450" priority="19459" operator="beginsWith" text="Entreprise">
      <formula>LEFT(CH41,LEN("Entreprise"))="Entreprise"</formula>
    </cfRule>
    <cfRule type="beginsWith" dxfId="11449" priority="19460" operator="beginsWith" text="Voltaire">
      <formula>LEFT(CH41,LEN("Voltaire"))="Voltaire"</formula>
    </cfRule>
  </conditionalFormatting>
  <conditionalFormatting sqref="CH51">
    <cfRule type="beginsWith" dxfId="11448" priority="15658" operator="beginsWith" text="Projet professionnel : Séminaire PFI">
      <formula>LEFT(CH51,LEN("Projet professionnel : Séminaire PFI"))="Projet professionnel : Séminaire PFI"</formula>
    </cfRule>
    <cfRule type="beginsWith" dxfId="11447" priority="15659" operator="beginsWith" text="Lancement Projet fil rouge">
      <formula>LEFT(CH51,LEN("Lancement Projet fil rouge"))="Lancement Projet fil rouge"</formula>
    </cfRule>
    <cfRule type="beginsWith" dxfId="11446" priority="15660" operator="beginsWith" text="Vacances">
      <formula>LEFT(CH51,LEN("Vacances"))="Vacances"</formula>
    </cfRule>
    <cfRule type="beginsWith" dxfId="11445" priority="15661" operator="beginsWith" text="Séminaire d'intégration">
      <formula>LEFT(CH51,LEN("Séminaire d'intégration"))="Séminaire d'intégration"</formula>
    </cfRule>
    <cfRule type="beginsWith" dxfId="11444" priority="15662" operator="beginsWith" text="Accueil">
      <formula>LEFT(CH51,LEN("Accueil"))="Accueil"</formula>
    </cfRule>
    <cfRule type="beginsWith" dxfId="11443" priority="15663" operator="beginsWith" text="Stage">
      <formula>LEFT(CH51,LEN("Stage"))="Stage"</formula>
    </cfRule>
    <cfRule type="beginsWith" dxfId="11442" priority="15664" operator="beginsWith" text="Entreprise">
      <formula>LEFT(CH51,LEN("Entreprise"))="Entreprise"</formula>
    </cfRule>
    <cfRule type="beginsWith" dxfId="11441" priority="15665" operator="beginsWith" text="Voltaire">
      <formula>LEFT(CH51,LEN("Voltaire"))="Voltaire"</formula>
    </cfRule>
  </conditionalFormatting>
  <conditionalFormatting sqref="CH56">
    <cfRule type="beginsWith" dxfId="11440" priority="15586" operator="beginsWith" text="Projet professionnel : Séminaire PFI">
      <formula>LEFT(CH56,LEN("Projet professionnel : Séminaire PFI"))="Projet professionnel : Séminaire PFI"</formula>
    </cfRule>
    <cfRule type="beginsWith" dxfId="11439" priority="15587" operator="beginsWith" text="Lancement Projet fil rouge">
      <formula>LEFT(CH56,LEN("Lancement Projet fil rouge"))="Lancement Projet fil rouge"</formula>
    </cfRule>
    <cfRule type="beginsWith" dxfId="11438" priority="15588" operator="beginsWith" text="Vacances">
      <formula>LEFT(CH56,LEN("Vacances"))="Vacances"</formula>
    </cfRule>
    <cfRule type="beginsWith" dxfId="11437" priority="15589" operator="beginsWith" text="Séminaire d'intégration">
      <formula>LEFT(CH56,LEN("Séminaire d'intégration"))="Séminaire d'intégration"</formula>
    </cfRule>
    <cfRule type="beginsWith" dxfId="11436" priority="15590" operator="beginsWith" text="Accueil">
      <formula>LEFT(CH56,LEN("Accueil"))="Accueil"</formula>
    </cfRule>
    <cfRule type="beginsWith" dxfId="11435" priority="15591" operator="beginsWith" text="Stage">
      <formula>LEFT(CH56,LEN("Stage"))="Stage"</formula>
    </cfRule>
    <cfRule type="beginsWith" dxfId="11434" priority="15592" operator="beginsWith" text="Entreprise">
      <formula>LEFT(CH56,LEN("Entreprise"))="Entreprise"</formula>
    </cfRule>
    <cfRule type="beginsWith" dxfId="11433" priority="15593" operator="beginsWith" text="Voltaire">
      <formula>LEFT(CH56,LEN("Voltaire"))="Voltaire"</formula>
    </cfRule>
  </conditionalFormatting>
  <conditionalFormatting sqref="CH61">
    <cfRule type="beginsWith" dxfId="11432" priority="15594" operator="beginsWith" text="Projet professionnel : Séminaire PFI">
      <formula>LEFT(CH61,LEN("Projet professionnel : Séminaire PFI"))="Projet professionnel : Séminaire PFI"</formula>
    </cfRule>
    <cfRule type="beginsWith" dxfId="11431" priority="15595" operator="beginsWith" text="Lancement Projet fil rouge">
      <formula>LEFT(CH61,LEN("Lancement Projet fil rouge"))="Lancement Projet fil rouge"</formula>
    </cfRule>
    <cfRule type="beginsWith" dxfId="11430" priority="15596" operator="beginsWith" text="Vacances">
      <formula>LEFT(CH61,LEN("Vacances"))="Vacances"</formula>
    </cfRule>
    <cfRule type="beginsWith" dxfId="11429" priority="15597" operator="beginsWith" text="Séminaire d'intégration">
      <formula>LEFT(CH61,LEN("Séminaire d'intégration"))="Séminaire d'intégration"</formula>
    </cfRule>
    <cfRule type="beginsWith" dxfId="11428" priority="15598" operator="beginsWith" text="Accueil">
      <formula>LEFT(CH61,LEN("Accueil"))="Accueil"</formula>
    </cfRule>
    <cfRule type="beginsWith" dxfId="11427" priority="15599" operator="beginsWith" text="Stage">
      <formula>LEFT(CH61,LEN("Stage"))="Stage"</formula>
    </cfRule>
    <cfRule type="beginsWith" dxfId="11426" priority="15600" operator="beginsWith" text="Entreprise">
      <formula>LEFT(CH61,LEN("Entreprise"))="Entreprise"</formula>
    </cfRule>
    <cfRule type="beginsWith" dxfId="11425" priority="15601" operator="beginsWith" text="Voltaire">
      <formula>LEFT(CH61,LEN("Voltaire"))="Voltaire"</formula>
    </cfRule>
  </conditionalFormatting>
  <conditionalFormatting sqref="CH66:CH69">
    <cfRule type="beginsWith" dxfId="11424" priority="28351" operator="beginsWith" text="Projet professionnel : Séminaire PFI">
      <formula>LEFT(CH66,LEN("Projet professionnel : Séminaire PFI"))="Projet professionnel : Séminaire PFI"</formula>
    </cfRule>
    <cfRule type="beginsWith" dxfId="11423" priority="28352" operator="beginsWith" text="Lancement Projet fil rouge">
      <formula>LEFT(CH66,LEN("Lancement Projet fil rouge"))="Lancement Projet fil rouge"</formula>
    </cfRule>
    <cfRule type="beginsWith" dxfId="11422" priority="28353" operator="beginsWith" text="Vacances">
      <formula>LEFT(CH66,LEN("Vacances"))="Vacances"</formula>
    </cfRule>
    <cfRule type="beginsWith" dxfId="11421" priority="28354" operator="beginsWith" text="Séminaire d'intégration">
      <formula>LEFT(CH66,LEN("Séminaire d'intégration"))="Séminaire d'intégration"</formula>
    </cfRule>
    <cfRule type="beginsWith" dxfId="11420" priority="28355" operator="beginsWith" text="Accueil">
      <formula>LEFT(CH66,LEN("Accueil"))="Accueil"</formula>
    </cfRule>
    <cfRule type="beginsWith" dxfId="11419" priority="28356" operator="beginsWith" text="Stage">
      <formula>LEFT(CH66,LEN("Stage"))="Stage"</formula>
    </cfRule>
    <cfRule type="beginsWith" dxfId="11418" priority="28357" operator="beginsWith" text="Entreprise">
      <formula>LEFT(CH66,LEN("Entreprise"))="Entreprise"</formula>
    </cfRule>
    <cfRule type="beginsWith" dxfId="11417" priority="28358" operator="beginsWith" text="Voltaire">
      <formula>LEFT(CH66,LEN("Voltaire"))="Voltaire"</formula>
    </cfRule>
  </conditionalFormatting>
  <conditionalFormatting sqref="CH70:CH75">
    <cfRule type="beginsWith" dxfId="11416" priority="15578" operator="beginsWith" text="Projet professionnel : Séminaire PFI">
      <formula>LEFT(CH70,LEN("Projet professionnel : Séminaire PFI"))="Projet professionnel : Séminaire PFI"</formula>
    </cfRule>
    <cfRule type="beginsWith" dxfId="11415" priority="15579" operator="beginsWith" text="Lancement Projet fil rouge">
      <formula>LEFT(CH70,LEN("Lancement Projet fil rouge"))="Lancement Projet fil rouge"</formula>
    </cfRule>
    <cfRule type="beginsWith" dxfId="11414" priority="15580" operator="beginsWith" text="Vacances">
      <formula>LEFT(CH70,LEN("Vacances"))="Vacances"</formula>
    </cfRule>
    <cfRule type="beginsWith" dxfId="11413" priority="15581" operator="beginsWith" text="Séminaire d'intégration">
      <formula>LEFT(CH70,LEN("Séminaire d'intégration"))="Séminaire d'intégration"</formula>
    </cfRule>
    <cfRule type="beginsWith" dxfId="11412" priority="15582" operator="beginsWith" text="Accueil">
      <formula>LEFT(CH70,LEN("Accueil"))="Accueil"</formula>
    </cfRule>
    <cfRule type="beginsWith" dxfId="11411" priority="15583" operator="beginsWith" text="Stage">
      <formula>LEFT(CH70,LEN("Stage"))="Stage"</formula>
    </cfRule>
    <cfRule type="beginsWith" dxfId="11410" priority="15584" operator="beginsWith" text="Entreprise">
      <formula>LEFT(CH70,LEN("Entreprise"))="Entreprise"</formula>
    </cfRule>
    <cfRule type="beginsWith" dxfId="11409" priority="15585" operator="beginsWith" text="Voltaire">
      <formula>LEFT(CH70,LEN("Voltaire"))="Voltaire"</formula>
    </cfRule>
  </conditionalFormatting>
  <conditionalFormatting sqref="CH76">
    <cfRule type="beginsWith" dxfId="11408" priority="28367" operator="beginsWith" text="Projet professionnel : Séminaire PFI">
      <formula>LEFT(CH76,LEN("Projet professionnel : Séminaire PFI"))="Projet professionnel : Séminaire PFI"</formula>
    </cfRule>
    <cfRule type="beginsWith" dxfId="11407" priority="28368" operator="beginsWith" text="Lancement Projet fil rouge">
      <formula>LEFT(CH76,LEN("Lancement Projet fil rouge"))="Lancement Projet fil rouge"</formula>
    </cfRule>
    <cfRule type="beginsWith" dxfId="11406" priority="28369" operator="beginsWith" text="Vacances">
      <formula>LEFT(CH76,LEN("Vacances"))="Vacances"</formula>
    </cfRule>
    <cfRule type="beginsWith" dxfId="11405" priority="28370" operator="beginsWith" text="Séminaire d'intégration">
      <formula>LEFT(CH76,LEN("Séminaire d'intégration"))="Séminaire d'intégration"</formula>
    </cfRule>
    <cfRule type="beginsWith" dxfId="11404" priority="28371" operator="beginsWith" text="Accueil">
      <formula>LEFT(CH76,LEN("Accueil"))="Accueil"</formula>
    </cfRule>
    <cfRule type="beginsWith" dxfId="11403" priority="28372" operator="beginsWith" text="Stage">
      <formula>LEFT(CH76,LEN("Stage"))="Stage"</formula>
    </cfRule>
    <cfRule type="beginsWith" dxfId="11402" priority="28373" operator="beginsWith" text="Entreprise">
      <formula>LEFT(CH76,LEN("Entreprise"))="Entreprise"</formula>
    </cfRule>
    <cfRule type="beginsWith" dxfId="11401" priority="28374" operator="beginsWith" text="Voltaire">
      <formula>LEFT(CH76,LEN("Voltaire"))="Voltaire"</formula>
    </cfRule>
  </conditionalFormatting>
  <conditionalFormatting sqref="CH81">
    <cfRule type="beginsWith" dxfId="11400" priority="28383" operator="beginsWith" text="Projet professionnel : Séminaire PFI">
      <formula>LEFT(CH81,LEN("Projet professionnel : Séminaire PFI"))="Projet professionnel : Séminaire PFI"</formula>
    </cfRule>
    <cfRule type="beginsWith" dxfId="11399" priority="28384" operator="beginsWith" text="Lancement Projet fil rouge">
      <formula>LEFT(CH81,LEN("Lancement Projet fil rouge"))="Lancement Projet fil rouge"</formula>
    </cfRule>
    <cfRule type="beginsWith" dxfId="11398" priority="28385" operator="beginsWith" text="Vacances">
      <formula>LEFT(CH81,LEN("Vacances"))="Vacances"</formula>
    </cfRule>
    <cfRule type="beginsWith" dxfId="11397" priority="28386" operator="beginsWith" text="Séminaire d'intégration">
      <formula>LEFT(CH81,LEN("Séminaire d'intégration"))="Séminaire d'intégration"</formula>
    </cfRule>
    <cfRule type="beginsWith" dxfId="11396" priority="28387" operator="beginsWith" text="Accueil">
      <formula>LEFT(CH81,LEN("Accueil"))="Accueil"</formula>
    </cfRule>
    <cfRule type="beginsWith" dxfId="11395" priority="28388" operator="beginsWith" text="Stage">
      <formula>LEFT(CH81,LEN("Stage"))="Stage"</formula>
    </cfRule>
    <cfRule type="beginsWith" dxfId="11394" priority="28389" operator="beginsWith" text="Entreprise">
      <formula>LEFT(CH81,LEN("Entreprise"))="Entreprise"</formula>
    </cfRule>
    <cfRule type="beginsWith" dxfId="11393" priority="28390" operator="beginsWith" text="Voltaire">
      <formula>LEFT(CH81,LEN("Voltaire"))="Voltaire"</formula>
    </cfRule>
  </conditionalFormatting>
  <conditionalFormatting sqref="CH91">
    <cfRule type="beginsWith" dxfId="11392" priority="28399" operator="beginsWith" text="Projet professionnel : Séminaire PFI">
      <formula>LEFT(CH91,LEN("Projet professionnel : Séminaire PFI"))="Projet professionnel : Séminaire PFI"</formula>
    </cfRule>
    <cfRule type="beginsWith" dxfId="11391" priority="28400" operator="beginsWith" text="Lancement Projet fil rouge">
      <formula>LEFT(CH91,LEN("Lancement Projet fil rouge"))="Lancement Projet fil rouge"</formula>
    </cfRule>
    <cfRule type="beginsWith" dxfId="11390" priority="28401" operator="beginsWith" text="Vacances">
      <formula>LEFT(CH91,LEN("Vacances"))="Vacances"</formula>
    </cfRule>
    <cfRule type="beginsWith" dxfId="11389" priority="28402" operator="beginsWith" text="Séminaire d'intégration">
      <formula>LEFT(CH91,LEN("Séminaire d'intégration"))="Séminaire d'intégration"</formula>
    </cfRule>
    <cfRule type="beginsWith" dxfId="11388" priority="28403" operator="beginsWith" text="Accueil">
      <formula>LEFT(CH91,LEN("Accueil"))="Accueil"</formula>
    </cfRule>
    <cfRule type="beginsWith" dxfId="11387" priority="28404" operator="beginsWith" text="Stage">
      <formula>LEFT(CH91,LEN("Stage"))="Stage"</formula>
    </cfRule>
    <cfRule type="beginsWith" dxfId="11386" priority="28405" operator="beginsWith" text="Entreprise">
      <formula>LEFT(CH91,LEN("Entreprise"))="Entreprise"</formula>
    </cfRule>
    <cfRule type="beginsWith" dxfId="11385" priority="28406" operator="beginsWith" text="Voltaire">
      <formula>LEFT(CH91,LEN("Voltaire"))="Voltaire"</formula>
    </cfRule>
  </conditionalFormatting>
  <conditionalFormatting sqref="CH96">
    <cfRule type="beginsWith" dxfId="11384" priority="15650" operator="beginsWith" text="Projet professionnel : Séminaire PFI">
      <formula>LEFT(CH96,LEN("Projet professionnel : Séminaire PFI"))="Projet professionnel : Séminaire PFI"</formula>
    </cfRule>
    <cfRule type="beginsWith" dxfId="11383" priority="15651" operator="beginsWith" text="Lancement Projet fil rouge">
      <formula>LEFT(CH96,LEN("Lancement Projet fil rouge"))="Lancement Projet fil rouge"</formula>
    </cfRule>
    <cfRule type="beginsWith" dxfId="11382" priority="15652" operator="beginsWith" text="Vacances">
      <formula>LEFT(CH96,LEN("Vacances"))="Vacances"</formula>
    </cfRule>
    <cfRule type="beginsWith" dxfId="11381" priority="15653" operator="beginsWith" text="Séminaire d'intégration">
      <formula>LEFT(CH96,LEN("Séminaire d'intégration"))="Séminaire d'intégration"</formula>
    </cfRule>
    <cfRule type="beginsWith" dxfId="11380" priority="15654" operator="beginsWith" text="Accueil">
      <formula>LEFT(CH96,LEN("Accueil"))="Accueil"</formula>
    </cfRule>
    <cfRule type="beginsWith" dxfId="11379" priority="15655" operator="beginsWith" text="Stage">
      <formula>LEFT(CH96,LEN("Stage"))="Stage"</formula>
    </cfRule>
    <cfRule type="beginsWith" dxfId="11378" priority="15656" operator="beginsWith" text="Entreprise">
      <formula>LEFT(CH96,LEN("Entreprise"))="Entreprise"</formula>
    </cfRule>
    <cfRule type="beginsWith" dxfId="11377" priority="15657" operator="beginsWith" text="Voltaire">
      <formula>LEFT(CH96,LEN("Voltaire"))="Voltaire"</formula>
    </cfRule>
  </conditionalFormatting>
  <conditionalFormatting sqref="CH101">
    <cfRule type="beginsWith" dxfId="11376" priority="15642" operator="beginsWith" text="Projet professionnel : Séminaire PFI">
      <formula>LEFT(CH101,LEN("Projet professionnel : Séminaire PFI"))="Projet professionnel : Séminaire PFI"</formula>
    </cfRule>
    <cfRule type="beginsWith" dxfId="11375" priority="15643" operator="beginsWith" text="Lancement Projet fil rouge">
      <formula>LEFT(CH101,LEN("Lancement Projet fil rouge"))="Lancement Projet fil rouge"</formula>
    </cfRule>
    <cfRule type="beginsWith" dxfId="11374" priority="15644" operator="beginsWith" text="Vacances">
      <formula>LEFT(CH101,LEN("Vacances"))="Vacances"</formula>
    </cfRule>
    <cfRule type="beginsWith" dxfId="11373" priority="15645" operator="beginsWith" text="Séminaire d'intégration">
      <formula>LEFT(CH101,LEN("Séminaire d'intégration"))="Séminaire d'intégration"</formula>
    </cfRule>
    <cfRule type="beginsWith" dxfId="11372" priority="15646" operator="beginsWith" text="Accueil">
      <formula>LEFT(CH101,LEN("Accueil"))="Accueil"</formula>
    </cfRule>
    <cfRule type="beginsWith" dxfId="11371" priority="15647" operator="beginsWith" text="Stage">
      <formula>LEFT(CH101,LEN("Stage"))="Stage"</formula>
    </cfRule>
    <cfRule type="beginsWith" dxfId="11370" priority="15648" operator="beginsWith" text="Entreprise">
      <formula>LEFT(CH101,LEN("Entreprise"))="Entreprise"</formula>
    </cfRule>
    <cfRule type="beginsWith" dxfId="11369" priority="15649" operator="beginsWith" text="Voltaire">
      <formula>LEFT(CH101,LEN("Voltaire"))="Voltaire"</formula>
    </cfRule>
  </conditionalFormatting>
  <conditionalFormatting sqref="CH101:CH111">
    <cfRule type="beginsWith" dxfId="11368" priority="15634" operator="beginsWith" text="Projet professionnel : Séminaire PFI">
      <formula>LEFT(CH101,LEN("Projet professionnel : Séminaire PFI"))="Projet professionnel : Séminaire PFI"</formula>
    </cfRule>
    <cfRule type="beginsWith" dxfId="11367" priority="15635" operator="beginsWith" text="Lancement Projet fil rouge">
      <formula>LEFT(CH101,LEN("Lancement Projet fil rouge"))="Lancement Projet fil rouge"</formula>
    </cfRule>
    <cfRule type="beginsWith" dxfId="11366" priority="15636" operator="beginsWith" text="Vacances">
      <formula>LEFT(CH101,LEN("Vacances"))="Vacances"</formula>
    </cfRule>
    <cfRule type="beginsWith" dxfId="11365" priority="15637" operator="beginsWith" text="Séminaire d'intégration">
      <formula>LEFT(CH101,LEN("Séminaire d'intégration"))="Séminaire d'intégration"</formula>
    </cfRule>
    <cfRule type="beginsWith" dxfId="11364" priority="15638" operator="beginsWith" text="Accueil">
      <formula>LEFT(CH101,LEN("Accueil"))="Accueil"</formula>
    </cfRule>
    <cfRule type="beginsWith" dxfId="11363" priority="15639" operator="beginsWith" text="Stage">
      <formula>LEFT(CH101,LEN("Stage"))="Stage"</formula>
    </cfRule>
    <cfRule type="beginsWith" dxfId="11362" priority="15640" operator="beginsWith" text="Entreprise">
      <formula>LEFT(CH101,LEN("Entreprise"))="Entreprise"</formula>
    </cfRule>
    <cfRule type="beginsWith" dxfId="11361" priority="15641" operator="beginsWith" text="Voltaire">
      <formula>LEFT(CH101,LEN("Voltaire"))="Voltaire"</formula>
    </cfRule>
  </conditionalFormatting>
  <conditionalFormatting sqref="CH112:CH114">
    <cfRule type="beginsWith" dxfId="11360" priority="28535" operator="beginsWith" text="Projet professionnel : Séminaire PFI">
      <formula>LEFT(CH112,LEN("Projet professionnel : Séminaire PFI"))="Projet professionnel : Séminaire PFI"</formula>
    </cfRule>
    <cfRule type="beginsWith" dxfId="11359" priority="28536" operator="beginsWith" text="Lancement Projet fil rouge">
      <formula>LEFT(CH112,LEN("Lancement Projet fil rouge"))="Lancement Projet fil rouge"</formula>
    </cfRule>
    <cfRule type="beginsWith" dxfId="11358" priority="28537" operator="beginsWith" text="Vacances">
      <formula>LEFT(CH112,LEN("Vacances"))="Vacances"</formula>
    </cfRule>
    <cfRule type="beginsWith" dxfId="11357" priority="28538" operator="beginsWith" text="Séminaire d'intégration">
      <formula>LEFT(CH112,LEN("Séminaire d'intégration"))="Séminaire d'intégration"</formula>
    </cfRule>
    <cfRule type="beginsWith" dxfId="11356" priority="28539" operator="beginsWith" text="Accueil">
      <formula>LEFT(CH112,LEN("Accueil"))="Accueil"</formula>
    </cfRule>
    <cfRule type="beginsWith" dxfId="11355" priority="28540" operator="beginsWith" text="Stage">
      <formula>LEFT(CH112,LEN("Stage"))="Stage"</formula>
    </cfRule>
    <cfRule type="beginsWith" dxfId="11354" priority="28541" operator="beginsWith" text="Entreprise">
      <formula>LEFT(CH112,LEN("Entreprise"))="Entreprise"</formula>
    </cfRule>
    <cfRule type="beginsWith" dxfId="11353" priority="28542" operator="beginsWith" text="Voltaire">
      <formula>LEFT(CH112,LEN("Voltaire"))="Voltaire"</formula>
    </cfRule>
  </conditionalFormatting>
  <conditionalFormatting sqref="CH115">
    <cfRule type="beginsWith" dxfId="11352" priority="28287" operator="beginsWith" text="Projet professionnel : Séminaire PFI">
      <formula>LEFT(CH115,LEN("Projet professionnel : Séminaire PFI"))="Projet professionnel : Séminaire PFI"</formula>
    </cfRule>
    <cfRule type="beginsWith" dxfId="11351" priority="28288" operator="beginsWith" text="Lancement Projet fil rouge">
      <formula>LEFT(CH115,LEN("Lancement Projet fil rouge"))="Lancement Projet fil rouge"</formula>
    </cfRule>
    <cfRule type="beginsWith" dxfId="11350" priority="28289" operator="beginsWith" text="Vacances">
      <formula>LEFT(CH115,LEN("Vacances"))="Vacances"</formula>
    </cfRule>
    <cfRule type="beginsWith" dxfId="11349" priority="28290" operator="beginsWith" text="Séminaire d'intégration">
      <formula>LEFT(CH115,LEN("Séminaire d'intégration"))="Séminaire d'intégration"</formula>
    </cfRule>
    <cfRule type="beginsWith" dxfId="11348" priority="28291" operator="beginsWith" text="Accueil">
      <formula>LEFT(CH115,LEN("Accueil"))="Accueil"</formula>
    </cfRule>
    <cfRule type="beginsWith" dxfId="11347" priority="28292" operator="beginsWith" text="Stage">
      <formula>LEFT(CH115,LEN("Stage"))="Stage"</formula>
    </cfRule>
    <cfRule type="beginsWith" dxfId="11346" priority="28293" operator="beginsWith" text="Entreprise">
      <formula>LEFT(CH115,LEN("Entreprise"))="Entreprise"</formula>
    </cfRule>
    <cfRule type="beginsWith" dxfId="11345" priority="28294" operator="beginsWith" text="Voltaire">
      <formula>LEFT(CH115,LEN("Voltaire"))="Voltaire"</formula>
    </cfRule>
  </conditionalFormatting>
  <conditionalFormatting sqref="CH121:CH124 CH226 CH231 CH1:CH2 CH5">
    <cfRule type="beginsWith" dxfId="11344" priority="28543" operator="beginsWith" text="Projet professionnel : Séminaire PFI">
      <formula>LEFT(CH1,LEN("Projet professionnel : Séminaire PFI"))="Projet professionnel : Séminaire PFI"</formula>
    </cfRule>
    <cfRule type="beginsWith" dxfId="11343" priority="28544" operator="beginsWith" text="Lancement Projet fil rouge">
      <formula>LEFT(CH1,LEN("Lancement Projet fil rouge"))="Lancement Projet fil rouge"</formula>
    </cfRule>
    <cfRule type="beginsWith" dxfId="11342" priority="28545" operator="beginsWith" text="Vacances">
      <formula>LEFT(CH1,LEN("Vacances"))="Vacances"</formula>
    </cfRule>
    <cfRule type="beginsWith" dxfId="11341" priority="28546" operator="beginsWith" text="Séminaire d'intégration">
      <formula>LEFT(CH1,LEN("Séminaire d'intégration"))="Séminaire d'intégration"</formula>
    </cfRule>
    <cfRule type="beginsWith" dxfId="11340" priority="28547" operator="beginsWith" text="Accueil">
      <formula>LEFT(CH1,LEN("Accueil"))="Accueil"</formula>
    </cfRule>
    <cfRule type="beginsWith" dxfId="11339" priority="28548" operator="beginsWith" text="Stage">
      <formula>LEFT(CH1,LEN("Stage"))="Stage"</formula>
    </cfRule>
    <cfRule type="beginsWith" dxfId="11338" priority="28549" operator="beginsWith" text="Entreprise">
      <formula>LEFT(CH1,LEN("Entreprise"))="Entreprise"</formula>
    </cfRule>
    <cfRule type="beginsWith" dxfId="11337" priority="28550" operator="beginsWith" text="Voltaire">
      <formula>LEFT(CH1,LEN("Voltaire"))="Voltaire"</formula>
    </cfRule>
  </conditionalFormatting>
  <conditionalFormatting sqref="CH125:CH126">
    <cfRule type="beginsWith" dxfId="11336" priority="28479" operator="beginsWith" text="Projet professionnel : Séminaire PFI">
      <formula>LEFT(CH125,LEN("Projet professionnel : Séminaire PFI"))="Projet professionnel : Séminaire PFI"</formula>
    </cfRule>
    <cfRule type="beginsWith" dxfId="11335" priority="28480" operator="beginsWith" text="Lancement Projet fil rouge">
      <formula>LEFT(CH125,LEN("Lancement Projet fil rouge"))="Lancement Projet fil rouge"</formula>
    </cfRule>
    <cfRule type="beginsWith" dxfId="11334" priority="28481" operator="beginsWith" text="Vacances">
      <formula>LEFT(CH125,LEN("Vacances"))="Vacances"</formula>
    </cfRule>
    <cfRule type="beginsWith" dxfId="11333" priority="28482" operator="beginsWith" text="Séminaire d'intégration">
      <formula>LEFT(CH125,LEN("Séminaire d'intégration"))="Séminaire d'intégration"</formula>
    </cfRule>
    <cfRule type="beginsWith" dxfId="11332" priority="28483" operator="beginsWith" text="Accueil">
      <formula>LEFT(CH125,LEN("Accueil"))="Accueil"</formula>
    </cfRule>
    <cfRule type="beginsWith" dxfId="11331" priority="28484" operator="beginsWith" text="Stage">
      <formula>LEFT(CH125,LEN("Stage"))="Stage"</formula>
    </cfRule>
    <cfRule type="beginsWith" dxfId="11330" priority="28485" operator="beginsWith" text="Entreprise">
      <formula>LEFT(CH125,LEN("Entreprise"))="Entreprise"</formula>
    </cfRule>
    <cfRule type="beginsWith" dxfId="11329" priority="28486" operator="beginsWith" text="Voltaire">
      <formula>LEFT(CH125,LEN("Voltaire"))="Voltaire"</formula>
    </cfRule>
  </conditionalFormatting>
  <conditionalFormatting sqref="CH127:CH137">
    <cfRule type="beginsWith" dxfId="11328" priority="15626" operator="beginsWith" text="Projet professionnel : Séminaire PFI">
      <formula>LEFT(CH127,LEN("Projet professionnel : Séminaire PFI"))="Projet professionnel : Séminaire PFI"</formula>
    </cfRule>
    <cfRule type="beginsWith" dxfId="11327" priority="15627" operator="beginsWith" text="Lancement Projet fil rouge">
      <formula>LEFT(CH127,LEN("Lancement Projet fil rouge"))="Lancement Projet fil rouge"</formula>
    </cfRule>
    <cfRule type="beginsWith" dxfId="11326" priority="15628" operator="beginsWith" text="Vacances">
      <formula>LEFT(CH127,LEN("Vacances"))="Vacances"</formula>
    </cfRule>
    <cfRule type="beginsWith" dxfId="11325" priority="15629" operator="beginsWith" text="Séminaire d'intégration">
      <formula>LEFT(CH127,LEN("Séminaire d'intégration"))="Séminaire d'intégration"</formula>
    </cfRule>
    <cfRule type="beginsWith" dxfId="11324" priority="15630" operator="beginsWith" text="Accueil">
      <formula>LEFT(CH127,LEN("Accueil"))="Accueil"</formula>
    </cfRule>
    <cfRule type="beginsWith" dxfId="11323" priority="15631" operator="beginsWith" text="Stage">
      <formula>LEFT(CH127,LEN("Stage"))="Stage"</formula>
    </cfRule>
    <cfRule type="beginsWith" dxfId="11322" priority="15632" operator="beginsWith" text="Entreprise">
      <formula>LEFT(CH127,LEN("Entreprise"))="Entreprise"</formula>
    </cfRule>
    <cfRule type="beginsWith" dxfId="11321" priority="15633" operator="beginsWith" text="Voltaire">
      <formula>LEFT(CH127,LEN("Voltaire"))="Voltaire"</formula>
    </cfRule>
  </conditionalFormatting>
  <conditionalFormatting sqref="CH138:CH140">
    <cfRule type="beginsWith" dxfId="11320" priority="28343" operator="beginsWith" text="Projet professionnel : Séminaire PFI">
      <formula>LEFT(CH138,LEN("Projet professionnel : Séminaire PFI"))="Projet professionnel : Séminaire PFI"</formula>
    </cfRule>
    <cfRule type="beginsWith" dxfId="11319" priority="28344" operator="beginsWith" text="Lancement Projet fil rouge">
      <formula>LEFT(CH138,LEN("Lancement Projet fil rouge"))="Lancement Projet fil rouge"</formula>
    </cfRule>
    <cfRule type="beginsWith" dxfId="11318" priority="28345" operator="beginsWith" text="Vacances">
      <formula>LEFT(CH138,LEN("Vacances"))="Vacances"</formula>
    </cfRule>
    <cfRule type="beginsWith" dxfId="11317" priority="28346" operator="beginsWith" text="Séminaire d'intégration">
      <formula>LEFT(CH138,LEN("Séminaire d'intégration"))="Séminaire d'intégration"</formula>
    </cfRule>
    <cfRule type="beginsWith" dxfId="11316" priority="28347" operator="beginsWith" text="Accueil">
      <formula>LEFT(CH138,LEN("Accueil"))="Accueil"</formula>
    </cfRule>
    <cfRule type="beginsWith" dxfId="11315" priority="28348" operator="beginsWith" text="Stage">
      <formula>LEFT(CH138,LEN("Stage"))="Stage"</formula>
    </cfRule>
    <cfRule type="beginsWith" dxfId="11314" priority="28349" operator="beginsWith" text="Entreprise">
      <formula>LEFT(CH138,LEN("Entreprise"))="Entreprise"</formula>
    </cfRule>
    <cfRule type="beginsWith" dxfId="11313" priority="28350" operator="beginsWith" text="Voltaire">
      <formula>LEFT(CH138,LEN("Voltaire"))="Voltaire"</formula>
    </cfRule>
  </conditionalFormatting>
  <conditionalFormatting sqref="CH140">
    <cfRule type="beginsWith" dxfId="11312" priority="28495" operator="beginsWith" text="Projet professionnel : Séminaire PFI">
      <formula>LEFT(CH140,LEN("Projet professionnel : Séminaire PFI"))="Projet professionnel : Séminaire PFI"</formula>
    </cfRule>
    <cfRule type="beginsWith" dxfId="11311" priority="28496" operator="beginsWith" text="Lancement Projet fil rouge">
      <formula>LEFT(CH140,LEN("Lancement Projet fil rouge"))="Lancement Projet fil rouge"</formula>
    </cfRule>
    <cfRule type="beginsWith" dxfId="11310" priority="28497" operator="beginsWith" text="Vacances">
      <formula>LEFT(CH140,LEN("Vacances"))="Vacances"</formula>
    </cfRule>
    <cfRule type="beginsWith" dxfId="11309" priority="28498" operator="beginsWith" text="Séminaire d'intégration">
      <formula>LEFT(CH140,LEN("Séminaire d'intégration"))="Séminaire d'intégration"</formula>
    </cfRule>
    <cfRule type="beginsWith" dxfId="11308" priority="28499" operator="beginsWith" text="Accueil">
      <formula>LEFT(CH140,LEN("Accueil"))="Accueil"</formula>
    </cfRule>
    <cfRule type="beginsWith" dxfId="11307" priority="28500" operator="beginsWith" text="Stage">
      <formula>LEFT(CH140,LEN("Stage"))="Stage"</formula>
    </cfRule>
    <cfRule type="beginsWith" dxfId="11306" priority="28501" operator="beginsWith" text="Entreprise">
      <formula>LEFT(CH140,LEN("Entreprise"))="Entreprise"</formula>
    </cfRule>
    <cfRule type="beginsWith" dxfId="11305" priority="28502" operator="beginsWith" text="Voltaire">
      <formula>LEFT(CH140,LEN("Voltaire"))="Voltaire"</formula>
    </cfRule>
  </conditionalFormatting>
  <conditionalFormatting sqref="CH141">
    <cfRule type="beginsWith" dxfId="11304" priority="28335" operator="beginsWith" text="Projet professionnel : Séminaire PFI">
      <formula>LEFT(CH141,LEN("Projet professionnel : Séminaire PFI"))="Projet professionnel : Séminaire PFI"</formula>
    </cfRule>
    <cfRule type="beginsWith" dxfId="11303" priority="28336" operator="beginsWith" text="Lancement Projet fil rouge">
      <formula>LEFT(CH141,LEN("Lancement Projet fil rouge"))="Lancement Projet fil rouge"</formula>
    </cfRule>
    <cfRule type="beginsWith" dxfId="11302" priority="28337" operator="beginsWith" text="Vacances">
      <formula>LEFT(CH141,LEN("Vacances"))="Vacances"</formula>
    </cfRule>
    <cfRule type="beginsWith" dxfId="11301" priority="28338" operator="beginsWith" text="Séminaire d'intégration">
      <formula>LEFT(CH141,LEN("Séminaire d'intégration"))="Séminaire d'intégration"</formula>
    </cfRule>
    <cfRule type="beginsWith" dxfId="11300" priority="28339" operator="beginsWith" text="Accueil">
      <formula>LEFT(CH141,LEN("Accueil"))="Accueil"</formula>
    </cfRule>
    <cfRule type="beginsWith" dxfId="11299" priority="28340" operator="beginsWith" text="Stage">
      <formula>LEFT(CH141,LEN("Stage"))="Stage"</formula>
    </cfRule>
    <cfRule type="beginsWith" dxfId="11298" priority="28341" operator="beginsWith" text="Entreprise">
      <formula>LEFT(CH141,LEN("Entreprise"))="Entreprise"</formula>
    </cfRule>
    <cfRule type="beginsWith" dxfId="11297" priority="28342" operator="beginsWith" text="Voltaire">
      <formula>LEFT(CH141,LEN("Voltaire"))="Voltaire"</formula>
    </cfRule>
  </conditionalFormatting>
  <conditionalFormatting sqref="CH146">
    <cfRule type="beginsWith" dxfId="11296" priority="28327" operator="beginsWith" text="Projet professionnel : Séminaire PFI">
      <formula>LEFT(CH146,LEN("Projet professionnel : Séminaire PFI"))="Projet professionnel : Séminaire PFI"</formula>
    </cfRule>
    <cfRule type="beginsWith" dxfId="11295" priority="28328" operator="beginsWith" text="Lancement Projet fil rouge">
      <formula>LEFT(CH146,LEN("Lancement Projet fil rouge"))="Lancement Projet fil rouge"</formula>
    </cfRule>
    <cfRule type="beginsWith" dxfId="11294" priority="28329" operator="beginsWith" text="Vacances">
      <formula>LEFT(CH146,LEN("Vacances"))="Vacances"</formula>
    </cfRule>
    <cfRule type="beginsWith" dxfId="11293" priority="28330" operator="beginsWith" text="Séminaire d'intégration">
      <formula>LEFT(CH146,LEN("Séminaire d'intégration"))="Séminaire d'intégration"</formula>
    </cfRule>
    <cfRule type="beginsWith" dxfId="11292" priority="28331" operator="beginsWith" text="Accueil">
      <formula>LEFT(CH146,LEN("Accueil"))="Accueil"</formula>
    </cfRule>
    <cfRule type="beginsWith" dxfId="11291" priority="28332" operator="beginsWith" text="Stage">
      <formula>LEFT(CH146,LEN("Stage"))="Stage"</formula>
    </cfRule>
    <cfRule type="beginsWith" dxfId="11290" priority="28333" operator="beginsWith" text="Entreprise">
      <formula>LEFT(CH146,LEN("Entreprise"))="Entreprise"</formula>
    </cfRule>
    <cfRule type="beginsWith" dxfId="11289" priority="28334" operator="beginsWith" text="Voltaire">
      <formula>LEFT(CH146,LEN("Voltaire"))="Voltaire"</formula>
    </cfRule>
  </conditionalFormatting>
  <conditionalFormatting sqref="CH151">
    <cfRule type="beginsWith" dxfId="11288" priority="28279" operator="beginsWith" text="Projet professionnel : Séminaire PFI">
      <formula>LEFT(CH151,LEN("Projet professionnel : Séminaire PFI"))="Projet professionnel : Séminaire PFI"</formula>
    </cfRule>
    <cfRule type="beginsWith" dxfId="11287" priority="28280" operator="beginsWith" text="Lancement Projet fil rouge">
      <formula>LEFT(CH151,LEN("Lancement Projet fil rouge"))="Lancement Projet fil rouge"</formula>
    </cfRule>
    <cfRule type="beginsWith" dxfId="11286" priority="28281" operator="beginsWith" text="Vacances">
      <formula>LEFT(CH151,LEN("Vacances"))="Vacances"</formula>
    </cfRule>
    <cfRule type="beginsWith" dxfId="11285" priority="28282" operator="beginsWith" text="Séminaire d'intégration">
      <formula>LEFT(CH151,LEN("Séminaire d'intégration"))="Séminaire d'intégration"</formula>
    </cfRule>
    <cfRule type="beginsWith" dxfId="11284" priority="28283" operator="beginsWith" text="Accueil">
      <formula>LEFT(CH151,LEN("Accueil"))="Accueil"</formula>
    </cfRule>
    <cfRule type="beginsWith" dxfId="11283" priority="28284" operator="beginsWith" text="Stage">
      <formula>LEFT(CH151,LEN("Stage"))="Stage"</formula>
    </cfRule>
    <cfRule type="beginsWith" dxfId="11282" priority="28285" operator="beginsWith" text="Entreprise">
      <formula>LEFT(CH151,LEN("Entreprise"))="Entreprise"</formula>
    </cfRule>
    <cfRule type="beginsWith" dxfId="11281" priority="28286" operator="beginsWith" text="Voltaire">
      <formula>LEFT(CH151,LEN("Voltaire"))="Voltaire"</formula>
    </cfRule>
  </conditionalFormatting>
  <conditionalFormatting sqref="CH156">
    <cfRule type="beginsWith" dxfId="11280" priority="25320" operator="beginsWith" text="Projet professionnel : Séminaire PFI">
      <formula>LEFT(CH156,LEN("Projet professionnel : Séminaire PFI"))="Projet professionnel : Séminaire PFI"</formula>
    </cfRule>
    <cfRule type="beginsWith" dxfId="11279" priority="25321" operator="beginsWith" text="Lancement Projet fil rouge">
      <formula>LEFT(CH156,LEN("Lancement Projet fil rouge"))="Lancement Projet fil rouge"</formula>
    </cfRule>
    <cfRule type="beginsWith" dxfId="11278" priority="25322" operator="beginsWith" text="Vacances">
      <formula>LEFT(CH156,LEN("Vacances"))="Vacances"</formula>
    </cfRule>
    <cfRule type="beginsWith" dxfId="11277" priority="25323" operator="beginsWith" text="Séminaire d'intégration">
      <formula>LEFT(CH156,LEN("Séminaire d'intégration"))="Séminaire d'intégration"</formula>
    </cfRule>
    <cfRule type="beginsWith" dxfId="11276" priority="25324" operator="beginsWith" text="Accueil">
      <formula>LEFT(CH156,LEN("Accueil"))="Accueil"</formula>
    </cfRule>
    <cfRule type="beginsWith" dxfId="11275" priority="25325" operator="beginsWith" text="Stage">
      <formula>LEFT(CH156,LEN("Stage"))="Stage"</formula>
    </cfRule>
    <cfRule type="beginsWith" dxfId="11274" priority="25326" operator="beginsWith" text="Entreprise">
      <formula>LEFT(CH156,LEN("Entreprise"))="Entreprise"</formula>
    </cfRule>
    <cfRule type="beginsWith" dxfId="11273" priority="25327" operator="beginsWith" text="Voltaire">
      <formula>LEFT(CH156,LEN("Voltaire"))="Voltaire"</formula>
    </cfRule>
    <cfRule type="beginsWith" dxfId="11272" priority="25328" operator="beginsWith" text="Projet professionnel : Séminaire PFI">
      <formula>LEFT(CH156,LEN("Projet professionnel : Séminaire PFI"))="Projet professionnel : Séminaire PFI"</formula>
    </cfRule>
    <cfRule type="beginsWith" dxfId="11271" priority="25329" operator="beginsWith" text="Lancement Projet fil rouge">
      <formula>LEFT(CH156,LEN("Lancement Projet fil rouge"))="Lancement Projet fil rouge"</formula>
    </cfRule>
    <cfRule type="beginsWith" dxfId="11270" priority="25330" operator="beginsWith" text="Vacances">
      <formula>LEFT(CH156,LEN("Vacances"))="Vacances"</formula>
    </cfRule>
    <cfRule type="beginsWith" dxfId="11269" priority="25331" operator="beginsWith" text="Séminaire d'intégration">
      <formula>LEFT(CH156,LEN("Séminaire d'intégration"))="Séminaire d'intégration"</formula>
    </cfRule>
    <cfRule type="beginsWith" dxfId="11268" priority="25332" operator="beginsWith" text="Accueil">
      <formula>LEFT(CH156,LEN("Accueil"))="Accueil"</formula>
    </cfRule>
    <cfRule type="beginsWith" dxfId="11267" priority="25333" operator="beginsWith" text="Stage">
      <formula>LEFT(CH156,LEN("Stage"))="Stage"</formula>
    </cfRule>
    <cfRule type="beginsWith" dxfId="11266" priority="25334" operator="beginsWith" text="Entreprise">
      <formula>LEFT(CH156,LEN("Entreprise"))="Entreprise"</formula>
    </cfRule>
    <cfRule type="beginsWith" dxfId="11265" priority="25335" operator="beginsWith" text="Voltaire">
      <formula>LEFT(CH156,LEN("Voltaire"))="Voltaire"</formula>
    </cfRule>
  </conditionalFormatting>
  <conditionalFormatting sqref="CH166:CH180">
    <cfRule type="beginsWith" dxfId="11264" priority="28319" operator="beginsWith" text="Projet professionnel : Séminaire PFI">
      <formula>LEFT(CH166,LEN("Projet professionnel : Séminaire PFI"))="Projet professionnel : Séminaire PFI"</formula>
    </cfRule>
    <cfRule type="beginsWith" dxfId="11263" priority="28320" operator="beginsWith" text="Lancement Projet fil rouge">
      <formula>LEFT(CH166,LEN("Lancement Projet fil rouge"))="Lancement Projet fil rouge"</formula>
    </cfRule>
    <cfRule type="beginsWith" dxfId="11262" priority="28321" operator="beginsWith" text="Vacances">
      <formula>LEFT(CH166,LEN("Vacances"))="Vacances"</formula>
    </cfRule>
    <cfRule type="beginsWith" dxfId="11261" priority="28322" operator="beginsWith" text="Séminaire d'intégration">
      <formula>LEFT(CH166,LEN("Séminaire d'intégration"))="Séminaire d'intégration"</formula>
    </cfRule>
    <cfRule type="beginsWith" dxfId="11260" priority="28323" operator="beginsWith" text="Accueil">
      <formula>LEFT(CH166,LEN("Accueil"))="Accueil"</formula>
    </cfRule>
    <cfRule type="beginsWith" dxfId="11259" priority="28324" operator="beginsWith" text="Stage">
      <formula>LEFT(CH166,LEN("Stage"))="Stage"</formula>
    </cfRule>
    <cfRule type="beginsWith" dxfId="11258" priority="28325" operator="beginsWith" text="Entreprise">
      <formula>LEFT(CH166,LEN("Entreprise"))="Entreprise"</formula>
    </cfRule>
    <cfRule type="beginsWith" dxfId="11257" priority="28326" operator="beginsWith" text="Voltaire">
      <formula>LEFT(CH166,LEN("Voltaire"))="Voltaire"</formula>
    </cfRule>
  </conditionalFormatting>
  <conditionalFormatting sqref="CH181">
    <cfRule type="beginsWith" dxfId="11256" priority="28311" operator="beginsWith" text="Projet professionnel : Séminaire PFI">
      <formula>LEFT(CH181,LEN("Projet professionnel : Séminaire PFI"))="Projet professionnel : Séminaire PFI"</formula>
    </cfRule>
    <cfRule type="beginsWith" dxfId="11255" priority="28312" operator="beginsWith" text="Lancement Projet fil rouge">
      <formula>LEFT(CH181,LEN("Lancement Projet fil rouge"))="Lancement Projet fil rouge"</formula>
    </cfRule>
    <cfRule type="beginsWith" dxfId="11254" priority="28313" operator="beginsWith" text="Vacances">
      <formula>LEFT(CH181,LEN("Vacances"))="Vacances"</formula>
    </cfRule>
    <cfRule type="beginsWith" dxfId="11253" priority="28314" operator="beginsWith" text="Séminaire d'intégration">
      <formula>LEFT(CH181,LEN("Séminaire d'intégration"))="Séminaire d'intégration"</formula>
    </cfRule>
    <cfRule type="beginsWith" dxfId="11252" priority="28315" operator="beginsWith" text="Accueil">
      <formula>LEFT(CH181,LEN("Accueil"))="Accueil"</formula>
    </cfRule>
    <cfRule type="beginsWith" dxfId="11251" priority="28316" operator="beginsWith" text="Stage">
      <formula>LEFT(CH181,LEN("Stage"))="Stage"</formula>
    </cfRule>
    <cfRule type="beginsWith" dxfId="11250" priority="28317" operator="beginsWith" text="Entreprise">
      <formula>LEFT(CH181,LEN("Entreprise"))="Entreprise"</formula>
    </cfRule>
    <cfRule type="beginsWith" dxfId="11249" priority="28318" operator="beginsWith" text="Voltaire">
      <formula>LEFT(CH181,LEN("Voltaire"))="Voltaire"</formula>
    </cfRule>
  </conditionalFormatting>
  <conditionalFormatting sqref="CH186">
    <cfRule type="beginsWith" dxfId="11248" priority="28303" operator="beginsWith" text="Projet professionnel : Séminaire PFI">
      <formula>LEFT(CH186,LEN("Projet professionnel : Séminaire PFI"))="Projet professionnel : Séminaire PFI"</formula>
    </cfRule>
    <cfRule type="beginsWith" dxfId="11247" priority="28304" operator="beginsWith" text="Lancement Projet fil rouge">
      <formula>LEFT(CH186,LEN("Lancement Projet fil rouge"))="Lancement Projet fil rouge"</formula>
    </cfRule>
    <cfRule type="beginsWith" dxfId="11246" priority="28305" operator="beginsWith" text="Vacances">
      <formula>LEFT(CH186,LEN("Vacances"))="Vacances"</formula>
    </cfRule>
    <cfRule type="beginsWith" dxfId="11245" priority="28306" operator="beginsWith" text="Séminaire d'intégration">
      <formula>LEFT(CH186,LEN("Séminaire d'intégration"))="Séminaire d'intégration"</formula>
    </cfRule>
    <cfRule type="beginsWith" dxfId="11244" priority="28307" operator="beginsWith" text="Accueil">
      <formula>LEFT(CH186,LEN("Accueil"))="Accueil"</formula>
    </cfRule>
    <cfRule type="beginsWith" dxfId="11243" priority="28308" operator="beginsWith" text="Stage">
      <formula>LEFT(CH186,LEN("Stage"))="Stage"</formula>
    </cfRule>
    <cfRule type="beginsWith" dxfId="11242" priority="28309" operator="beginsWith" text="Entreprise">
      <formula>LEFT(CH186,LEN("Entreprise"))="Entreprise"</formula>
    </cfRule>
    <cfRule type="beginsWith" dxfId="11241" priority="28310" operator="beginsWith" text="Voltaire">
      <formula>LEFT(CH186,LEN("Voltaire"))="Voltaire"</formula>
    </cfRule>
  </conditionalFormatting>
  <conditionalFormatting sqref="CH199:CH205">
    <cfRule type="beginsWith" dxfId="11240" priority="15610" operator="beginsWith" text="Projet professionnel : Séminaire PFI">
      <formula>LEFT(CH199,LEN("Projet professionnel : Séminaire PFI"))="Projet professionnel : Séminaire PFI"</formula>
    </cfRule>
    <cfRule type="beginsWith" dxfId="11239" priority="15611" operator="beginsWith" text="Lancement Projet fil rouge">
      <formula>LEFT(CH199,LEN("Lancement Projet fil rouge"))="Lancement Projet fil rouge"</formula>
    </cfRule>
    <cfRule type="beginsWith" dxfId="11238" priority="15612" operator="beginsWith" text="Vacances">
      <formula>LEFT(CH199,LEN("Vacances"))="Vacances"</formula>
    </cfRule>
    <cfRule type="beginsWith" dxfId="11237" priority="15613" operator="beginsWith" text="Séminaire d'intégration">
      <formula>LEFT(CH199,LEN("Séminaire d'intégration"))="Séminaire d'intégration"</formula>
    </cfRule>
    <cfRule type="beginsWith" dxfId="11236" priority="15614" operator="beginsWith" text="Accueil">
      <formula>LEFT(CH199,LEN("Accueil"))="Accueil"</formula>
    </cfRule>
    <cfRule type="beginsWith" dxfId="11235" priority="15615" operator="beginsWith" text="Stage">
      <formula>LEFT(CH199,LEN("Stage"))="Stage"</formula>
    </cfRule>
    <cfRule type="beginsWith" dxfId="11234" priority="15616" operator="beginsWith" text="Entreprise">
      <formula>LEFT(CH199,LEN("Entreprise"))="Entreprise"</formula>
    </cfRule>
    <cfRule type="beginsWith" dxfId="11233" priority="15617" operator="beginsWith" text="Voltaire">
      <formula>LEFT(CH199,LEN("Voltaire"))="Voltaire"</formula>
    </cfRule>
  </conditionalFormatting>
  <conditionalFormatting sqref="CH211">
    <cfRule type="beginsWith" dxfId="11232" priority="19359" operator="beginsWith" text="Projet professionnel : Séminaire PFI">
      <formula>LEFT(CH211,LEN("Projet professionnel : Séminaire PFI"))="Projet professionnel : Séminaire PFI"</formula>
    </cfRule>
    <cfRule type="beginsWith" dxfId="11231" priority="19360" operator="beginsWith" text="Lancement Projet fil rouge">
      <formula>LEFT(CH211,LEN("Lancement Projet fil rouge"))="Lancement Projet fil rouge"</formula>
    </cfRule>
    <cfRule type="beginsWith" dxfId="11230" priority="19361" operator="beginsWith" text="Vacances">
      <formula>LEFT(CH211,LEN("Vacances"))="Vacances"</formula>
    </cfRule>
    <cfRule type="beginsWith" dxfId="11229" priority="19362" operator="beginsWith" text="Séminaire d'intégration">
      <formula>LEFT(CH211,LEN("Séminaire d'intégration"))="Séminaire d'intégration"</formula>
    </cfRule>
    <cfRule type="beginsWith" dxfId="11228" priority="19363" operator="beginsWith" text="Accueil">
      <formula>LEFT(CH211,LEN("Accueil"))="Accueil"</formula>
    </cfRule>
    <cfRule type="beginsWith" dxfId="11227" priority="19364" operator="beginsWith" text="Stage">
      <formula>LEFT(CH211,LEN("Stage"))="Stage"</formula>
    </cfRule>
    <cfRule type="beginsWith" dxfId="11226" priority="19365" operator="beginsWith" text="Entreprise">
      <formula>LEFT(CH211,LEN("Entreprise"))="Entreprise"</formula>
    </cfRule>
    <cfRule type="beginsWith" dxfId="11225" priority="19366" operator="beginsWith" text="Voltaire">
      <formula>LEFT(CH211,LEN("Voltaire"))="Voltaire"</formula>
    </cfRule>
  </conditionalFormatting>
  <conditionalFormatting sqref="CH216">
    <cfRule type="beginsWith" dxfId="11224" priority="28471" operator="beginsWith" text="Projet professionnel : Séminaire PFI">
      <formula>LEFT(CH216,LEN("Projet professionnel : Séminaire PFI"))="Projet professionnel : Séminaire PFI"</formula>
    </cfRule>
    <cfRule type="beginsWith" dxfId="11223" priority="28472" operator="beginsWith" text="Lancement Projet fil rouge">
      <formula>LEFT(CH216,LEN("Lancement Projet fil rouge"))="Lancement Projet fil rouge"</formula>
    </cfRule>
    <cfRule type="beginsWith" dxfId="11222" priority="28473" operator="beginsWith" text="Vacances">
      <formula>LEFT(CH216,LEN("Vacances"))="Vacances"</formula>
    </cfRule>
    <cfRule type="beginsWith" dxfId="11221" priority="28474" operator="beginsWith" text="Séminaire d'intégration">
      <formula>LEFT(CH216,LEN("Séminaire d'intégration"))="Séminaire d'intégration"</formula>
    </cfRule>
    <cfRule type="beginsWith" dxfId="11220" priority="28475" operator="beginsWith" text="Accueil">
      <formula>LEFT(CH216,LEN("Accueil"))="Accueil"</formula>
    </cfRule>
    <cfRule type="beginsWith" dxfId="11219" priority="28476" operator="beginsWith" text="Stage">
      <formula>LEFT(CH216,LEN("Stage"))="Stage"</formula>
    </cfRule>
    <cfRule type="beginsWith" dxfId="11218" priority="28477" operator="beginsWith" text="Entreprise">
      <formula>LEFT(CH216,LEN("Entreprise"))="Entreprise"</formula>
    </cfRule>
    <cfRule type="beginsWith" dxfId="11217" priority="28478" operator="beginsWith" text="Voltaire">
      <formula>LEFT(CH216,LEN("Voltaire"))="Voltaire"</formula>
    </cfRule>
  </conditionalFormatting>
  <conditionalFormatting sqref="CH241">
    <cfRule type="beginsWith" dxfId="11216" priority="28247" operator="beginsWith" text="Projet professionnel : Séminaire PFI">
      <formula>LEFT(CH241,LEN("Projet professionnel : Séminaire PFI"))="Projet professionnel : Séminaire PFI"</formula>
    </cfRule>
    <cfRule type="beginsWith" dxfId="11215" priority="28248" operator="beginsWith" text="Lancement Projet fil rouge">
      <formula>LEFT(CH241,LEN("Lancement Projet fil rouge"))="Lancement Projet fil rouge"</formula>
    </cfRule>
    <cfRule type="beginsWith" dxfId="11214" priority="28249" operator="beginsWith" text="Vacances">
      <formula>LEFT(CH241,LEN("Vacances"))="Vacances"</formula>
    </cfRule>
    <cfRule type="beginsWith" dxfId="11213" priority="28250" operator="beginsWith" text="Séminaire d'intégration">
      <formula>LEFT(CH241,LEN("Séminaire d'intégration"))="Séminaire d'intégration"</formula>
    </cfRule>
    <cfRule type="beginsWith" dxfId="11212" priority="28251" operator="beginsWith" text="Accueil">
      <formula>LEFT(CH241,LEN("Accueil"))="Accueil"</formula>
    </cfRule>
    <cfRule type="beginsWith" dxfId="11211" priority="28252" operator="beginsWith" text="Stage">
      <formula>LEFT(CH241,LEN("Stage"))="Stage"</formula>
    </cfRule>
    <cfRule type="beginsWith" dxfId="11210" priority="28253" operator="beginsWith" text="Entreprise">
      <formula>LEFT(CH241,LEN("Entreprise"))="Entreprise"</formula>
    </cfRule>
    <cfRule type="beginsWith" dxfId="11209" priority="28254" operator="beginsWith" text="Voltaire">
      <formula>LEFT(CH241,LEN("Voltaire"))="Voltaire"</formula>
    </cfRule>
    <cfRule type="beginsWith" dxfId="11208" priority="28255" operator="beginsWith" text="Projet professionnel : Séminaire PFI">
      <formula>LEFT(CH241,LEN("Projet professionnel : Séminaire PFI"))="Projet professionnel : Séminaire PFI"</formula>
    </cfRule>
    <cfRule type="beginsWith" dxfId="11207" priority="28256" operator="beginsWith" text="Lancement Projet fil rouge">
      <formula>LEFT(CH241,LEN("Lancement Projet fil rouge"))="Lancement Projet fil rouge"</formula>
    </cfRule>
    <cfRule type="beginsWith" dxfId="11206" priority="28257" operator="beginsWith" text="Vacances">
      <formula>LEFT(CH241,LEN("Vacances"))="Vacances"</formula>
    </cfRule>
    <cfRule type="beginsWith" dxfId="11205" priority="28258" operator="beginsWith" text="Séminaire d'intégration">
      <formula>LEFT(CH241,LEN("Séminaire d'intégration"))="Séminaire d'intégration"</formula>
    </cfRule>
    <cfRule type="beginsWith" dxfId="11204" priority="28259" operator="beginsWith" text="Accueil">
      <formula>LEFT(CH241,LEN("Accueil"))="Accueil"</formula>
    </cfRule>
    <cfRule type="beginsWith" dxfId="11203" priority="28260" operator="beginsWith" text="Stage">
      <formula>LEFT(CH241,LEN("Stage"))="Stage"</formula>
    </cfRule>
    <cfRule type="beginsWith" dxfId="11202" priority="28261" operator="beginsWith" text="Entreprise">
      <formula>LEFT(CH241,LEN("Entreprise"))="Entreprise"</formula>
    </cfRule>
    <cfRule type="beginsWith" dxfId="11201" priority="28262" operator="beginsWith" text="Voltaire">
      <formula>LEFT(CH241,LEN("Voltaire"))="Voltaire"</formula>
    </cfRule>
  </conditionalFormatting>
  <conditionalFormatting sqref="CH250:CH251">
    <cfRule type="beginsWith" dxfId="11200" priority="28431" operator="beginsWith" text="Projet professionnel : Séminaire PFI">
      <formula>LEFT(CH250,LEN("Projet professionnel : Séminaire PFI"))="Projet professionnel : Séminaire PFI"</formula>
    </cfRule>
    <cfRule type="beginsWith" dxfId="11199" priority="28432" operator="beginsWith" text="Lancement Projet fil rouge">
      <formula>LEFT(CH250,LEN("Lancement Projet fil rouge"))="Lancement Projet fil rouge"</formula>
    </cfRule>
    <cfRule type="beginsWith" dxfId="11198" priority="28433" operator="beginsWith" text="Vacances">
      <formula>LEFT(CH250,LEN("Vacances"))="Vacances"</formula>
    </cfRule>
    <cfRule type="beginsWith" dxfId="11197" priority="28434" operator="beginsWith" text="Séminaire d'intégration">
      <formula>LEFT(CH250,LEN("Séminaire d'intégration"))="Séminaire d'intégration"</formula>
    </cfRule>
    <cfRule type="beginsWith" dxfId="11196" priority="28435" operator="beginsWith" text="Accueil">
      <formula>LEFT(CH250,LEN("Accueil"))="Accueil"</formula>
    </cfRule>
    <cfRule type="beginsWith" dxfId="11195" priority="28436" operator="beginsWith" text="Stage">
      <formula>LEFT(CH250,LEN("Stage"))="Stage"</formula>
    </cfRule>
    <cfRule type="beginsWith" dxfId="11194" priority="28437" operator="beginsWith" text="Entreprise">
      <formula>LEFT(CH250,LEN("Entreprise"))="Entreprise"</formula>
    </cfRule>
    <cfRule type="beginsWith" dxfId="11193" priority="28438" operator="beginsWith" text="Voltaire">
      <formula>LEFT(CH250,LEN("Voltaire"))="Voltaire"</formula>
    </cfRule>
  </conditionalFormatting>
  <conditionalFormatting sqref="CI6:CI10">
    <cfRule type="beginsWith" dxfId="11192" priority="18040" operator="beginsWith" text="Lancement Projet fil rouge">
      <formula>LEFT(CI6,LEN("Lancement Projet fil rouge"))="Lancement Projet fil rouge"</formula>
    </cfRule>
    <cfRule type="beginsWith" dxfId="11191" priority="18041" operator="beginsWith" text="Vacances">
      <formula>LEFT(CI6,LEN("Vacances"))="Vacances"</formula>
    </cfRule>
    <cfRule type="beginsWith" dxfId="11190" priority="18042" operator="beginsWith" text="Séminaire d'intégration">
      <formula>LEFT(CI6,LEN("Séminaire d'intégration"))="Séminaire d'intégration"</formula>
    </cfRule>
    <cfRule type="beginsWith" dxfId="11189" priority="18043" operator="beginsWith" text="Accueil">
      <formula>LEFT(CI6,LEN("Accueil"))="Accueil"</formula>
    </cfRule>
    <cfRule type="beginsWith" dxfId="11188" priority="18044" operator="beginsWith" text="Stage">
      <formula>LEFT(CI6,LEN("Stage"))="Stage"</formula>
    </cfRule>
    <cfRule type="beginsWith" dxfId="11187" priority="18045" operator="beginsWith" text="Entreprise">
      <formula>LEFT(CI6,LEN("Entreprise"))="Entreprise"</formula>
    </cfRule>
    <cfRule type="beginsWith" dxfId="11186" priority="18046" operator="beginsWith" text="Voltaire">
      <formula>LEFT(CI6,LEN("Voltaire"))="Voltaire"</formula>
    </cfRule>
  </conditionalFormatting>
  <conditionalFormatting sqref="CI56">
    <cfRule type="beginsWith" dxfId="11185" priority="15728" operator="beginsWith" text="Lancement Projet fil rouge">
      <formula>LEFT(CI56,LEN("Lancement Projet fil rouge"))="Lancement Projet fil rouge"</formula>
    </cfRule>
    <cfRule type="beginsWith" dxfId="11184" priority="15729" operator="beginsWith" text="Vacances">
      <formula>LEFT(CI56,LEN("Vacances"))="Vacances"</formula>
    </cfRule>
    <cfRule type="beginsWith" dxfId="11183" priority="15730" operator="beginsWith" text="Séminaire d'intégration">
      <formula>LEFT(CI56,LEN("Séminaire d'intégration"))="Séminaire d'intégration"</formula>
    </cfRule>
    <cfRule type="beginsWith" dxfId="11182" priority="15731" operator="beginsWith" text="Accueil">
      <formula>LEFT(CI56,LEN("Accueil"))="Accueil"</formula>
    </cfRule>
    <cfRule type="beginsWith" dxfId="11181" priority="15732" operator="beginsWith" text="Stage">
      <formula>LEFT(CI56,LEN("Stage"))="Stage"</formula>
    </cfRule>
    <cfRule type="beginsWith" dxfId="11180" priority="15733" operator="beginsWith" text="Entreprise">
      <formula>LEFT(CI56,LEN("Entreprise"))="Entreprise"</formula>
    </cfRule>
    <cfRule type="beginsWith" dxfId="11179" priority="15734" operator="beginsWith" text="Voltaire">
      <formula>LEFT(CI56,LEN("Voltaire"))="Voltaire"</formula>
    </cfRule>
  </conditionalFormatting>
  <conditionalFormatting sqref="CI71">
    <cfRule type="beginsWith" dxfId="11178" priority="15735" operator="beginsWith" text="Séminaire d'intégration">
      <formula>LEFT(CI71,LEN("Séminaire d'intégration"))="Séminaire d'intégration"</formula>
    </cfRule>
    <cfRule type="beginsWith" dxfId="11177" priority="15736" operator="beginsWith" text="Accueil">
      <formula>LEFT(CI71,LEN("Accueil"))="Accueil"</formula>
    </cfRule>
    <cfRule type="beginsWith" dxfId="11176" priority="15737" operator="beginsWith" text="Stage">
      <formula>LEFT(CI71,LEN("Stage"))="Stage"</formula>
    </cfRule>
    <cfRule type="beginsWith" dxfId="11175" priority="15738" operator="beginsWith" text="Entreprise">
      <formula>LEFT(CI71,LEN("Entreprise"))="Entreprise"</formula>
    </cfRule>
    <cfRule type="beginsWith" dxfId="11174" priority="15739" operator="beginsWith" text="Voltaire">
      <formula>LEFT(CI71,LEN("Voltaire"))="Voltaire"</formula>
    </cfRule>
    <cfRule type="beginsWith" dxfId="11173" priority="15740" operator="beginsWith" text="Lancement Projet fil rouge">
      <formula>LEFT(CI71,LEN("Lancement Projet fil rouge"))="Lancement Projet fil rouge"</formula>
    </cfRule>
    <cfRule type="beginsWith" dxfId="11172" priority="15741" operator="beginsWith" text="Vacances">
      <formula>LEFT(CI71,LEN("Vacances"))="Vacances"</formula>
    </cfRule>
    <cfRule type="beginsWith" dxfId="11171" priority="15742" operator="beginsWith" text="Séminaire d'intégration">
      <formula>LEFT(CI71,LEN("Séminaire d'intégration"))="Séminaire d'intégration"</formula>
    </cfRule>
    <cfRule type="beginsWith" dxfId="11170" priority="15743" operator="beginsWith" text="Accueil">
      <formula>LEFT(CI71,LEN("Accueil"))="Accueil"</formula>
    </cfRule>
    <cfRule type="beginsWith" dxfId="11169" priority="15744" operator="beginsWith" text="Stage">
      <formula>LEFT(CI71,LEN("Stage"))="Stage"</formula>
    </cfRule>
    <cfRule type="beginsWith" dxfId="11168" priority="15745" operator="beginsWith" text="Entreprise">
      <formula>LEFT(CI71,LEN("Entreprise"))="Entreprise"</formula>
    </cfRule>
    <cfRule type="beginsWith" dxfId="11167" priority="15746" operator="beginsWith" text="Voltaire">
      <formula>LEFT(CI71,LEN("Voltaire"))="Voltaire"</formula>
    </cfRule>
  </conditionalFormatting>
  <conditionalFormatting sqref="CI121">
    <cfRule type="beginsWith" dxfId="11166" priority="24305" operator="beginsWith" text="Lancement Projet fil rouge">
      <formula>LEFT(CI121,LEN("Lancement Projet fil rouge"))="Lancement Projet fil rouge"</formula>
    </cfRule>
    <cfRule type="beginsWith" dxfId="11165" priority="24306" operator="beginsWith" text="Vacances">
      <formula>LEFT(CI121,LEN("Vacances"))="Vacances"</formula>
    </cfRule>
    <cfRule type="beginsWith" dxfId="11164" priority="24307" operator="beginsWith" text="Séminaire d'intégration">
      <formula>LEFT(CI121,LEN("Séminaire d'intégration"))="Séminaire d'intégration"</formula>
    </cfRule>
    <cfRule type="beginsWith" dxfId="11163" priority="24308" operator="beginsWith" text="Accueil">
      <formula>LEFT(CI121,LEN("Accueil"))="Accueil"</formula>
    </cfRule>
    <cfRule type="beginsWith" dxfId="11162" priority="24309" operator="beginsWith" text="Stage">
      <formula>LEFT(CI121,LEN("Stage"))="Stage"</formula>
    </cfRule>
    <cfRule type="beginsWith" dxfId="11161" priority="24310" operator="beginsWith" text="Entreprise">
      <formula>LEFT(CI121,LEN("Entreprise"))="Entreprise"</formula>
    </cfRule>
    <cfRule type="beginsWith" dxfId="11160" priority="24311" operator="beginsWith" text="Voltaire">
      <formula>LEFT(CI121,LEN("Voltaire"))="Voltaire"</formula>
    </cfRule>
  </conditionalFormatting>
  <conditionalFormatting sqref="CI146">
    <cfRule type="beginsWith" dxfId="11159" priority="24298" operator="beginsWith" text="Lancement Projet fil rouge">
      <formula>LEFT(CI146,LEN("Lancement Projet fil rouge"))="Lancement Projet fil rouge"</formula>
    </cfRule>
    <cfRule type="beginsWith" dxfId="11158" priority="24299" operator="beginsWith" text="Vacances">
      <formula>LEFT(CI146,LEN("Vacances"))="Vacances"</formula>
    </cfRule>
    <cfRule type="beginsWith" dxfId="11157" priority="24300" operator="beginsWith" text="Séminaire d'intégration">
      <formula>LEFT(CI146,LEN("Séminaire d'intégration"))="Séminaire d'intégration"</formula>
    </cfRule>
    <cfRule type="beginsWith" dxfId="11156" priority="24301" operator="beginsWith" text="Accueil">
      <formula>LEFT(CI146,LEN("Accueil"))="Accueil"</formula>
    </cfRule>
    <cfRule type="beginsWith" dxfId="11155" priority="24302" operator="beginsWith" text="Stage">
      <formula>LEFT(CI146,LEN("Stage"))="Stage"</formula>
    </cfRule>
    <cfRule type="beginsWith" dxfId="11154" priority="24303" operator="beginsWith" text="Entreprise">
      <formula>LEFT(CI146,LEN("Entreprise"))="Entreprise"</formula>
    </cfRule>
    <cfRule type="beginsWith" dxfId="11153" priority="24304" operator="beginsWith" text="Voltaire">
      <formula>LEFT(CI146,LEN("Voltaire"))="Voltaire"</formula>
    </cfRule>
  </conditionalFormatting>
  <conditionalFormatting sqref="CI186">
    <cfRule type="beginsWith" dxfId="11152" priority="19381" operator="beginsWith" text="Lancement Projet fil rouge">
      <formula>LEFT(CI186,LEN("Lancement Projet fil rouge"))="Lancement Projet fil rouge"</formula>
    </cfRule>
    <cfRule type="beginsWith" dxfId="11151" priority="19382" operator="beginsWith" text="Vacances">
      <formula>LEFT(CI186,LEN("Vacances"))="Vacances"</formula>
    </cfRule>
    <cfRule type="beginsWith" dxfId="11150" priority="19383" operator="beginsWith" text="Séminaire d'intégration">
      <formula>LEFT(CI186,LEN("Séminaire d'intégration"))="Séminaire d'intégration"</formula>
    </cfRule>
    <cfRule type="beginsWith" dxfId="11149" priority="19384" operator="beginsWith" text="Accueil">
      <formula>LEFT(CI186,LEN("Accueil"))="Accueil"</formula>
    </cfRule>
    <cfRule type="beginsWith" dxfId="11148" priority="19385" operator="beginsWith" text="Stage">
      <formula>LEFT(CI186,LEN("Stage"))="Stage"</formula>
    </cfRule>
    <cfRule type="beginsWith" dxfId="11147" priority="19386" operator="beginsWith" text="Entreprise">
      <formula>LEFT(CI186,LEN("Entreprise"))="Entreprise"</formula>
    </cfRule>
    <cfRule type="beginsWith" dxfId="11146" priority="19387" operator="beginsWith" text="Voltaire">
      <formula>LEFT(CI186,LEN("Voltaire"))="Voltaire"</formula>
    </cfRule>
  </conditionalFormatting>
  <conditionalFormatting sqref="CI230">
    <cfRule type="beginsWith" dxfId="11145" priority="21522" operator="beginsWith" text="Lancement Projet fil rouge">
      <formula>LEFT(CI230,LEN("Lancement Projet fil rouge"))="Lancement Projet fil rouge"</formula>
    </cfRule>
    <cfRule type="beginsWith" dxfId="11144" priority="21523" operator="beginsWith" text="Vacances">
      <formula>LEFT(CI230,LEN("Vacances"))="Vacances"</formula>
    </cfRule>
    <cfRule type="beginsWith" dxfId="11143" priority="21524" operator="beginsWith" text="Séminaire d'intégration">
      <formula>LEFT(CI230,LEN("Séminaire d'intégration"))="Séminaire d'intégration"</formula>
    </cfRule>
    <cfRule type="beginsWith" dxfId="11142" priority="21525" operator="beginsWith" text="Accueil">
      <formula>LEFT(CI230,LEN("Accueil"))="Accueil"</formula>
    </cfRule>
    <cfRule type="beginsWith" dxfId="11141" priority="21526" operator="beginsWith" text="Stage">
      <formula>LEFT(CI230,LEN("Stage"))="Stage"</formula>
    </cfRule>
    <cfRule type="beginsWith" dxfId="11140" priority="21527" operator="beginsWith" text="Entreprise">
      <formula>LEFT(CI230,LEN("Entreprise"))="Entreprise"</formula>
    </cfRule>
    <cfRule type="beginsWith" dxfId="11139" priority="21528" operator="beginsWith" text="Voltaire">
      <formula>LEFT(CI230,LEN("Voltaire"))="Voltaire"</formula>
    </cfRule>
  </conditionalFormatting>
  <conditionalFormatting sqref="CJ41:CJ45">
    <cfRule type="beginsWith" dxfId="11138" priority="15725" operator="beginsWith" text="TOPHYC">
      <formula>LEFT(CJ41,LEN("TOPHYC"))="TOPHYC"</formula>
    </cfRule>
    <cfRule type="beginsWith" dxfId="11137" priority="15726" operator="beginsWith" text="Global Exam">
      <formula>LEFT(CJ41,LEN("Global Exam"))="Global Exam"</formula>
    </cfRule>
    <cfRule type="beginsWith" dxfId="11136" priority="15727" operator="beginsWith" text="TOMIC">
      <formula>LEFT(CJ41,LEN("TOMIC"))="TOMIC"</formula>
    </cfRule>
  </conditionalFormatting>
  <conditionalFormatting sqref="CJ68:CJ70">
    <cfRule type="beginsWith" dxfId="11135" priority="15715" operator="beginsWith" text="Lancement Projet fil rouge">
      <formula>LEFT(CJ68,LEN("Lancement Projet fil rouge"))="Lancement Projet fil rouge"</formula>
    </cfRule>
    <cfRule type="beginsWith" dxfId="11134" priority="15716" operator="beginsWith" text="Vacances">
      <formula>LEFT(CJ68,LEN("Vacances"))="Vacances"</formula>
    </cfRule>
    <cfRule type="beginsWith" dxfId="11133" priority="15717" operator="beginsWith" text="Séminaire d'intégration">
      <formula>LEFT(CJ68,LEN("Séminaire d'intégration"))="Séminaire d'intégration"</formula>
    </cfRule>
    <cfRule type="beginsWith" dxfId="11132" priority="15718" operator="beginsWith" text="Accueil">
      <formula>LEFT(CJ68,LEN("Accueil"))="Accueil"</formula>
    </cfRule>
    <cfRule type="beginsWith" dxfId="11131" priority="15719" operator="beginsWith" text="TOPHYC">
      <formula>LEFT(CJ68,LEN("TOPHYC"))="TOPHYC"</formula>
    </cfRule>
    <cfRule type="beginsWith" dxfId="11130" priority="15720" operator="beginsWith" text="Global Exam">
      <formula>LEFT(CJ68,LEN("Global Exam"))="Global Exam"</formula>
    </cfRule>
    <cfRule type="beginsWith" dxfId="11129" priority="15721" operator="beginsWith" text="Stage">
      <formula>LEFT(CJ68,LEN("Stage"))="Stage"</formula>
    </cfRule>
    <cfRule type="beginsWith" dxfId="11128" priority="15722" operator="beginsWith" text="Entreprise">
      <formula>LEFT(CJ68,LEN("Entreprise"))="Entreprise"</formula>
    </cfRule>
    <cfRule type="beginsWith" dxfId="11127" priority="15723" operator="beginsWith" text="TOMIC">
      <formula>LEFT(CJ68,LEN("TOMIC"))="TOMIC"</formula>
    </cfRule>
    <cfRule type="beginsWith" dxfId="11126" priority="15724" operator="beginsWith" text="Voltaire">
      <formula>LEFT(CJ68,LEN("Voltaire"))="Voltaire"</formula>
    </cfRule>
  </conditionalFormatting>
  <conditionalFormatting sqref="CJ131:CJ135">
    <cfRule type="beginsWith" dxfId="11125" priority="15708" operator="beginsWith" text="Lancement Projet fil rouge">
      <formula>LEFT(CJ131,LEN("Lancement Projet fil rouge"))="Lancement Projet fil rouge"</formula>
    </cfRule>
    <cfRule type="beginsWith" dxfId="11124" priority="15709" operator="beginsWith" text="Vacances">
      <formula>LEFT(CJ131,LEN("Vacances"))="Vacances"</formula>
    </cfRule>
    <cfRule type="beginsWith" dxfId="11123" priority="15710" operator="beginsWith" text="Séminaire d'intégration">
      <formula>LEFT(CJ131,LEN("Séminaire d'intégration"))="Séminaire d'intégration"</formula>
    </cfRule>
    <cfRule type="beginsWith" dxfId="11122" priority="15711" operator="beginsWith" text="Accueil">
      <formula>LEFT(CJ131,LEN("Accueil"))="Accueil"</formula>
    </cfRule>
    <cfRule type="beginsWith" dxfId="11121" priority="15712" operator="beginsWith" text="Stage">
      <formula>LEFT(CJ131,LEN("Stage"))="Stage"</formula>
    </cfRule>
    <cfRule type="beginsWith" dxfId="11120" priority="15713" operator="beginsWith" text="Entreprise">
      <formula>LEFT(CJ131,LEN("Entreprise"))="Entreprise"</formula>
    </cfRule>
    <cfRule type="beginsWith" dxfId="11119" priority="15714" operator="beginsWith" text="Voltaire">
      <formula>LEFT(CJ131,LEN("Voltaire"))="Voltaire"</formula>
    </cfRule>
  </conditionalFormatting>
  <conditionalFormatting sqref="CJ136:CJ140">
    <cfRule type="beginsWith" dxfId="11118" priority="15701" operator="beginsWith" text="Lancement Projet fil rouge">
      <formula>LEFT(CJ136,LEN("Lancement Projet fil rouge"))="Lancement Projet fil rouge"</formula>
    </cfRule>
    <cfRule type="beginsWith" dxfId="11117" priority="15702" operator="beginsWith" text="Vacances">
      <formula>LEFT(CJ136,LEN("Vacances"))="Vacances"</formula>
    </cfRule>
    <cfRule type="beginsWith" dxfId="11116" priority="15703" operator="beginsWith" text="Séminaire d'intégration">
      <formula>LEFT(CJ136,LEN("Séminaire d'intégration"))="Séminaire d'intégration"</formula>
    </cfRule>
    <cfRule type="beginsWith" dxfId="11115" priority="15704" operator="beginsWith" text="Accueil">
      <formula>LEFT(CJ136,LEN("Accueil"))="Accueil"</formula>
    </cfRule>
    <cfRule type="beginsWith" dxfId="11114" priority="15705" operator="beginsWith" text="Stage">
      <formula>LEFT(CJ136,LEN("Stage"))="Stage"</formula>
    </cfRule>
    <cfRule type="beginsWith" dxfId="11113" priority="15706" operator="beginsWith" text="Entreprise">
      <formula>LEFT(CJ136,LEN("Entreprise"))="Entreprise"</formula>
    </cfRule>
    <cfRule type="beginsWith" dxfId="11112" priority="15707" operator="beginsWith" text="Voltaire">
      <formula>LEFT(CJ136,LEN("Voltaire"))="Voltaire"</formula>
    </cfRule>
  </conditionalFormatting>
  <conditionalFormatting sqref="CJ141">
    <cfRule type="beginsWith" dxfId="11111" priority="15694" operator="beginsWith" text="Lancement Projet fil rouge">
      <formula>LEFT(CJ141,LEN("Lancement Projet fil rouge"))="Lancement Projet fil rouge"</formula>
    </cfRule>
    <cfRule type="beginsWith" dxfId="11110" priority="15695" operator="beginsWith" text="Vacances">
      <formula>LEFT(CJ141,LEN("Vacances"))="Vacances"</formula>
    </cfRule>
    <cfRule type="beginsWith" dxfId="11109" priority="15696" operator="beginsWith" text="Séminaire d'intégration">
      <formula>LEFT(CJ141,LEN("Séminaire d'intégration"))="Séminaire d'intégration"</formula>
    </cfRule>
    <cfRule type="beginsWith" dxfId="11108" priority="15697" operator="beginsWith" text="Accueil">
      <formula>LEFT(CJ141,LEN("Accueil"))="Accueil"</formula>
    </cfRule>
    <cfRule type="beginsWith" dxfId="11107" priority="15698" operator="beginsWith" text="Stage">
      <formula>LEFT(CJ141,LEN("Stage"))="Stage"</formula>
    </cfRule>
    <cfRule type="beginsWith" dxfId="11106" priority="15699" operator="beginsWith" text="Entreprise">
      <formula>LEFT(CJ141,LEN("Entreprise"))="Entreprise"</formula>
    </cfRule>
    <cfRule type="beginsWith" dxfId="11105" priority="15700" operator="beginsWith" text="Voltaire">
      <formula>LEFT(CJ141,LEN("Voltaire"))="Voltaire"</formula>
    </cfRule>
  </conditionalFormatting>
  <conditionalFormatting sqref="CJ181">
    <cfRule type="beginsWith" dxfId="11104" priority="19734" operator="beginsWith" text="Lancement Projet fil rouge">
      <formula>LEFT(CJ181,LEN("Lancement Projet fil rouge"))="Lancement Projet fil rouge"</formula>
    </cfRule>
    <cfRule type="beginsWith" dxfId="11103" priority="19735" operator="beginsWith" text="Vacances">
      <formula>LEFT(CJ181,LEN("Vacances"))="Vacances"</formula>
    </cfRule>
    <cfRule type="beginsWith" dxfId="11102" priority="19736" operator="beginsWith" text="Séminaire d'intégration">
      <formula>LEFT(CJ181,LEN("Séminaire d'intégration"))="Séminaire d'intégration"</formula>
    </cfRule>
    <cfRule type="beginsWith" dxfId="11101" priority="19737" operator="beginsWith" text="Accueil">
      <formula>LEFT(CJ181,LEN("Accueil"))="Accueil"</formula>
    </cfRule>
    <cfRule type="beginsWith" dxfId="11100" priority="19738" operator="beginsWith" text="Stage">
      <formula>LEFT(CJ181,LEN("Stage"))="Stage"</formula>
    </cfRule>
    <cfRule type="beginsWith" dxfId="11099" priority="19739" operator="beginsWith" text="Entreprise">
      <formula>LEFT(CJ181,LEN("Entreprise"))="Entreprise"</formula>
    </cfRule>
    <cfRule type="beginsWith" dxfId="11098" priority="19740" operator="beginsWith" text="Voltaire">
      <formula>LEFT(CJ181,LEN("Voltaire"))="Voltaire"</formula>
    </cfRule>
  </conditionalFormatting>
  <conditionalFormatting sqref="CJ206">
    <cfRule type="beginsWith" dxfId="11097" priority="24281" operator="beginsWith" text="Lancement Projet fil rouge">
      <formula>LEFT(CJ206,LEN("Lancement Projet fil rouge"))="Lancement Projet fil rouge"</formula>
    </cfRule>
    <cfRule type="beginsWith" dxfId="11096" priority="24282" operator="beginsWith" text="Vacances">
      <formula>LEFT(CJ206,LEN("Vacances"))="Vacances"</formula>
    </cfRule>
    <cfRule type="beginsWith" dxfId="11095" priority="24283" operator="beginsWith" text="Séminaire d'intégration">
      <formula>LEFT(CJ206,LEN("Séminaire d'intégration"))="Séminaire d'intégration"</formula>
    </cfRule>
    <cfRule type="beginsWith" dxfId="11094" priority="24284" operator="beginsWith" text="Accueil">
      <formula>LEFT(CJ206,LEN("Accueil"))="Accueil"</formula>
    </cfRule>
    <cfRule type="beginsWith" dxfId="11093" priority="24285" operator="beginsWith" text="TOPHYC">
      <formula>LEFT(CJ206,LEN("TOPHYC"))="TOPHYC"</formula>
    </cfRule>
    <cfRule type="beginsWith" dxfId="11092" priority="24286" operator="beginsWith" text="Global Exam">
      <formula>LEFT(CJ206,LEN("Global Exam"))="Global Exam"</formula>
    </cfRule>
    <cfRule type="beginsWith" dxfId="11091" priority="24287" operator="beginsWith" text="Stage">
      <formula>LEFT(CJ206,LEN("Stage"))="Stage"</formula>
    </cfRule>
    <cfRule type="beginsWith" dxfId="11090" priority="24288" operator="beginsWith" text="Entreprise">
      <formula>LEFT(CJ206,LEN("Entreprise"))="Entreprise"</formula>
    </cfRule>
    <cfRule type="beginsWith" dxfId="11089" priority="24289" operator="beginsWith" text="TOMIC">
      <formula>LEFT(CJ206,LEN("TOMIC"))="TOMIC"</formula>
    </cfRule>
    <cfRule type="beginsWith" dxfId="11088" priority="24290" operator="beginsWith" text="Voltaire">
      <formula>LEFT(CJ206,LEN("Voltaire"))="Voltaire"</formula>
    </cfRule>
  </conditionalFormatting>
  <conditionalFormatting sqref="CJ207:CJ210">
    <cfRule type="beginsWith" dxfId="11087" priority="15684" operator="beginsWith" text="Lancement Projet fil rouge">
      <formula>LEFT(CJ207,LEN("Lancement Projet fil rouge"))="Lancement Projet fil rouge"</formula>
    </cfRule>
    <cfRule type="beginsWith" dxfId="11086" priority="15685" operator="beginsWith" text="Vacances">
      <formula>LEFT(CJ207,LEN("Vacances"))="Vacances"</formula>
    </cfRule>
    <cfRule type="beginsWith" dxfId="11085" priority="15686" operator="beginsWith" text="Séminaire d'intégration">
      <formula>LEFT(CJ207,LEN("Séminaire d'intégration"))="Séminaire d'intégration"</formula>
    </cfRule>
    <cfRule type="beginsWith" dxfId="11084" priority="15687" operator="beginsWith" text="Accueil">
      <formula>LEFT(CJ207,LEN("Accueil"))="Accueil"</formula>
    </cfRule>
    <cfRule type="beginsWith" dxfId="11083" priority="15688" operator="beginsWith" text="TOPHYC">
      <formula>LEFT(CJ207,LEN("TOPHYC"))="TOPHYC"</formula>
    </cfRule>
    <cfRule type="beginsWith" dxfId="11082" priority="15689" operator="beginsWith" text="Global Exam">
      <formula>LEFT(CJ207,LEN("Global Exam"))="Global Exam"</formula>
    </cfRule>
    <cfRule type="beginsWith" dxfId="11081" priority="15690" operator="beginsWith" text="Stage">
      <formula>LEFT(CJ207,LEN("Stage"))="Stage"</formula>
    </cfRule>
    <cfRule type="beginsWith" dxfId="11080" priority="15691" operator="beginsWith" text="Entreprise">
      <formula>LEFT(CJ207,LEN("Entreprise"))="Entreprise"</formula>
    </cfRule>
    <cfRule type="beginsWith" dxfId="11079" priority="15692" operator="beginsWith" text="TOMIC">
      <formula>LEFT(CJ207,LEN("TOMIC"))="TOMIC"</formula>
    </cfRule>
    <cfRule type="beginsWith" dxfId="11078" priority="15693" operator="beginsWith" text="Voltaire">
      <formula>LEFT(CJ207,LEN("Voltaire"))="Voltaire"</formula>
    </cfRule>
  </conditionalFormatting>
  <conditionalFormatting sqref="CJ211">
    <cfRule type="beginsWith" dxfId="11077" priority="19367" operator="beginsWith" text="Lancement Projet fil rouge">
      <formula>LEFT(CJ211,LEN("Lancement Projet fil rouge"))="Lancement Projet fil rouge"</formula>
    </cfRule>
    <cfRule type="beginsWith" dxfId="11076" priority="19368" operator="beginsWith" text="Vacances">
      <formula>LEFT(CJ211,LEN("Vacances"))="Vacances"</formula>
    </cfRule>
    <cfRule type="beginsWith" dxfId="11075" priority="19369" operator="beginsWith" text="Séminaire d'intégration">
      <formula>LEFT(CJ211,LEN("Séminaire d'intégration"))="Séminaire d'intégration"</formula>
    </cfRule>
    <cfRule type="beginsWith" dxfId="11074" priority="19370" operator="beginsWith" text="Accueil">
      <formula>LEFT(CJ211,LEN("Accueil"))="Accueil"</formula>
    </cfRule>
    <cfRule type="beginsWith" dxfId="11073" priority="19371" operator="beginsWith" text="Stage">
      <formula>LEFT(CJ211,LEN("Stage"))="Stage"</formula>
    </cfRule>
    <cfRule type="beginsWith" dxfId="11072" priority="19372" operator="beginsWith" text="Entreprise">
      <formula>LEFT(CJ211,LEN("Entreprise"))="Entreprise"</formula>
    </cfRule>
    <cfRule type="beginsWith" dxfId="11071" priority="19373" operator="beginsWith" text="Voltaire">
      <formula>LEFT(CJ211,LEN("Voltaire"))="Voltaire"</formula>
    </cfRule>
  </conditionalFormatting>
  <conditionalFormatting sqref="CK71">
    <cfRule type="beginsWith" dxfId="11070" priority="9884" operator="beginsWith" text="Lancement Projet fil rouge">
      <formula>LEFT(CK71,LEN("Lancement Projet fil rouge"))="Lancement Projet fil rouge"</formula>
    </cfRule>
    <cfRule type="beginsWith" dxfId="11069" priority="9885" operator="beginsWith" text="Vacances">
      <formula>LEFT(CK71,LEN("Vacances"))="Vacances"</formula>
    </cfRule>
    <cfRule type="beginsWith" dxfId="11068" priority="9886" operator="beginsWith" text="Séminaire d'intégration">
      <formula>LEFT(CK71,LEN("Séminaire d'intégration"))="Séminaire d'intégration"</formula>
    </cfRule>
    <cfRule type="beginsWith" dxfId="11067" priority="9887" operator="beginsWith" text="Accueil">
      <formula>LEFT(CK71,LEN("Accueil"))="Accueil"</formula>
    </cfRule>
    <cfRule type="beginsWith" dxfId="11066" priority="9888" operator="beginsWith" text="TOPHYC">
      <formula>LEFT(CK71,LEN("TOPHYC"))="TOPHYC"</formula>
    </cfRule>
    <cfRule type="beginsWith" dxfId="11065" priority="9889" operator="beginsWith" text="Global Exam">
      <formula>LEFT(CK71,LEN("Global Exam"))="Global Exam"</formula>
    </cfRule>
    <cfRule type="beginsWith" dxfId="11064" priority="9890" operator="beginsWith" text="Stage">
      <formula>LEFT(CK71,LEN("Stage"))="Stage"</formula>
    </cfRule>
    <cfRule type="beginsWith" dxfId="11063" priority="9891" operator="beginsWith" text="Entreprise">
      <formula>LEFT(CK71,LEN("Entreprise"))="Entreprise"</formula>
    </cfRule>
    <cfRule type="beginsWith" dxfId="11062" priority="9892" operator="beginsWith" text="TOMIC">
      <formula>LEFT(CK71,LEN("TOMIC"))="TOMIC"</formula>
    </cfRule>
    <cfRule type="beginsWith" dxfId="11061" priority="9893" operator="beginsWith" text="Voltaire">
      <formula>LEFT(CK71,LEN("Voltaire"))="Voltaire"</formula>
    </cfRule>
  </conditionalFormatting>
  <conditionalFormatting sqref="CK84">
    <cfRule type="beginsWith" dxfId="11060" priority="9874" operator="beginsWith" text="Lancement Projet fil rouge">
      <formula>LEFT(CK84,LEN("Lancement Projet fil rouge"))="Lancement Projet fil rouge"</formula>
    </cfRule>
    <cfRule type="beginsWith" dxfId="11059" priority="9875" operator="beginsWith" text="Vacances">
      <formula>LEFT(CK84,LEN("Vacances"))="Vacances"</formula>
    </cfRule>
    <cfRule type="beginsWith" dxfId="11058" priority="9876" operator="beginsWith" text="Séminaire d'intégration">
      <formula>LEFT(CK84,LEN("Séminaire d'intégration"))="Séminaire d'intégration"</formula>
    </cfRule>
    <cfRule type="beginsWith" dxfId="11057" priority="9877" operator="beginsWith" text="Accueil">
      <formula>LEFT(CK84,LEN("Accueil"))="Accueil"</formula>
    </cfRule>
    <cfRule type="beginsWith" dxfId="11056" priority="9878" operator="beginsWith" text="TOPHYC">
      <formula>LEFT(CK84,LEN("TOPHYC"))="TOPHYC"</formula>
    </cfRule>
    <cfRule type="beginsWith" dxfId="11055" priority="9879" operator="beginsWith" text="Global Exam">
      <formula>LEFT(CK84,LEN("Global Exam"))="Global Exam"</formula>
    </cfRule>
    <cfRule type="beginsWith" dxfId="11054" priority="9880" operator="beginsWith" text="Stage">
      <formula>LEFT(CK84,LEN("Stage"))="Stage"</formula>
    </cfRule>
    <cfRule type="beginsWith" dxfId="11053" priority="9881" operator="beginsWith" text="Entreprise">
      <formula>LEFT(CK84,LEN("Entreprise"))="Entreprise"</formula>
    </cfRule>
    <cfRule type="beginsWith" dxfId="11052" priority="9882" operator="beginsWith" text="TOMIC">
      <formula>LEFT(CK84,LEN("TOMIC"))="TOMIC"</formula>
    </cfRule>
    <cfRule type="beginsWith" dxfId="11051" priority="9883" operator="beginsWith" text="Voltaire">
      <formula>LEFT(CK84,LEN("Voltaire"))="Voltaire"</formula>
    </cfRule>
  </conditionalFormatting>
  <conditionalFormatting sqref="CK89">
    <cfRule type="beginsWith" dxfId="11050" priority="9864" operator="beginsWith" text="Lancement Projet fil rouge">
      <formula>LEFT(CK89,LEN("Lancement Projet fil rouge"))="Lancement Projet fil rouge"</formula>
    </cfRule>
    <cfRule type="beginsWith" dxfId="11049" priority="9865" operator="beginsWith" text="Vacances">
      <formula>LEFT(CK89,LEN("Vacances"))="Vacances"</formula>
    </cfRule>
    <cfRule type="beginsWith" dxfId="11048" priority="9866" operator="beginsWith" text="Séminaire d'intégration">
      <formula>LEFT(CK89,LEN("Séminaire d'intégration"))="Séminaire d'intégration"</formula>
    </cfRule>
    <cfRule type="beginsWith" dxfId="11047" priority="9867" operator="beginsWith" text="Accueil">
      <formula>LEFT(CK89,LEN("Accueil"))="Accueil"</formula>
    </cfRule>
    <cfRule type="beginsWith" dxfId="11046" priority="9868" operator="beginsWith" text="TOPHYC">
      <formula>LEFT(CK89,LEN("TOPHYC"))="TOPHYC"</formula>
    </cfRule>
    <cfRule type="beginsWith" dxfId="11045" priority="9869" operator="beginsWith" text="Global Exam">
      <formula>LEFT(CK89,LEN("Global Exam"))="Global Exam"</formula>
    </cfRule>
    <cfRule type="beginsWith" dxfId="11044" priority="9870" operator="beginsWith" text="Stage">
      <formula>LEFT(CK89,LEN("Stage"))="Stage"</formula>
    </cfRule>
    <cfRule type="beginsWith" dxfId="11043" priority="9871" operator="beginsWith" text="Entreprise">
      <formula>LEFT(CK89,LEN("Entreprise"))="Entreprise"</formula>
    </cfRule>
    <cfRule type="beginsWith" dxfId="11042" priority="9872" operator="beginsWith" text="TOMIC">
      <formula>LEFT(CK89,LEN("TOMIC"))="TOMIC"</formula>
    </cfRule>
    <cfRule type="beginsWith" dxfId="11041" priority="9873" operator="beginsWith" text="Voltaire">
      <formula>LEFT(CK89,LEN("Voltaire"))="Voltaire"</formula>
    </cfRule>
  </conditionalFormatting>
  <conditionalFormatting sqref="CK91">
    <cfRule type="beginsWith" dxfId="11040" priority="14758" operator="beginsWith" text="Lancement Projet fil rouge">
      <formula>LEFT(CK91,LEN("Lancement Projet fil rouge"))="Lancement Projet fil rouge"</formula>
    </cfRule>
    <cfRule type="beginsWith" dxfId="11039" priority="14759" operator="beginsWith" text="Vacances">
      <formula>LEFT(CK91,LEN("Vacances"))="Vacances"</formula>
    </cfRule>
    <cfRule type="beginsWith" dxfId="11038" priority="14760" operator="beginsWith" text="Séminaire d'intégration">
      <formula>LEFT(CK91,LEN("Séminaire d'intégration"))="Séminaire d'intégration"</formula>
    </cfRule>
    <cfRule type="beginsWith" dxfId="11037" priority="14761" operator="beginsWith" text="Accueil">
      <formula>LEFT(CK91,LEN("Accueil"))="Accueil"</formula>
    </cfRule>
    <cfRule type="beginsWith" dxfId="11036" priority="14762" operator="beginsWith" text="TOPHYC">
      <formula>LEFT(CK91,LEN("TOPHYC"))="TOPHYC"</formula>
    </cfRule>
    <cfRule type="beginsWith" dxfId="11035" priority="14763" operator="beginsWith" text="Global Exam">
      <formula>LEFT(CK91,LEN("Global Exam"))="Global Exam"</formula>
    </cfRule>
    <cfRule type="beginsWith" dxfId="11034" priority="14764" operator="beginsWith" text="Stage">
      <formula>LEFT(CK91,LEN("Stage"))="Stage"</formula>
    </cfRule>
    <cfRule type="beginsWith" dxfId="11033" priority="14765" operator="beginsWith" text="Entreprise">
      <formula>LEFT(CK91,LEN("Entreprise"))="Entreprise"</formula>
    </cfRule>
    <cfRule type="beginsWith" dxfId="11032" priority="14766" operator="beginsWith" text="TOMIC">
      <formula>LEFT(CK91,LEN("TOMIC"))="TOMIC"</formula>
    </cfRule>
    <cfRule type="beginsWith" dxfId="11031" priority="14767" operator="beginsWith" text="Voltaire">
      <formula>LEFT(CK91,LEN("Voltaire"))="Voltaire"</formula>
    </cfRule>
  </conditionalFormatting>
  <conditionalFormatting sqref="CK94">
    <cfRule type="beginsWith" dxfId="11030" priority="19398" operator="beginsWith" text="Lancement Projet fil rouge">
      <formula>LEFT(CK94,LEN("Lancement Projet fil rouge"))="Lancement Projet fil rouge"</formula>
    </cfRule>
    <cfRule type="beginsWith" dxfId="11029" priority="19399" operator="beginsWith" text="Vacances">
      <formula>LEFT(CK94,LEN("Vacances"))="Vacances"</formula>
    </cfRule>
    <cfRule type="beginsWith" dxfId="11028" priority="19400" operator="beginsWith" text="Séminaire d'intégration">
      <formula>LEFT(CK94,LEN("Séminaire d'intégration"))="Séminaire d'intégration"</formula>
    </cfRule>
    <cfRule type="beginsWith" dxfId="11027" priority="19401" operator="beginsWith" text="Accueil">
      <formula>LEFT(CK94,LEN("Accueil"))="Accueil"</formula>
    </cfRule>
    <cfRule type="beginsWith" dxfId="11026" priority="19402" operator="beginsWith" text="TOPHYC">
      <formula>LEFT(CK94,LEN("TOPHYC"))="TOPHYC"</formula>
    </cfRule>
    <cfRule type="beginsWith" dxfId="11025" priority="19403" operator="beginsWith" text="Global Exam">
      <formula>LEFT(CK94,LEN("Global Exam"))="Global Exam"</formula>
    </cfRule>
    <cfRule type="beginsWith" dxfId="11024" priority="19404" operator="beginsWith" text="Stage">
      <formula>LEFT(CK94,LEN("Stage"))="Stage"</formula>
    </cfRule>
    <cfRule type="beginsWith" dxfId="11023" priority="19405" operator="beginsWith" text="Entreprise">
      <formula>LEFT(CK94,LEN("Entreprise"))="Entreprise"</formula>
    </cfRule>
    <cfRule type="beginsWith" dxfId="11022" priority="19406" operator="beginsWith" text="TOMIC">
      <formula>LEFT(CK94,LEN("TOMIC"))="TOMIC"</formula>
    </cfRule>
    <cfRule type="beginsWith" dxfId="11021" priority="19407" operator="beginsWith" text="Voltaire">
      <formula>LEFT(CK94,LEN("Voltaire"))="Voltaire"</formula>
    </cfRule>
  </conditionalFormatting>
  <conditionalFormatting sqref="CK95">
    <cfRule type="beginsWith" dxfId="11020" priority="19408" operator="beginsWith" text="Lancement Projet fil rouge">
      <formula>LEFT(CK95,LEN("Lancement Projet fil rouge"))="Lancement Projet fil rouge"</formula>
    </cfRule>
    <cfRule type="beginsWith" dxfId="11019" priority="19409" operator="beginsWith" text="Vacances">
      <formula>LEFT(CK95,LEN("Vacances"))="Vacances"</formula>
    </cfRule>
    <cfRule type="beginsWith" dxfId="11018" priority="19410" operator="beginsWith" text="Séminaire d'intégration">
      <formula>LEFT(CK95,LEN("Séminaire d'intégration"))="Séminaire d'intégration"</formula>
    </cfRule>
    <cfRule type="beginsWith" dxfId="11017" priority="19411" operator="beginsWith" text="Accueil">
      <formula>LEFT(CK95,LEN("Accueil"))="Accueil"</formula>
    </cfRule>
    <cfRule type="beginsWith" dxfId="11016" priority="19412" operator="beginsWith" text="TOPHYC">
      <formula>LEFT(CK95,LEN("TOPHYC"))="TOPHYC"</formula>
    </cfRule>
    <cfRule type="beginsWith" dxfId="11015" priority="19413" operator="beginsWith" text="Global Exam">
      <formula>LEFT(CK95,LEN("Global Exam"))="Global Exam"</formula>
    </cfRule>
    <cfRule type="beginsWith" dxfId="11014" priority="19414" operator="beginsWith" text="Stage">
      <formula>LEFT(CK95,LEN("Stage"))="Stage"</formula>
    </cfRule>
    <cfRule type="beginsWith" dxfId="11013" priority="19415" operator="beginsWith" text="Entreprise">
      <formula>LEFT(CK95,LEN("Entreprise"))="Entreprise"</formula>
    </cfRule>
    <cfRule type="beginsWith" dxfId="11012" priority="19416" operator="beginsWith" text="TOMIC">
      <formula>LEFT(CK95,LEN("TOMIC"))="TOMIC"</formula>
    </cfRule>
    <cfRule type="beginsWith" dxfId="11011" priority="19417" operator="beginsWith" text="Voltaire">
      <formula>LEFT(CK95,LEN("Voltaire"))="Voltaire"</formula>
    </cfRule>
  </conditionalFormatting>
  <conditionalFormatting sqref="CK139">
    <cfRule type="beginsWith" dxfId="11010" priority="9854" operator="beginsWith" text="Lancement Projet fil rouge">
      <formula>LEFT(CK139,LEN("Lancement Projet fil rouge"))="Lancement Projet fil rouge"</formula>
    </cfRule>
    <cfRule type="beginsWith" dxfId="11009" priority="9855" operator="beginsWith" text="Vacances">
      <formula>LEFT(CK139,LEN("Vacances"))="Vacances"</formula>
    </cfRule>
    <cfRule type="beginsWith" dxfId="11008" priority="9856" operator="beginsWith" text="Séminaire d'intégration">
      <formula>LEFT(CK139,LEN("Séminaire d'intégration"))="Séminaire d'intégration"</formula>
    </cfRule>
    <cfRule type="beginsWith" dxfId="11007" priority="9857" operator="beginsWith" text="Accueil">
      <formula>LEFT(CK139,LEN("Accueil"))="Accueil"</formula>
    </cfRule>
    <cfRule type="beginsWith" dxfId="11006" priority="9858" operator="beginsWith" text="TOPHYC">
      <formula>LEFT(CK139,LEN("TOPHYC"))="TOPHYC"</formula>
    </cfRule>
    <cfRule type="beginsWith" dxfId="11005" priority="9859" operator="beginsWith" text="Global Exam">
      <formula>LEFT(CK139,LEN("Global Exam"))="Global Exam"</formula>
    </cfRule>
    <cfRule type="beginsWith" dxfId="11004" priority="9860" operator="beginsWith" text="Stage">
      <formula>LEFT(CK139,LEN("Stage"))="Stage"</formula>
    </cfRule>
    <cfRule type="beginsWith" dxfId="11003" priority="9861" operator="beginsWith" text="Entreprise">
      <formula>LEFT(CK139,LEN("Entreprise"))="Entreprise"</formula>
    </cfRule>
    <cfRule type="beginsWith" dxfId="11002" priority="9862" operator="beginsWith" text="TOMIC">
      <formula>LEFT(CK139,LEN("TOMIC"))="TOMIC"</formula>
    </cfRule>
    <cfRule type="beginsWith" dxfId="11001" priority="9863" operator="beginsWith" text="Voltaire">
      <formula>LEFT(CK139,LEN("Voltaire"))="Voltaire"</formula>
    </cfRule>
  </conditionalFormatting>
  <conditionalFormatting sqref="CK92:CL93 CL94:CL95 CL91">
    <cfRule type="beginsWith" dxfId="11000" priority="21264" operator="beginsWith" text="TOPHYC">
      <formula>LEFT(CK91,LEN("TOPHYC"))="TOPHYC"</formula>
    </cfRule>
    <cfRule type="beginsWith" dxfId="10999" priority="21265" operator="beginsWith" text="Global Exam">
      <formula>LEFT(CK91,LEN("Global Exam"))="Global Exam"</formula>
    </cfRule>
    <cfRule type="beginsWith" dxfId="10998" priority="21268" operator="beginsWith" text="TOMIC">
      <formula>LEFT(CK91,LEN("TOMIC"))="TOMIC"</formula>
    </cfRule>
  </conditionalFormatting>
  <conditionalFormatting sqref="CL41:CL45">
    <cfRule type="beginsWith" dxfId="10997" priority="9904" operator="beginsWith" text="Lancement Projet fil rouge">
      <formula>LEFT(CL41,LEN("Lancement Projet fil rouge"))="Lancement Projet fil rouge"</formula>
    </cfRule>
    <cfRule type="beginsWith" dxfId="10996" priority="9905" operator="beginsWith" text="Vacances">
      <formula>LEFT(CL41,LEN("Vacances"))="Vacances"</formula>
    </cfRule>
    <cfRule type="beginsWith" dxfId="10995" priority="9906" operator="beginsWith" text="Séminaire d'intégration">
      <formula>LEFT(CL41,LEN("Séminaire d'intégration"))="Séminaire d'intégration"</formula>
    </cfRule>
    <cfRule type="beginsWith" dxfId="10994" priority="9907" operator="beginsWith" text="Accueil">
      <formula>LEFT(CL41,LEN("Accueil"))="Accueil"</formula>
    </cfRule>
    <cfRule type="beginsWith" dxfId="10993" priority="9908" operator="beginsWith" text="TOPHYC">
      <formula>LEFT(CL41,LEN("TOPHYC"))="TOPHYC"</formula>
    </cfRule>
    <cfRule type="beginsWith" dxfId="10992" priority="9909" operator="beginsWith" text="Global Exam">
      <formula>LEFT(CL41,LEN("Global Exam"))="Global Exam"</formula>
    </cfRule>
    <cfRule type="beginsWith" dxfId="10991" priority="9910" operator="beginsWith" text="Stage">
      <formula>LEFT(CL41,LEN("Stage"))="Stage"</formula>
    </cfRule>
    <cfRule type="beginsWith" dxfId="10990" priority="9911" operator="beginsWith" text="Entreprise">
      <formula>LEFT(CL41,LEN("Entreprise"))="Entreprise"</formula>
    </cfRule>
    <cfRule type="beginsWith" dxfId="10989" priority="9912" operator="beginsWith" text="TOMIC">
      <formula>LEFT(CL41,LEN("TOMIC"))="TOMIC"</formula>
    </cfRule>
    <cfRule type="beginsWith" dxfId="10988" priority="9913" operator="beginsWith" text="Voltaire">
      <formula>LEFT(CL41,LEN("Voltaire"))="Voltaire"</formula>
    </cfRule>
  </conditionalFormatting>
  <conditionalFormatting sqref="CL71:CL75">
    <cfRule type="beginsWith" dxfId="10987" priority="9894" operator="beginsWith" text="Lancement Projet fil rouge">
      <formula>LEFT(CL71,LEN("Lancement Projet fil rouge"))="Lancement Projet fil rouge"</formula>
    </cfRule>
    <cfRule type="beginsWith" dxfId="10986" priority="9895" operator="beginsWith" text="Vacances">
      <formula>LEFT(CL71,LEN("Vacances"))="Vacances"</formula>
    </cfRule>
    <cfRule type="beginsWith" dxfId="10985" priority="9896" operator="beginsWith" text="Séminaire d'intégration">
      <formula>LEFT(CL71,LEN("Séminaire d'intégration"))="Séminaire d'intégration"</formula>
    </cfRule>
    <cfRule type="beginsWith" dxfId="10984" priority="9897" operator="beginsWith" text="Accueil">
      <formula>LEFT(CL71,LEN("Accueil"))="Accueil"</formula>
    </cfRule>
    <cfRule type="beginsWith" dxfId="10983" priority="9898" operator="beginsWith" text="TOPHYC">
      <formula>LEFT(CL71,LEN("TOPHYC"))="TOPHYC"</formula>
    </cfRule>
    <cfRule type="beginsWith" dxfId="10982" priority="9899" operator="beginsWith" text="Global Exam">
      <formula>LEFT(CL71,LEN("Global Exam"))="Global Exam"</formula>
    </cfRule>
    <cfRule type="beginsWith" dxfId="10981" priority="9900" operator="beginsWith" text="Stage">
      <formula>LEFT(CL71,LEN("Stage"))="Stage"</formula>
    </cfRule>
    <cfRule type="beginsWith" dxfId="10980" priority="9901" operator="beginsWith" text="Entreprise">
      <formula>LEFT(CL71,LEN("Entreprise"))="Entreprise"</formula>
    </cfRule>
    <cfRule type="beginsWith" dxfId="10979" priority="9902" operator="beginsWith" text="TOMIC">
      <formula>LEFT(CL71,LEN("TOMIC"))="TOMIC"</formula>
    </cfRule>
    <cfRule type="beginsWith" dxfId="10978" priority="9903" operator="beginsWith" text="Voltaire">
      <formula>LEFT(CL71,LEN("Voltaire"))="Voltaire"</formula>
    </cfRule>
  </conditionalFormatting>
  <conditionalFormatting sqref="CL94:CL95 CL91">
    <cfRule type="beginsWith" dxfId="10977" priority="21260" operator="beginsWith" text="Lancement Projet fil rouge">
      <formula>LEFT(CL91,LEN("Lancement Projet fil rouge"))="Lancement Projet fil rouge"</formula>
    </cfRule>
    <cfRule type="beginsWith" dxfId="10976" priority="21261" operator="beginsWith" text="Vacances">
      <formula>LEFT(CL91,LEN("Vacances"))="Vacances"</formula>
    </cfRule>
    <cfRule type="beginsWith" dxfId="10975" priority="21262" operator="beginsWith" text="Séminaire d'intégration">
      <formula>LEFT(CL91,LEN("Séminaire d'intégration"))="Séminaire d'intégration"</formula>
    </cfRule>
    <cfRule type="beginsWith" dxfId="10974" priority="21263" operator="beginsWith" text="Accueil">
      <formula>LEFT(CL91,LEN("Accueil"))="Accueil"</formula>
    </cfRule>
    <cfRule type="beginsWith" dxfId="10973" priority="21266" operator="beginsWith" text="Stage">
      <formula>LEFT(CL91,LEN("Stage"))="Stage"</formula>
    </cfRule>
    <cfRule type="beginsWith" dxfId="10972" priority="21267" operator="beginsWith" text="Entreprise">
      <formula>LEFT(CL91,LEN("Entreprise"))="Entreprise"</formula>
    </cfRule>
    <cfRule type="beginsWith" dxfId="10971" priority="21269" operator="beginsWith" text="Voltaire">
      <formula>LEFT(CL91,LEN("Voltaire"))="Voltaire"</formula>
    </cfRule>
  </conditionalFormatting>
  <conditionalFormatting sqref="CL166">
    <cfRule type="beginsWith" dxfId="10970" priority="12344" operator="beginsWith" text="Lancement Projet fil rouge">
      <formula>LEFT(CL166,LEN("Lancement Projet fil rouge"))="Lancement Projet fil rouge"</formula>
    </cfRule>
    <cfRule type="beginsWith" dxfId="10969" priority="12345" operator="beginsWith" text="Vacances">
      <formula>LEFT(CL166,LEN("Vacances"))="Vacances"</formula>
    </cfRule>
    <cfRule type="beginsWith" dxfId="10968" priority="12346" operator="beginsWith" text="Séminaire d'intégration">
      <formula>LEFT(CL166,LEN("Séminaire d'intégration"))="Séminaire d'intégration"</formula>
    </cfRule>
    <cfRule type="beginsWith" dxfId="10967" priority="12347" operator="beginsWith" text="Accueil">
      <formula>LEFT(CL166,LEN("Accueil"))="Accueil"</formula>
    </cfRule>
    <cfRule type="beginsWith" dxfId="10966" priority="12348" operator="beginsWith" text="TOPHYC">
      <formula>LEFT(CL166,LEN("TOPHYC"))="TOPHYC"</formula>
    </cfRule>
    <cfRule type="beginsWith" dxfId="10965" priority="12349" operator="beginsWith" text="Global Exam">
      <formula>LEFT(CL166,LEN("Global Exam"))="Global Exam"</formula>
    </cfRule>
    <cfRule type="beginsWith" dxfId="10964" priority="12350" operator="beginsWith" text="Stage">
      <formula>LEFT(CL166,LEN("Stage"))="Stage"</formula>
    </cfRule>
    <cfRule type="beginsWith" dxfId="10963" priority="12351" operator="beginsWith" text="Entreprise">
      <formula>LEFT(CL166,LEN("Entreprise"))="Entreprise"</formula>
    </cfRule>
    <cfRule type="beginsWith" dxfId="10962" priority="12352" operator="beginsWith" text="TOMIC">
      <formula>LEFT(CL166,LEN("TOMIC"))="TOMIC"</formula>
    </cfRule>
    <cfRule type="beginsWith" dxfId="10961" priority="12353" operator="beginsWith" text="Voltaire">
      <formula>LEFT(CL166,LEN("Voltaire"))="Voltaire"</formula>
    </cfRule>
  </conditionalFormatting>
  <conditionalFormatting sqref="CN3">
    <cfRule type="beginsWith" dxfId="10960" priority="27937" operator="beginsWith" text="Lancement Projet fil rouge">
      <formula>LEFT(CN3,LEN("Lancement Projet fil rouge"))="Lancement Projet fil rouge"</formula>
    </cfRule>
    <cfRule type="beginsWith" dxfId="10959" priority="27938" operator="beginsWith" text="Vacances">
      <formula>LEFT(CN3,LEN("Vacances"))="Vacances"</formula>
    </cfRule>
    <cfRule type="beginsWith" dxfId="10958" priority="27939" operator="beginsWith" text="Séminaire d'intégration">
      <formula>LEFT(CN3,LEN("Séminaire d'intégration"))="Séminaire d'intégration"</formula>
    </cfRule>
    <cfRule type="beginsWith" dxfId="10957" priority="27940" operator="beginsWith" text="Accueil">
      <formula>LEFT(CN3,LEN("Accueil"))="Accueil"</formula>
    </cfRule>
    <cfRule type="beginsWith" dxfId="10956" priority="27941" operator="beginsWith" text="Stage">
      <formula>LEFT(CN3,LEN("Stage"))="Stage"</formula>
    </cfRule>
    <cfRule type="beginsWith" dxfId="10955" priority="27942" operator="beginsWith" text="Entreprise">
      <formula>LEFT(CN3,LEN("Entreprise"))="Entreprise"</formula>
    </cfRule>
    <cfRule type="beginsWith" dxfId="10954" priority="27943" operator="beginsWith" text="Voltaire">
      <formula>LEFT(CN3,LEN("Voltaire"))="Voltaire"</formula>
    </cfRule>
  </conditionalFormatting>
  <conditionalFormatting sqref="CN6">
    <cfRule type="beginsWith" dxfId="10953" priority="18180" operator="beginsWith" text="Projet professionnel : Séminaire PFI">
      <formula>LEFT(CN6,LEN("Projet professionnel : Séminaire PFI"))="Projet professionnel : Séminaire PFI"</formula>
    </cfRule>
    <cfRule type="beginsWith" dxfId="10952" priority="18181" operator="beginsWith" text="Lancement Projet fil rouge">
      <formula>LEFT(CN6,LEN("Lancement Projet fil rouge"))="Lancement Projet fil rouge"</formula>
    </cfRule>
    <cfRule type="beginsWith" dxfId="10951" priority="18182" operator="beginsWith" text="Vacances">
      <formula>LEFT(CN6,LEN("Vacances"))="Vacances"</formula>
    </cfRule>
    <cfRule type="beginsWith" dxfId="10950" priority="18183" operator="beginsWith" text="Séminaire d'intégration">
      <formula>LEFT(CN6,LEN("Séminaire d'intégration"))="Séminaire d'intégration"</formula>
    </cfRule>
    <cfRule type="beginsWith" dxfId="10949" priority="18184" operator="beginsWith" text="Accueil">
      <formula>LEFT(CN6,LEN("Accueil"))="Accueil"</formula>
    </cfRule>
    <cfRule type="beginsWith" dxfId="10948" priority="18185" operator="beginsWith" text="Stage">
      <formula>LEFT(CN6,LEN("Stage"))="Stage"</formula>
    </cfRule>
    <cfRule type="beginsWith" dxfId="10947" priority="18186" operator="beginsWith" text="Entreprise">
      <formula>LEFT(CN6,LEN("Entreprise"))="Entreprise"</formula>
    </cfRule>
    <cfRule type="beginsWith" dxfId="10946" priority="18187" operator="beginsWith" text="Voltaire">
      <formula>LEFT(CN6,LEN("Voltaire"))="Voltaire"</formula>
    </cfRule>
  </conditionalFormatting>
  <conditionalFormatting sqref="CN26">
    <cfRule type="beginsWith" dxfId="10945" priority="28160" operator="beginsWith" text="Projet professionnel : Séminaire PFI">
      <formula>LEFT(CN26,LEN("Projet professionnel : Séminaire PFI"))="Projet professionnel : Séminaire PFI"</formula>
    </cfRule>
    <cfRule type="beginsWith" dxfId="10944" priority="28161" operator="beginsWith" text="Lancement Projet fil rouge">
      <formula>LEFT(CN26,LEN("Lancement Projet fil rouge"))="Lancement Projet fil rouge"</formula>
    </cfRule>
    <cfRule type="beginsWith" dxfId="10943" priority="28162" operator="beginsWith" text="Vacances">
      <formula>LEFT(CN26,LEN("Vacances"))="Vacances"</formula>
    </cfRule>
    <cfRule type="beginsWith" dxfId="10942" priority="28163" operator="beginsWith" text="Séminaire d'intégration">
      <formula>LEFT(CN26,LEN("Séminaire d'intégration"))="Séminaire d'intégration"</formula>
    </cfRule>
    <cfRule type="beginsWith" dxfId="10941" priority="28164" operator="beginsWith" text="Accueil">
      <formula>LEFT(CN26,LEN("Accueil"))="Accueil"</formula>
    </cfRule>
    <cfRule type="beginsWith" dxfId="10940" priority="28165" operator="beginsWith" text="Stage">
      <formula>LEFT(CN26,LEN("Stage"))="Stage"</formula>
    </cfRule>
    <cfRule type="beginsWith" dxfId="10939" priority="28166" operator="beginsWith" text="Entreprise">
      <formula>LEFT(CN26,LEN("Entreprise"))="Entreprise"</formula>
    </cfRule>
    <cfRule type="beginsWith" dxfId="10938" priority="28167" operator="beginsWith" text="Voltaire">
      <formula>LEFT(CN26,LEN("Voltaire"))="Voltaire"</formula>
    </cfRule>
  </conditionalFormatting>
  <conditionalFormatting sqref="CN36:CN46">
    <cfRule type="beginsWith" dxfId="10937" priority="28064" operator="beginsWith" text="Projet professionnel : Séminaire PFI">
      <formula>LEFT(CN36,LEN("Projet professionnel : Séminaire PFI"))="Projet professionnel : Séminaire PFI"</formula>
    </cfRule>
    <cfRule type="beginsWith" dxfId="10936" priority="28065" operator="beginsWith" text="Lancement Projet fil rouge">
      <formula>LEFT(CN36,LEN("Lancement Projet fil rouge"))="Lancement Projet fil rouge"</formula>
    </cfRule>
    <cfRule type="beginsWith" dxfId="10935" priority="28066" operator="beginsWith" text="Vacances">
      <formula>LEFT(CN36,LEN("Vacances"))="Vacances"</formula>
    </cfRule>
    <cfRule type="beginsWith" dxfId="10934" priority="28067" operator="beginsWith" text="Séminaire d'intégration">
      <formula>LEFT(CN36,LEN("Séminaire d'intégration"))="Séminaire d'intégration"</formula>
    </cfRule>
    <cfRule type="beginsWith" dxfId="10933" priority="28068" operator="beginsWith" text="Accueil">
      <formula>LEFT(CN36,LEN("Accueil"))="Accueil"</formula>
    </cfRule>
    <cfRule type="beginsWith" dxfId="10932" priority="28069" operator="beginsWith" text="Stage">
      <formula>LEFT(CN36,LEN("Stage"))="Stage"</formula>
    </cfRule>
    <cfRule type="beginsWith" dxfId="10931" priority="28070" operator="beginsWith" text="Entreprise">
      <formula>LEFT(CN36,LEN("Entreprise"))="Entreprise"</formula>
    </cfRule>
    <cfRule type="beginsWith" dxfId="10930" priority="28071" operator="beginsWith" text="Voltaire">
      <formula>LEFT(CN36,LEN("Voltaire"))="Voltaire"</formula>
    </cfRule>
  </conditionalFormatting>
  <conditionalFormatting sqref="CN56">
    <cfRule type="beginsWith" dxfId="10929" priority="15602" operator="beginsWith" text="Projet professionnel : Séminaire PFI">
      <formula>LEFT(CN56,LEN("Projet professionnel : Séminaire PFI"))="Projet professionnel : Séminaire PFI"</formula>
    </cfRule>
    <cfRule type="beginsWith" dxfId="10928" priority="15603" operator="beginsWith" text="Lancement Projet fil rouge">
      <formula>LEFT(CN56,LEN("Lancement Projet fil rouge"))="Lancement Projet fil rouge"</formula>
    </cfRule>
    <cfRule type="beginsWith" dxfId="10927" priority="15604" operator="beginsWith" text="Vacances">
      <formula>LEFT(CN56,LEN("Vacances"))="Vacances"</formula>
    </cfRule>
    <cfRule type="beginsWith" dxfId="10926" priority="15605" operator="beginsWith" text="Séminaire d'intégration">
      <formula>LEFT(CN56,LEN("Séminaire d'intégration"))="Séminaire d'intégration"</formula>
    </cfRule>
    <cfRule type="beginsWith" dxfId="10925" priority="15606" operator="beginsWith" text="Accueil">
      <formula>LEFT(CN56,LEN("Accueil"))="Accueil"</formula>
    </cfRule>
    <cfRule type="beginsWith" dxfId="10924" priority="15607" operator="beginsWith" text="Stage">
      <formula>LEFT(CN56,LEN("Stage"))="Stage"</formula>
    </cfRule>
    <cfRule type="beginsWith" dxfId="10923" priority="15608" operator="beginsWith" text="Entreprise">
      <formula>LEFT(CN56,LEN("Entreprise"))="Entreprise"</formula>
    </cfRule>
    <cfRule type="beginsWith" dxfId="10922" priority="15609" operator="beginsWith" text="Voltaire">
      <formula>LEFT(CN56,LEN("Voltaire"))="Voltaire"</formula>
    </cfRule>
  </conditionalFormatting>
  <conditionalFormatting sqref="CN61">
    <cfRule type="beginsWith" dxfId="10921" priority="15570" operator="beginsWith" text="Projet professionnel : Séminaire PFI">
      <formula>LEFT(CN61,LEN("Projet professionnel : Séminaire PFI"))="Projet professionnel : Séminaire PFI"</formula>
    </cfRule>
    <cfRule type="beginsWith" dxfId="10920" priority="15571" operator="beginsWith" text="Lancement Projet fil rouge">
      <formula>LEFT(CN61,LEN("Lancement Projet fil rouge"))="Lancement Projet fil rouge"</formula>
    </cfRule>
    <cfRule type="beginsWith" dxfId="10919" priority="15572" operator="beginsWith" text="Vacances">
      <formula>LEFT(CN61,LEN("Vacances"))="Vacances"</formula>
    </cfRule>
    <cfRule type="beginsWith" dxfId="10918" priority="15573" operator="beginsWith" text="Séminaire d'intégration">
      <formula>LEFT(CN61,LEN("Séminaire d'intégration"))="Séminaire d'intégration"</formula>
    </cfRule>
    <cfRule type="beginsWith" dxfId="10917" priority="15574" operator="beginsWith" text="Accueil">
      <formula>LEFT(CN61,LEN("Accueil"))="Accueil"</formula>
    </cfRule>
    <cfRule type="beginsWith" dxfId="10916" priority="15575" operator="beginsWith" text="Stage">
      <formula>LEFT(CN61,LEN("Stage"))="Stage"</formula>
    </cfRule>
    <cfRule type="beginsWith" dxfId="10915" priority="15576" operator="beginsWith" text="Entreprise">
      <formula>LEFT(CN61,LEN("Entreprise"))="Entreprise"</formula>
    </cfRule>
    <cfRule type="beginsWith" dxfId="10914" priority="15577" operator="beginsWith" text="Voltaire">
      <formula>LEFT(CN61,LEN("Voltaire"))="Voltaire"</formula>
    </cfRule>
  </conditionalFormatting>
  <conditionalFormatting sqref="CN74:CN78">
    <cfRule type="beginsWith" dxfId="10913" priority="28080" operator="beginsWith" text="Projet professionnel : Séminaire PFI">
      <formula>LEFT(CN74,LEN("Projet professionnel : Séminaire PFI"))="Projet professionnel : Séminaire PFI"</formula>
    </cfRule>
    <cfRule type="beginsWith" dxfId="10912" priority="28081" operator="beginsWith" text="Lancement Projet fil rouge">
      <formula>LEFT(CN74,LEN("Lancement Projet fil rouge"))="Lancement Projet fil rouge"</formula>
    </cfRule>
    <cfRule type="beginsWith" dxfId="10911" priority="28082" operator="beginsWith" text="Vacances">
      <formula>LEFT(CN74,LEN("Vacances"))="Vacances"</formula>
    </cfRule>
    <cfRule type="beginsWith" dxfId="10910" priority="28083" operator="beginsWith" text="Séminaire d'intégration">
      <formula>LEFT(CN74,LEN("Séminaire d'intégration"))="Séminaire d'intégration"</formula>
    </cfRule>
    <cfRule type="beginsWith" dxfId="10909" priority="28084" operator="beginsWith" text="Accueil">
      <formula>LEFT(CN74,LEN("Accueil"))="Accueil"</formula>
    </cfRule>
    <cfRule type="beginsWith" dxfId="10908" priority="28085" operator="beginsWith" text="Stage">
      <formula>LEFT(CN74,LEN("Stage"))="Stage"</formula>
    </cfRule>
    <cfRule type="beginsWith" dxfId="10907" priority="28086" operator="beginsWith" text="Entreprise">
      <formula>LEFT(CN74,LEN("Entreprise"))="Entreprise"</formula>
    </cfRule>
    <cfRule type="beginsWith" dxfId="10906" priority="28087" operator="beginsWith" text="Voltaire">
      <formula>LEFT(CN74,LEN("Voltaire"))="Voltaire"</formula>
    </cfRule>
  </conditionalFormatting>
  <conditionalFormatting sqref="CN79:CN81">
    <cfRule type="beginsWith" dxfId="10905" priority="28072" operator="beginsWith" text="Projet professionnel : Séminaire PFI">
      <formula>LEFT(CN79,LEN("Projet professionnel : Séminaire PFI"))="Projet professionnel : Séminaire PFI"</formula>
    </cfRule>
    <cfRule type="beginsWith" dxfId="10904" priority="28073" operator="beginsWith" text="Lancement Projet fil rouge">
      <formula>LEFT(CN79,LEN("Lancement Projet fil rouge"))="Lancement Projet fil rouge"</formula>
    </cfRule>
    <cfRule type="beginsWith" dxfId="10903" priority="28074" operator="beginsWith" text="Vacances">
      <formula>LEFT(CN79,LEN("Vacances"))="Vacances"</formula>
    </cfRule>
    <cfRule type="beginsWith" dxfId="10902" priority="28075" operator="beginsWith" text="Séminaire d'intégration">
      <formula>LEFT(CN79,LEN("Séminaire d'intégration"))="Séminaire d'intégration"</formula>
    </cfRule>
    <cfRule type="beginsWith" dxfId="10901" priority="28076" operator="beginsWith" text="Accueil">
      <formula>LEFT(CN79,LEN("Accueil"))="Accueil"</formula>
    </cfRule>
    <cfRule type="beginsWith" dxfId="10900" priority="28077" operator="beginsWith" text="Stage">
      <formula>LEFT(CN79,LEN("Stage"))="Stage"</formula>
    </cfRule>
    <cfRule type="beginsWith" dxfId="10899" priority="28078" operator="beginsWith" text="Entreprise">
      <formula>LEFT(CN79,LEN("Entreprise"))="Entreprise"</formula>
    </cfRule>
    <cfRule type="beginsWith" dxfId="10898" priority="28079" operator="beginsWith" text="Voltaire">
      <formula>LEFT(CN79,LEN("Voltaire"))="Voltaire"</formula>
    </cfRule>
  </conditionalFormatting>
  <conditionalFormatting sqref="CN82:CN92">
    <cfRule type="beginsWith" dxfId="10897" priority="28088" operator="beginsWith" text="Projet professionnel : Séminaire PFI">
      <formula>LEFT(CN82,LEN("Projet professionnel : Séminaire PFI"))="Projet professionnel : Séminaire PFI"</formula>
    </cfRule>
    <cfRule type="beginsWith" dxfId="10896" priority="28089" operator="beginsWith" text="Lancement Projet fil rouge">
      <formula>LEFT(CN82,LEN("Lancement Projet fil rouge"))="Lancement Projet fil rouge"</formula>
    </cfRule>
    <cfRule type="beginsWith" dxfId="10895" priority="28090" operator="beginsWith" text="Vacances">
      <formula>LEFT(CN82,LEN("Vacances"))="Vacances"</formula>
    </cfRule>
    <cfRule type="beginsWith" dxfId="10894" priority="28091" operator="beginsWith" text="Séminaire d'intégration">
      <formula>LEFT(CN82,LEN("Séminaire d'intégration"))="Séminaire d'intégration"</formula>
    </cfRule>
    <cfRule type="beginsWith" dxfId="10893" priority="28092" operator="beginsWith" text="Accueil">
      <formula>LEFT(CN82,LEN("Accueil"))="Accueil"</formula>
    </cfRule>
    <cfRule type="beginsWith" dxfId="10892" priority="28093" operator="beginsWith" text="Stage">
      <formula>LEFT(CN82,LEN("Stage"))="Stage"</formula>
    </cfRule>
    <cfRule type="beginsWith" dxfId="10891" priority="28094" operator="beginsWith" text="Entreprise">
      <formula>LEFT(CN82,LEN("Entreprise"))="Entreprise"</formula>
    </cfRule>
    <cfRule type="beginsWith" dxfId="10890" priority="28095" operator="beginsWith" text="Voltaire">
      <formula>LEFT(CN82,LEN("Voltaire"))="Voltaire"</formula>
    </cfRule>
  </conditionalFormatting>
  <conditionalFormatting sqref="CN93:CN94">
    <cfRule type="beginsWith" dxfId="10889" priority="28096" operator="beginsWith" text="Projet professionnel : Séminaire PFI">
      <formula>LEFT(CN93,LEN("Projet professionnel : Séminaire PFI"))="Projet professionnel : Séminaire PFI"</formula>
    </cfRule>
    <cfRule type="beginsWith" dxfId="10888" priority="28097" operator="beginsWith" text="Lancement Projet fil rouge">
      <formula>LEFT(CN93,LEN("Lancement Projet fil rouge"))="Lancement Projet fil rouge"</formula>
    </cfRule>
    <cfRule type="beginsWith" dxfId="10887" priority="28098" operator="beginsWith" text="Vacances">
      <formula>LEFT(CN93,LEN("Vacances"))="Vacances"</formula>
    </cfRule>
    <cfRule type="beginsWith" dxfId="10886" priority="28099" operator="beginsWith" text="Séminaire d'intégration">
      <formula>LEFT(CN93,LEN("Séminaire d'intégration"))="Séminaire d'intégration"</formula>
    </cfRule>
    <cfRule type="beginsWith" dxfId="10885" priority="28100" operator="beginsWith" text="Accueil">
      <formula>LEFT(CN93,LEN("Accueil"))="Accueil"</formula>
    </cfRule>
    <cfRule type="beginsWith" dxfId="10884" priority="28101" operator="beginsWith" text="Stage">
      <formula>LEFT(CN93,LEN("Stage"))="Stage"</formula>
    </cfRule>
    <cfRule type="beginsWith" dxfId="10883" priority="28102" operator="beginsWith" text="Entreprise">
      <formula>LEFT(CN93,LEN("Entreprise"))="Entreprise"</formula>
    </cfRule>
    <cfRule type="beginsWith" dxfId="10882" priority="28103" operator="beginsWith" text="Voltaire">
      <formula>LEFT(CN93,LEN("Voltaire"))="Voltaire"</formula>
    </cfRule>
  </conditionalFormatting>
  <conditionalFormatting sqref="CN95:CN101">
    <cfRule type="beginsWith" dxfId="10881" priority="28056" operator="beginsWith" text="Projet professionnel : Séminaire PFI">
      <formula>LEFT(CN95,LEN("Projet professionnel : Séminaire PFI"))="Projet professionnel : Séminaire PFI"</formula>
    </cfRule>
    <cfRule type="beginsWith" dxfId="10880" priority="28057" operator="beginsWith" text="Lancement Projet fil rouge">
      <formula>LEFT(CN95,LEN("Lancement Projet fil rouge"))="Lancement Projet fil rouge"</formula>
    </cfRule>
    <cfRule type="beginsWith" dxfId="10879" priority="28058" operator="beginsWith" text="Vacances">
      <formula>LEFT(CN95,LEN("Vacances"))="Vacances"</formula>
    </cfRule>
    <cfRule type="beginsWith" dxfId="10878" priority="28059" operator="beginsWith" text="Séminaire d'intégration">
      <formula>LEFT(CN95,LEN("Séminaire d'intégration"))="Séminaire d'intégration"</formula>
    </cfRule>
    <cfRule type="beginsWith" dxfId="10877" priority="28060" operator="beginsWith" text="Accueil">
      <formula>LEFT(CN95,LEN("Accueil"))="Accueil"</formula>
    </cfRule>
    <cfRule type="beginsWith" dxfId="10876" priority="28061" operator="beginsWith" text="Stage">
      <formula>LEFT(CN95,LEN("Stage"))="Stage"</formula>
    </cfRule>
    <cfRule type="beginsWith" dxfId="10875" priority="28062" operator="beginsWith" text="Entreprise">
      <formula>LEFT(CN95,LEN("Entreprise"))="Entreprise"</formula>
    </cfRule>
    <cfRule type="beginsWith" dxfId="10874" priority="28063" operator="beginsWith" text="Voltaire">
      <formula>LEFT(CN95,LEN("Voltaire"))="Voltaire"</formula>
    </cfRule>
  </conditionalFormatting>
  <conditionalFormatting sqref="CN102:CN105">
    <cfRule type="beginsWith" dxfId="10873" priority="27968" operator="beginsWith" text="Projet professionnel : Séminaire PFI">
      <formula>LEFT(CN102,LEN("Projet professionnel : Séminaire PFI"))="Projet professionnel : Séminaire PFI"</formula>
    </cfRule>
    <cfRule type="beginsWith" dxfId="10872" priority="27969" operator="beginsWith" text="Lancement Projet fil rouge">
      <formula>LEFT(CN102,LEN("Lancement Projet fil rouge"))="Lancement Projet fil rouge"</formula>
    </cfRule>
    <cfRule type="beginsWith" dxfId="10871" priority="27970" operator="beginsWith" text="Vacances">
      <formula>LEFT(CN102,LEN("Vacances"))="Vacances"</formula>
    </cfRule>
    <cfRule type="beginsWith" dxfId="10870" priority="27971" operator="beginsWith" text="Séminaire d'intégration">
      <formula>LEFT(CN102,LEN("Séminaire d'intégration"))="Séminaire d'intégration"</formula>
    </cfRule>
    <cfRule type="beginsWith" dxfId="10869" priority="27972" operator="beginsWith" text="Accueil">
      <formula>LEFT(CN102,LEN("Accueil"))="Accueil"</formula>
    </cfRule>
    <cfRule type="beginsWith" dxfId="10868" priority="27973" operator="beginsWith" text="Stage">
      <formula>LEFT(CN102,LEN("Stage"))="Stage"</formula>
    </cfRule>
    <cfRule type="beginsWith" dxfId="10867" priority="27974" operator="beginsWith" text="Entreprise">
      <formula>LEFT(CN102,LEN("Entreprise"))="Entreprise"</formula>
    </cfRule>
    <cfRule type="beginsWith" dxfId="10866" priority="27975" operator="beginsWith" text="Voltaire">
      <formula>LEFT(CN102,LEN("Voltaire"))="Voltaire"</formula>
    </cfRule>
  </conditionalFormatting>
  <conditionalFormatting sqref="CN111">
    <cfRule type="beginsWith" dxfId="10865" priority="15538" operator="beginsWith" text="Projet professionnel : Séminaire PFI">
      <formula>LEFT(CN111,LEN("Projet professionnel : Séminaire PFI"))="Projet professionnel : Séminaire PFI"</formula>
    </cfRule>
    <cfRule type="beginsWith" dxfId="10864" priority="15539" operator="beginsWith" text="Lancement Projet fil rouge">
      <formula>LEFT(CN111,LEN("Lancement Projet fil rouge"))="Lancement Projet fil rouge"</formula>
    </cfRule>
    <cfRule type="beginsWith" dxfId="10863" priority="15540" operator="beginsWith" text="Vacances">
      <formula>LEFT(CN111,LEN("Vacances"))="Vacances"</formula>
    </cfRule>
    <cfRule type="beginsWith" dxfId="10862" priority="15541" operator="beginsWith" text="Séminaire d'intégration">
      <formula>LEFT(CN111,LEN("Séminaire d'intégration"))="Séminaire d'intégration"</formula>
    </cfRule>
    <cfRule type="beginsWith" dxfId="10861" priority="15542" operator="beginsWith" text="Accueil">
      <formula>LEFT(CN111,LEN("Accueil"))="Accueil"</formula>
    </cfRule>
    <cfRule type="beginsWith" dxfId="10860" priority="15543" operator="beginsWith" text="Stage">
      <formula>LEFT(CN111,LEN("Stage"))="Stage"</formula>
    </cfRule>
    <cfRule type="beginsWith" dxfId="10859" priority="15544" operator="beginsWith" text="Entreprise">
      <formula>LEFT(CN111,LEN("Entreprise"))="Entreprise"</formula>
    </cfRule>
    <cfRule type="beginsWith" dxfId="10858" priority="15545" operator="beginsWith" text="Voltaire">
      <formula>LEFT(CN111,LEN("Voltaire"))="Voltaire"</formula>
    </cfRule>
  </conditionalFormatting>
  <conditionalFormatting sqref="CN116:CN120">
    <cfRule type="beginsWith" dxfId="10857" priority="28128" operator="beginsWith" text="Projet professionnel : Séminaire PFI">
      <formula>LEFT(CN116,LEN("Projet professionnel : Séminaire PFI"))="Projet professionnel : Séminaire PFI"</formula>
    </cfRule>
    <cfRule type="beginsWith" dxfId="10856" priority="28129" operator="beginsWith" text="Lancement Projet fil rouge">
      <formula>LEFT(CN116,LEN("Lancement Projet fil rouge"))="Lancement Projet fil rouge"</formula>
    </cfRule>
    <cfRule type="beginsWith" dxfId="10855" priority="28130" operator="beginsWith" text="Vacances">
      <formula>LEFT(CN116,LEN("Vacances"))="Vacances"</formula>
    </cfRule>
    <cfRule type="beginsWith" dxfId="10854" priority="28131" operator="beginsWith" text="Séminaire d'intégration">
      <formula>LEFT(CN116,LEN("Séminaire d'intégration"))="Séminaire d'intégration"</formula>
    </cfRule>
    <cfRule type="beginsWith" dxfId="10853" priority="28132" operator="beginsWith" text="Accueil">
      <formula>LEFT(CN116,LEN("Accueil"))="Accueil"</formula>
    </cfRule>
    <cfRule type="beginsWith" dxfId="10852" priority="28133" operator="beginsWith" text="Stage">
      <formula>LEFT(CN116,LEN("Stage"))="Stage"</formula>
    </cfRule>
    <cfRule type="beginsWith" dxfId="10851" priority="28134" operator="beginsWith" text="Entreprise">
      <formula>LEFT(CN116,LEN("Entreprise"))="Entreprise"</formula>
    </cfRule>
    <cfRule type="beginsWith" dxfId="10850" priority="28135" operator="beginsWith" text="Voltaire">
      <formula>LEFT(CN116,LEN("Voltaire"))="Voltaire"</formula>
    </cfRule>
  </conditionalFormatting>
  <conditionalFormatting sqref="CN121:CN124 CN1:CN2 CN5 CN47:CN55">
    <cfRule type="beginsWith" dxfId="10849" priority="28232" operator="beginsWith" text="Projet professionnel : Séminaire PFI">
      <formula>LEFT(CN1,LEN("Projet professionnel : Séminaire PFI"))="Projet professionnel : Séminaire PFI"</formula>
    </cfRule>
    <cfRule type="beginsWith" dxfId="10848" priority="28233" operator="beginsWith" text="Lancement Projet fil rouge">
      <formula>LEFT(CN1,LEN("Lancement Projet fil rouge"))="Lancement Projet fil rouge"</formula>
    </cfRule>
    <cfRule type="beginsWith" dxfId="10847" priority="28234" operator="beginsWith" text="Vacances">
      <formula>LEFT(CN1,LEN("Vacances"))="Vacances"</formula>
    </cfRule>
    <cfRule type="beginsWith" dxfId="10846" priority="28235" operator="beginsWith" text="Séminaire d'intégration">
      <formula>LEFT(CN1,LEN("Séminaire d'intégration"))="Séminaire d'intégration"</formula>
    </cfRule>
    <cfRule type="beginsWith" dxfId="10845" priority="28236" operator="beginsWith" text="Accueil">
      <formula>LEFT(CN1,LEN("Accueil"))="Accueil"</formula>
    </cfRule>
    <cfRule type="beginsWith" dxfId="10844" priority="28237" operator="beginsWith" text="Stage">
      <formula>LEFT(CN1,LEN("Stage"))="Stage"</formula>
    </cfRule>
    <cfRule type="beginsWith" dxfId="10843" priority="28238" operator="beginsWith" text="Entreprise">
      <formula>LEFT(CN1,LEN("Entreprise"))="Entreprise"</formula>
    </cfRule>
    <cfRule type="beginsWith" dxfId="10842" priority="28239" operator="beginsWith" text="Voltaire">
      <formula>LEFT(CN1,LEN("Voltaire"))="Voltaire"</formula>
    </cfRule>
  </conditionalFormatting>
  <conditionalFormatting sqref="CN125:CN130">
    <cfRule type="beginsWith" dxfId="10841" priority="28192" operator="beginsWith" text="Projet professionnel : Séminaire PFI">
      <formula>LEFT(CN125,LEN("Projet professionnel : Séminaire PFI"))="Projet professionnel : Séminaire PFI"</formula>
    </cfRule>
    <cfRule type="beginsWith" dxfId="10840" priority="28193" operator="beginsWith" text="Lancement Projet fil rouge">
      <formula>LEFT(CN125,LEN("Lancement Projet fil rouge"))="Lancement Projet fil rouge"</formula>
    </cfRule>
    <cfRule type="beginsWith" dxfId="10839" priority="28194" operator="beginsWith" text="Vacances">
      <formula>LEFT(CN125,LEN("Vacances"))="Vacances"</formula>
    </cfRule>
    <cfRule type="beginsWith" dxfId="10838" priority="28195" operator="beginsWith" text="Séminaire d'intégration">
      <formula>LEFT(CN125,LEN("Séminaire d'intégration"))="Séminaire d'intégration"</formula>
    </cfRule>
    <cfRule type="beginsWith" dxfId="10837" priority="28196" operator="beginsWith" text="Accueil">
      <formula>LEFT(CN125,LEN("Accueil"))="Accueil"</formula>
    </cfRule>
    <cfRule type="beginsWith" dxfId="10836" priority="28197" operator="beginsWith" text="Stage">
      <formula>LEFT(CN125,LEN("Stage"))="Stage"</formula>
    </cfRule>
    <cfRule type="beginsWith" dxfId="10835" priority="28198" operator="beginsWith" text="Entreprise">
      <formula>LEFT(CN125,LEN("Entreprise"))="Entreprise"</formula>
    </cfRule>
    <cfRule type="beginsWith" dxfId="10834" priority="28199" operator="beginsWith" text="Voltaire">
      <formula>LEFT(CN125,LEN("Voltaire"))="Voltaire"</formula>
    </cfRule>
  </conditionalFormatting>
  <conditionalFormatting sqref="CN131">
    <cfRule type="beginsWith" dxfId="10833" priority="27984" operator="beginsWith" text="Projet professionnel : Séminaire PFI">
      <formula>LEFT(CN131,LEN("Projet professionnel : Séminaire PFI"))="Projet professionnel : Séminaire PFI"</formula>
    </cfRule>
    <cfRule type="beginsWith" dxfId="10832" priority="27985" operator="beginsWith" text="Lancement Projet fil rouge">
      <formula>LEFT(CN131,LEN("Lancement Projet fil rouge"))="Lancement Projet fil rouge"</formula>
    </cfRule>
    <cfRule type="beginsWith" dxfId="10831" priority="27986" operator="beginsWith" text="Vacances">
      <formula>LEFT(CN131,LEN("Vacances"))="Vacances"</formula>
    </cfRule>
    <cfRule type="beginsWith" dxfId="10830" priority="27987" operator="beginsWith" text="Séminaire d'intégration">
      <formula>LEFT(CN131,LEN("Séminaire d'intégration"))="Séminaire d'intégration"</formula>
    </cfRule>
    <cfRule type="beginsWith" dxfId="10829" priority="27988" operator="beginsWith" text="Accueil">
      <formula>LEFT(CN131,LEN("Accueil"))="Accueil"</formula>
    </cfRule>
    <cfRule type="beginsWith" dxfId="10828" priority="27989" operator="beginsWith" text="Stage">
      <formula>LEFT(CN131,LEN("Stage"))="Stage"</formula>
    </cfRule>
    <cfRule type="beginsWith" dxfId="10827" priority="27990" operator="beginsWith" text="Entreprise">
      <formula>LEFT(CN131,LEN("Entreprise"))="Entreprise"</formula>
    </cfRule>
    <cfRule type="beginsWith" dxfId="10826" priority="27991" operator="beginsWith" text="Voltaire">
      <formula>LEFT(CN131,LEN("Voltaire"))="Voltaire"</formula>
    </cfRule>
  </conditionalFormatting>
  <conditionalFormatting sqref="CN136">
    <cfRule type="beginsWith" dxfId="10825" priority="15554" operator="beginsWith" text="Projet professionnel : Séminaire PFI">
      <formula>LEFT(CN136,LEN("Projet professionnel : Séminaire PFI"))="Projet professionnel : Séminaire PFI"</formula>
    </cfRule>
    <cfRule type="beginsWith" dxfId="10824" priority="15555" operator="beginsWith" text="Lancement Projet fil rouge">
      <formula>LEFT(CN136,LEN("Lancement Projet fil rouge"))="Lancement Projet fil rouge"</formula>
    </cfRule>
    <cfRule type="beginsWith" dxfId="10823" priority="15556" operator="beginsWith" text="Vacances">
      <formula>LEFT(CN136,LEN("Vacances"))="Vacances"</formula>
    </cfRule>
    <cfRule type="beginsWith" dxfId="10822" priority="15557" operator="beginsWith" text="Séminaire d'intégration">
      <formula>LEFT(CN136,LEN("Séminaire d'intégration"))="Séminaire d'intégration"</formula>
    </cfRule>
    <cfRule type="beginsWith" dxfId="10821" priority="15558" operator="beginsWith" text="Accueil">
      <formula>LEFT(CN136,LEN("Accueil"))="Accueil"</formula>
    </cfRule>
    <cfRule type="beginsWith" dxfId="10820" priority="15559" operator="beginsWith" text="Stage">
      <formula>LEFT(CN136,LEN("Stage"))="Stage"</formula>
    </cfRule>
    <cfRule type="beginsWith" dxfId="10819" priority="15560" operator="beginsWith" text="Entreprise">
      <formula>LEFT(CN136,LEN("Entreprise"))="Entreprise"</formula>
    </cfRule>
    <cfRule type="beginsWith" dxfId="10818" priority="15561" operator="beginsWith" text="Voltaire">
      <formula>LEFT(CN136,LEN("Voltaire"))="Voltaire"</formula>
    </cfRule>
  </conditionalFormatting>
  <conditionalFormatting sqref="CN141">
    <cfRule type="beginsWith" dxfId="10817" priority="15546" operator="beginsWith" text="Projet professionnel : Séminaire PFI">
      <formula>LEFT(CN141,LEN("Projet professionnel : Séminaire PFI"))="Projet professionnel : Séminaire PFI"</formula>
    </cfRule>
    <cfRule type="beginsWith" dxfId="10816" priority="15547" operator="beginsWith" text="Lancement Projet fil rouge">
      <formula>LEFT(CN141,LEN("Lancement Projet fil rouge"))="Lancement Projet fil rouge"</formula>
    </cfRule>
    <cfRule type="beginsWith" dxfId="10815" priority="15548" operator="beginsWith" text="Vacances">
      <formula>LEFT(CN141,LEN("Vacances"))="Vacances"</formula>
    </cfRule>
    <cfRule type="beginsWith" dxfId="10814" priority="15549" operator="beginsWith" text="Séminaire d'intégration">
      <formula>LEFT(CN141,LEN("Séminaire d'intégration"))="Séminaire d'intégration"</formula>
    </cfRule>
    <cfRule type="beginsWith" dxfId="10813" priority="15550" operator="beginsWith" text="Accueil">
      <formula>LEFT(CN141,LEN("Accueil"))="Accueil"</formula>
    </cfRule>
    <cfRule type="beginsWith" dxfId="10812" priority="15551" operator="beginsWith" text="Stage">
      <formula>LEFT(CN141,LEN("Stage"))="Stage"</formula>
    </cfRule>
    <cfRule type="beginsWith" dxfId="10811" priority="15552" operator="beginsWith" text="Entreprise">
      <formula>LEFT(CN141,LEN("Entreprise"))="Entreprise"</formula>
    </cfRule>
    <cfRule type="beginsWith" dxfId="10810" priority="15553" operator="beginsWith" text="Voltaire">
      <formula>LEFT(CN141,LEN("Voltaire"))="Voltaire"</formula>
    </cfRule>
  </conditionalFormatting>
  <conditionalFormatting sqref="CN146">
    <cfRule type="beginsWith" dxfId="10809" priority="25336" operator="beginsWith" text="Projet professionnel : Séminaire PFI">
      <formula>LEFT(CN146,LEN("Projet professionnel : Séminaire PFI"))="Projet professionnel : Séminaire PFI"</formula>
    </cfRule>
    <cfRule type="beginsWith" dxfId="10808" priority="25337" operator="beginsWith" text="Lancement Projet fil rouge">
      <formula>LEFT(CN146,LEN("Lancement Projet fil rouge"))="Lancement Projet fil rouge"</formula>
    </cfRule>
    <cfRule type="beginsWith" dxfId="10807" priority="25338" operator="beginsWith" text="Vacances">
      <formula>LEFT(CN146,LEN("Vacances"))="Vacances"</formula>
    </cfRule>
    <cfRule type="beginsWith" dxfId="10806" priority="25339" operator="beginsWith" text="Séminaire d'intégration">
      <formula>LEFT(CN146,LEN("Séminaire d'intégration"))="Séminaire d'intégration"</formula>
    </cfRule>
    <cfRule type="beginsWith" dxfId="10805" priority="25340" operator="beginsWith" text="Accueil">
      <formula>LEFT(CN146,LEN("Accueil"))="Accueil"</formula>
    </cfRule>
    <cfRule type="beginsWith" dxfId="10804" priority="25341" operator="beginsWith" text="Stage">
      <formula>LEFT(CN146,LEN("Stage"))="Stage"</formula>
    </cfRule>
    <cfRule type="beginsWith" dxfId="10803" priority="25342" operator="beginsWith" text="Entreprise">
      <formula>LEFT(CN146,LEN("Entreprise"))="Entreprise"</formula>
    </cfRule>
    <cfRule type="beginsWith" dxfId="10802" priority="25343" operator="beginsWith" text="Voltaire">
      <formula>LEFT(CN146,LEN("Voltaire"))="Voltaire"</formula>
    </cfRule>
    <cfRule type="beginsWith" dxfId="10801" priority="25344" operator="beginsWith" text="Projet professionnel : Séminaire PFI">
      <formula>LEFT(CN146,LEN("Projet professionnel : Séminaire PFI"))="Projet professionnel : Séminaire PFI"</formula>
    </cfRule>
    <cfRule type="beginsWith" dxfId="10800" priority="25345" operator="beginsWith" text="Lancement Projet fil rouge">
      <formula>LEFT(CN146,LEN("Lancement Projet fil rouge"))="Lancement Projet fil rouge"</formula>
    </cfRule>
    <cfRule type="beginsWith" dxfId="10799" priority="25346" operator="beginsWith" text="Vacances">
      <formula>LEFT(CN146,LEN("Vacances"))="Vacances"</formula>
    </cfRule>
    <cfRule type="beginsWith" dxfId="10798" priority="25347" operator="beginsWith" text="Séminaire d'intégration">
      <formula>LEFT(CN146,LEN("Séminaire d'intégration"))="Séminaire d'intégration"</formula>
    </cfRule>
    <cfRule type="beginsWith" dxfId="10797" priority="25348" operator="beginsWith" text="Accueil">
      <formula>LEFT(CN146,LEN("Accueil"))="Accueil"</formula>
    </cfRule>
    <cfRule type="beginsWith" dxfId="10796" priority="25349" operator="beginsWith" text="Stage">
      <formula>LEFT(CN146,LEN("Stage"))="Stage"</formula>
    </cfRule>
    <cfRule type="beginsWith" dxfId="10795" priority="25350" operator="beginsWith" text="Entreprise">
      <formula>LEFT(CN146,LEN("Entreprise"))="Entreprise"</formula>
    </cfRule>
    <cfRule type="beginsWith" dxfId="10794" priority="25351" operator="beginsWith" text="Voltaire">
      <formula>LEFT(CN146,LEN("Voltaire"))="Voltaire"</formula>
    </cfRule>
  </conditionalFormatting>
  <conditionalFormatting sqref="CN156:CN169">
    <cfRule type="beginsWith" dxfId="10793" priority="15530" operator="beginsWith" text="Projet professionnel : Séminaire PFI">
      <formula>LEFT(CN156,LEN("Projet professionnel : Séminaire PFI"))="Projet professionnel : Séminaire PFI"</formula>
    </cfRule>
    <cfRule type="beginsWith" dxfId="10792" priority="15531" operator="beginsWith" text="Lancement Projet fil rouge">
      <formula>LEFT(CN156,LEN("Lancement Projet fil rouge"))="Lancement Projet fil rouge"</formula>
    </cfRule>
    <cfRule type="beginsWith" dxfId="10791" priority="15532" operator="beginsWith" text="Vacances">
      <formula>LEFT(CN156,LEN("Vacances"))="Vacances"</formula>
    </cfRule>
    <cfRule type="beginsWith" dxfId="10790" priority="15533" operator="beginsWith" text="Séminaire d'intégration">
      <formula>LEFT(CN156,LEN("Séminaire d'intégration"))="Séminaire d'intégration"</formula>
    </cfRule>
    <cfRule type="beginsWith" dxfId="10789" priority="15534" operator="beginsWith" text="Accueil">
      <formula>LEFT(CN156,LEN("Accueil"))="Accueil"</formula>
    </cfRule>
    <cfRule type="beginsWith" dxfId="10788" priority="15535" operator="beginsWith" text="Stage">
      <formula>LEFT(CN156,LEN("Stage"))="Stage"</formula>
    </cfRule>
    <cfRule type="beginsWith" dxfId="10787" priority="15536" operator="beginsWith" text="Entreprise">
      <formula>LEFT(CN156,LEN("Entreprise"))="Entreprise"</formula>
    </cfRule>
    <cfRule type="beginsWith" dxfId="10786" priority="15537" operator="beginsWith" text="Voltaire">
      <formula>LEFT(CN156,LEN("Voltaire"))="Voltaire"</formula>
    </cfRule>
  </conditionalFormatting>
  <conditionalFormatting sqref="CN163:CN165">
    <cfRule type="beginsWith" dxfId="10785" priority="28136" operator="beginsWith" text="Projet professionnel : Séminaire PFI">
      <formula>LEFT(CN163,LEN("Projet professionnel : Séminaire PFI"))="Projet professionnel : Séminaire PFI"</formula>
    </cfRule>
    <cfRule type="beginsWith" dxfId="10784" priority="28137" operator="beginsWith" text="Lancement Projet fil rouge">
      <formula>LEFT(CN163,LEN("Lancement Projet fil rouge"))="Lancement Projet fil rouge"</formula>
    </cfRule>
    <cfRule type="beginsWith" dxfId="10783" priority="28138" operator="beginsWith" text="Vacances">
      <formula>LEFT(CN163,LEN("Vacances"))="Vacances"</formula>
    </cfRule>
    <cfRule type="beginsWith" dxfId="10782" priority="28139" operator="beginsWith" text="Séminaire d'intégration">
      <formula>LEFT(CN163,LEN("Séminaire d'intégration"))="Séminaire d'intégration"</formula>
    </cfRule>
    <cfRule type="beginsWith" dxfId="10781" priority="28140" operator="beginsWith" text="Accueil">
      <formula>LEFT(CN163,LEN("Accueil"))="Accueil"</formula>
    </cfRule>
    <cfRule type="beginsWith" dxfId="10780" priority="28141" operator="beginsWith" text="Stage">
      <formula>LEFT(CN163,LEN("Stage"))="Stage"</formula>
    </cfRule>
    <cfRule type="beginsWith" dxfId="10779" priority="28142" operator="beginsWith" text="Entreprise">
      <formula>LEFT(CN163,LEN("Entreprise"))="Entreprise"</formula>
    </cfRule>
    <cfRule type="beginsWith" dxfId="10778" priority="28143" operator="beginsWith" text="Voltaire">
      <formula>LEFT(CN163,LEN("Voltaire"))="Voltaire"</formula>
    </cfRule>
  </conditionalFormatting>
  <conditionalFormatting sqref="CN166">
    <cfRule type="beginsWith" dxfId="10777" priority="28048" operator="beginsWith" text="Projet professionnel : Séminaire PFI">
      <formula>LEFT(CN166,LEN("Projet professionnel : Séminaire PFI"))="Projet professionnel : Séminaire PFI"</formula>
    </cfRule>
    <cfRule type="beginsWith" dxfId="10776" priority="28049" operator="beginsWith" text="Lancement Projet fil rouge">
      <formula>LEFT(CN166,LEN("Lancement Projet fil rouge"))="Lancement Projet fil rouge"</formula>
    </cfRule>
    <cfRule type="beginsWith" dxfId="10775" priority="28050" operator="beginsWith" text="Vacances">
      <formula>LEFT(CN166,LEN("Vacances"))="Vacances"</formula>
    </cfRule>
    <cfRule type="beginsWith" dxfId="10774" priority="28051" operator="beginsWith" text="Séminaire d'intégration">
      <formula>LEFT(CN166,LEN("Séminaire d'intégration"))="Séminaire d'intégration"</formula>
    </cfRule>
    <cfRule type="beginsWith" dxfId="10773" priority="28052" operator="beginsWith" text="Accueil">
      <formula>LEFT(CN166,LEN("Accueil"))="Accueil"</formula>
    </cfRule>
    <cfRule type="beginsWith" dxfId="10772" priority="28053" operator="beginsWith" text="Stage">
      <formula>LEFT(CN166,LEN("Stage"))="Stage"</formula>
    </cfRule>
    <cfRule type="beginsWith" dxfId="10771" priority="28054" operator="beginsWith" text="Entreprise">
      <formula>LEFT(CN166,LEN("Entreprise"))="Entreprise"</formula>
    </cfRule>
    <cfRule type="beginsWith" dxfId="10770" priority="28055" operator="beginsWith" text="Voltaire">
      <formula>LEFT(CN166,LEN("Voltaire"))="Voltaire"</formula>
    </cfRule>
  </conditionalFormatting>
  <conditionalFormatting sqref="CN170:CN175">
    <cfRule type="beginsWith" dxfId="10769" priority="15506" operator="beginsWith" text="Projet professionnel : Séminaire PFI">
      <formula>LEFT(CN170,LEN("Projet professionnel : Séminaire PFI"))="Projet professionnel : Séminaire PFI"</formula>
    </cfRule>
    <cfRule type="beginsWith" dxfId="10768" priority="15507" operator="beginsWith" text="Lancement Projet fil rouge">
      <formula>LEFT(CN170,LEN("Lancement Projet fil rouge"))="Lancement Projet fil rouge"</formula>
    </cfRule>
    <cfRule type="beginsWith" dxfId="10767" priority="15508" operator="beginsWith" text="Vacances">
      <formula>LEFT(CN170,LEN("Vacances"))="Vacances"</formula>
    </cfRule>
    <cfRule type="beginsWith" dxfId="10766" priority="15509" operator="beginsWith" text="Séminaire d'intégration">
      <formula>LEFT(CN170,LEN("Séminaire d'intégration"))="Séminaire d'intégration"</formula>
    </cfRule>
    <cfRule type="beginsWith" dxfId="10765" priority="15510" operator="beginsWith" text="Accueil">
      <formula>LEFT(CN170,LEN("Accueil"))="Accueil"</formula>
    </cfRule>
    <cfRule type="beginsWith" dxfId="10764" priority="15511" operator="beginsWith" text="Stage">
      <formula>LEFT(CN170,LEN("Stage"))="Stage"</formula>
    </cfRule>
    <cfRule type="beginsWith" dxfId="10763" priority="15512" operator="beginsWith" text="Entreprise">
      <formula>LEFT(CN170,LEN("Entreprise"))="Entreprise"</formula>
    </cfRule>
    <cfRule type="beginsWith" dxfId="10762" priority="15513" operator="beginsWith" text="Voltaire">
      <formula>LEFT(CN170,LEN("Voltaire"))="Voltaire"</formula>
    </cfRule>
  </conditionalFormatting>
  <conditionalFormatting sqref="CN176">
    <cfRule type="beginsWith" dxfId="10761" priority="15514" operator="beginsWith" text="Projet professionnel : Séminaire PFI">
      <formula>LEFT(CN176,LEN("Projet professionnel : Séminaire PFI"))="Projet professionnel : Séminaire PFI"</formula>
    </cfRule>
    <cfRule type="beginsWith" dxfId="10760" priority="15515" operator="beginsWith" text="Lancement Projet fil rouge">
      <formula>LEFT(CN176,LEN("Lancement Projet fil rouge"))="Lancement Projet fil rouge"</formula>
    </cfRule>
    <cfRule type="beginsWith" dxfId="10759" priority="15516" operator="beginsWith" text="Vacances">
      <formula>LEFT(CN176,LEN("Vacances"))="Vacances"</formula>
    </cfRule>
    <cfRule type="beginsWith" dxfId="10758" priority="15517" operator="beginsWith" text="Séminaire d'intégration">
      <formula>LEFT(CN176,LEN("Séminaire d'intégration"))="Séminaire d'intégration"</formula>
    </cfRule>
    <cfRule type="beginsWith" dxfId="10757" priority="15518" operator="beginsWith" text="Accueil">
      <formula>LEFT(CN176,LEN("Accueil"))="Accueil"</formula>
    </cfRule>
    <cfRule type="beginsWith" dxfId="10756" priority="15519" operator="beginsWith" text="Stage">
      <formula>LEFT(CN176,LEN("Stage"))="Stage"</formula>
    </cfRule>
    <cfRule type="beginsWith" dxfId="10755" priority="15520" operator="beginsWith" text="Entreprise">
      <formula>LEFT(CN176,LEN("Entreprise"))="Entreprise"</formula>
    </cfRule>
    <cfRule type="beginsWith" dxfId="10754" priority="15521" operator="beginsWith" text="Voltaire">
      <formula>LEFT(CN176,LEN("Voltaire"))="Voltaire"</formula>
    </cfRule>
  </conditionalFormatting>
  <conditionalFormatting sqref="CN181">
    <cfRule type="beginsWith" dxfId="10753" priority="15522" operator="beginsWith" text="Projet professionnel : Séminaire PFI">
      <formula>LEFT(CN181,LEN("Projet professionnel : Séminaire PFI"))="Projet professionnel : Séminaire PFI"</formula>
    </cfRule>
    <cfRule type="beginsWith" dxfId="10752" priority="15523" operator="beginsWith" text="Lancement Projet fil rouge">
      <formula>LEFT(CN181,LEN("Lancement Projet fil rouge"))="Lancement Projet fil rouge"</formula>
    </cfRule>
    <cfRule type="beginsWith" dxfId="10751" priority="15524" operator="beginsWith" text="Vacances">
      <formula>LEFT(CN181,LEN("Vacances"))="Vacances"</formula>
    </cfRule>
    <cfRule type="beginsWith" dxfId="10750" priority="15525" operator="beginsWith" text="Séminaire d'intégration">
      <formula>LEFT(CN181,LEN("Séminaire d'intégration"))="Séminaire d'intégration"</formula>
    </cfRule>
    <cfRule type="beginsWith" dxfId="10749" priority="15526" operator="beginsWith" text="Accueil">
      <formula>LEFT(CN181,LEN("Accueil"))="Accueil"</formula>
    </cfRule>
    <cfRule type="beginsWith" dxfId="10748" priority="15527" operator="beginsWith" text="Stage">
      <formula>LEFT(CN181,LEN("Stage"))="Stage"</formula>
    </cfRule>
    <cfRule type="beginsWith" dxfId="10747" priority="15528" operator="beginsWith" text="Entreprise">
      <formula>LEFT(CN181,LEN("Entreprise"))="Entreprise"</formula>
    </cfRule>
    <cfRule type="beginsWith" dxfId="10746" priority="15529" operator="beginsWith" text="Voltaire">
      <formula>LEFT(CN181,LEN("Voltaire"))="Voltaire"</formula>
    </cfRule>
  </conditionalFormatting>
  <conditionalFormatting sqref="CN195:CN199">
    <cfRule type="beginsWith" dxfId="10745" priority="15490" operator="beginsWith" text="Projet professionnel : Séminaire PFI">
      <formula>LEFT(CN195,LEN("Projet professionnel : Séminaire PFI"))="Projet professionnel : Séminaire PFI"</formula>
    </cfRule>
    <cfRule type="beginsWith" dxfId="10744" priority="15491" operator="beginsWith" text="Lancement Projet fil rouge">
      <formula>LEFT(CN195,LEN("Lancement Projet fil rouge"))="Lancement Projet fil rouge"</formula>
    </cfRule>
    <cfRule type="beginsWith" dxfId="10743" priority="15492" operator="beginsWith" text="Vacances">
      <formula>LEFT(CN195,LEN("Vacances"))="Vacances"</formula>
    </cfRule>
    <cfRule type="beginsWith" dxfId="10742" priority="15493" operator="beginsWith" text="Séminaire d'intégration">
      <formula>LEFT(CN195,LEN("Séminaire d'intégration"))="Séminaire d'intégration"</formula>
    </cfRule>
    <cfRule type="beginsWith" dxfId="10741" priority="15494" operator="beginsWith" text="Accueil">
      <formula>LEFT(CN195,LEN("Accueil"))="Accueil"</formula>
    </cfRule>
    <cfRule type="beginsWith" dxfId="10740" priority="15495" operator="beginsWith" text="Stage">
      <formula>LEFT(CN195,LEN("Stage"))="Stage"</formula>
    </cfRule>
    <cfRule type="beginsWith" dxfId="10739" priority="15496" operator="beginsWith" text="Entreprise">
      <formula>LEFT(CN195,LEN("Entreprise"))="Entreprise"</formula>
    </cfRule>
    <cfRule type="beginsWith" dxfId="10738" priority="15497" operator="beginsWith" text="Voltaire">
      <formula>LEFT(CN195,LEN("Voltaire"))="Voltaire"</formula>
    </cfRule>
  </conditionalFormatting>
  <conditionalFormatting sqref="CN200:CN204">
    <cfRule type="beginsWith" dxfId="10737" priority="28176" operator="beginsWith" text="Projet professionnel : Séminaire PFI">
      <formula>LEFT(CN200,LEN("Projet professionnel : Séminaire PFI"))="Projet professionnel : Séminaire PFI"</formula>
    </cfRule>
    <cfRule type="beginsWith" dxfId="10736" priority="28177" operator="beginsWith" text="Lancement Projet fil rouge">
      <formula>LEFT(CN200,LEN("Lancement Projet fil rouge"))="Lancement Projet fil rouge"</formula>
    </cfRule>
    <cfRule type="beginsWith" dxfId="10735" priority="28178" operator="beginsWith" text="Vacances">
      <formula>LEFT(CN200,LEN("Vacances"))="Vacances"</formula>
    </cfRule>
    <cfRule type="beginsWith" dxfId="10734" priority="28179" operator="beginsWith" text="Séminaire d'intégration">
      <formula>LEFT(CN200,LEN("Séminaire d'intégration"))="Séminaire d'intégration"</formula>
    </cfRule>
    <cfRule type="beginsWith" dxfId="10733" priority="28180" operator="beginsWith" text="Accueil">
      <formula>LEFT(CN200,LEN("Accueil"))="Accueil"</formula>
    </cfRule>
    <cfRule type="beginsWith" dxfId="10732" priority="28181" operator="beginsWith" text="Stage">
      <formula>LEFT(CN200,LEN("Stage"))="Stage"</formula>
    </cfRule>
    <cfRule type="beginsWith" dxfId="10731" priority="28182" operator="beginsWith" text="Entreprise">
      <formula>LEFT(CN200,LEN("Entreprise"))="Entreprise"</formula>
    </cfRule>
    <cfRule type="beginsWith" dxfId="10730" priority="28183" operator="beginsWith" text="Voltaire">
      <formula>LEFT(CN200,LEN("Voltaire"))="Voltaire"</formula>
    </cfRule>
  </conditionalFormatting>
  <conditionalFormatting sqref="CN205:CN221">
    <cfRule type="beginsWith" dxfId="10729" priority="28000" operator="beginsWith" text="Projet professionnel : Séminaire PFI">
      <formula>LEFT(CN205,LEN("Projet professionnel : Séminaire PFI"))="Projet professionnel : Séminaire PFI"</formula>
    </cfRule>
    <cfRule type="beginsWith" dxfId="10728" priority="28001" operator="beginsWith" text="Lancement Projet fil rouge">
      <formula>LEFT(CN205,LEN("Lancement Projet fil rouge"))="Lancement Projet fil rouge"</formula>
    </cfRule>
    <cfRule type="beginsWith" dxfId="10727" priority="28002" operator="beginsWith" text="Vacances">
      <formula>LEFT(CN205,LEN("Vacances"))="Vacances"</formula>
    </cfRule>
    <cfRule type="beginsWith" dxfId="10726" priority="28003" operator="beginsWith" text="Séminaire d'intégration">
      <formula>LEFT(CN205,LEN("Séminaire d'intégration"))="Séminaire d'intégration"</formula>
    </cfRule>
    <cfRule type="beginsWith" dxfId="10725" priority="28004" operator="beginsWith" text="Accueil">
      <formula>LEFT(CN205,LEN("Accueil"))="Accueil"</formula>
    </cfRule>
    <cfRule type="beginsWith" dxfId="10724" priority="28005" operator="beginsWith" text="Stage">
      <formula>LEFT(CN205,LEN("Stage"))="Stage"</formula>
    </cfRule>
    <cfRule type="beginsWith" dxfId="10723" priority="28006" operator="beginsWith" text="Entreprise">
      <formula>LEFT(CN205,LEN("Entreprise"))="Entreprise"</formula>
    </cfRule>
    <cfRule type="beginsWith" dxfId="10722" priority="28007" operator="beginsWith" text="Voltaire">
      <formula>LEFT(CN205,LEN("Voltaire"))="Voltaire"</formula>
    </cfRule>
  </conditionalFormatting>
  <conditionalFormatting sqref="CN241">
    <cfRule type="beginsWith" dxfId="10721" priority="28104" operator="beginsWith" text="Projet professionnel : Séminaire PFI">
      <formula>LEFT(CN241,LEN("Projet professionnel : Séminaire PFI"))="Projet professionnel : Séminaire PFI"</formula>
    </cfRule>
    <cfRule type="beginsWith" dxfId="10720" priority="28105" operator="beginsWith" text="Lancement Projet fil rouge">
      <formula>LEFT(CN241,LEN("Lancement Projet fil rouge"))="Lancement Projet fil rouge"</formula>
    </cfRule>
    <cfRule type="beginsWith" dxfId="10719" priority="28106" operator="beginsWith" text="Vacances">
      <formula>LEFT(CN241,LEN("Vacances"))="Vacances"</formula>
    </cfRule>
    <cfRule type="beginsWith" dxfId="10718" priority="28107" operator="beginsWith" text="Séminaire d'intégration">
      <formula>LEFT(CN241,LEN("Séminaire d'intégration"))="Séminaire d'intégration"</formula>
    </cfRule>
    <cfRule type="beginsWith" dxfId="10717" priority="28108" operator="beginsWith" text="Accueil">
      <formula>LEFT(CN241,LEN("Accueil"))="Accueil"</formula>
    </cfRule>
    <cfRule type="beginsWith" dxfId="10716" priority="28109" operator="beginsWith" text="Stage">
      <formula>LEFT(CN241,LEN("Stage"))="Stage"</formula>
    </cfRule>
    <cfRule type="beginsWith" dxfId="10715" priority="28110" operator="beginsWith" text="Entreprise">
      <formula>LEFT(CN241,LEN("Entreprise"))="Entreprise"</formula>
    </cfRule>
    <cfRule type="beginsWith" dxfId="10714" priority="28111" operator="beginsWith" text="Voltaire">
      <formula>LEFT(CN241,LEN("Voltaire"))="Voltaire"</formula>
    </cfRule>
    <cfRule type="beginsWith" dxfId="10713" priority="28112" operator="beginsWith" text="Projet professionnel : Séminaire PFI">
      <formula>LEFT(CN241,LEN("Projet professionnel : Séminaire PFI"))="Projet professionnel : Séminaire PFI"</formula>
    </cfRule>
    <cfRule type="beginsWith" dxfId="10712" priority="28113" operator="beginsWith" text="Lancement Projet fil rouge">
      <formula>LEFT(CN241,LEN("Lancement Projet fil rouge"))="Lancement Projet fil rouge"</formula>
    </cfRule>
    <cfRule type="beginsWith" dxfId="10711" priority="28114" operator="beginsWith" text="Vacances">
      <formula>LEFT(CN241,LEN("Vacances"))="Vacances"</formula>
    </cfRule>
    <cfRule type="beginsWith" dxfId="10710" priority="28115" operator="beginsWith" text="Séminaire d'intégration">
      <formula>LEFT(CN241,LEN("Séminaire d'intégration"))="Séminaire d'intégration"</formula>
    </cfRule>
    <cfRule type="beginsWith" dxfId="10709" priority="28116" operator="beginsWith" text="Accueil">
      <formula>LEFT(CN241,LEN("Accueil"))="Accueil"</formula>
    </cfRule>
    <cfRule type="beginsWith" dxfId="10708" priority="28117" operator="beginsWith" text="Stage">
      <formula>LEFT(CN241,LEN("Stage"))="Stage"</formula>
    </cfRule>
    <cfRule type="beginsWith" dxfId="10707" priority="28118" operator="beginsWith" text="Entreprise">
      <formula>LEFT(CN241,LEN("Entreprise"))="Entreprise"</formula>
    </cfRule>
    <cfRule type="beginsWith" dxfId="10706" priority="28119" operator="beginsWith" text="Voltaire">
      <formula>LEFT(CN241,LEN("Voltaire"))="Voltaire"</formula>
    </cfRule>
  </conditionalFormatting>
  <conditionalFormatting sqref="CN250:CN251">
    <cfRule type="beginsWith" dxfId="10705" priority="28168" operator="beginsWith" text="Projet professionnel : Séminaire PFI">
      <formula>LEFT(CN250,LEN("Projet professionnel : Séminaire PFI"))="Projet professionnel : Séminaire PFI"</formula>
    </cfRule>
    <cfRule type="beginsWith" dxfId="10704" priority="28169" operator="beginsWith" text="Lancement Projet fil rouge">
      <formula>LEFT(CN250,LEN("Lancement Projet fil rouge"))="Lancement Projet fil rouge"</formula>
    </cfRule>
    <cfRule type="beginsWith" dxfId="10703" priority="28170" operator="beginsWith" text="Vacances">
      <formula>LEFT(CN250,LEN("Vacances"))="Vacances"</formula>
    </cfRule>
    <cfRule type="beginsWith" dxfId="10702" priority="28171" operator="beginsWith" text="Séminaire d'intégration">
      <formula>LEFT(CN250,LEN("Séminaire d'intégration"))="Séminaire d'intégration"</formula>
    </cfRule>
    <cfRule type="beginsWith" dxfId="10701" priority="28172" operator="beginsWith" text="Accueil">
      <formula>LEFT(CN250,LEN("Accueil"))="Accueil"</formula>
    </cfRule>
    <cfRule type="beginsWith" dxfId="10700" priority="28173" operator="beginsWith" text="Stage">
      <formula>LEFT(CN250,LEN("Stage"))="Stage"</formula>
    </cfRule>
    <cfRule type="beginsWith" dxfId="10699" priority="28174" operator="beginsWith" text="Entreprise">
      <formula>LEFT(CN250,LEN("Entreprise"))="Entreprise"</formula>
    </cfRule>
    <cfRule type="beginsWith" dxfId="10698" priority="28175" operator="beginsWith" text="Voltaire">
      <formula>LEFT(CN250,LEN("Voltaire"))="Voltaire"</formula>
    </cfRule>
  </conditionalFormatting>
  <conditionalFormatting sqref="CO41">
    <cfRule type="beginsWith" dxfId="10697" priority="19328" operator="beginsWith" text="Lancement Projet fil rouge">
      <formula>LEFT(CO41,LEN("Lancement Projet fil rouge"))="Lancement Projet fil rouge"</formula>
    </cfRule>
    <cfRule type="beginsWith" dxfId="10696" priority="19329" operator="beginsWith" text="Vacances">
      <formula>LEFT(CO41,LEN("Vacances"))="Vacances"</formula>
    </cfRule>
    <cfRule type="beginsWith" dxfId="10695" priority="19330" operator="beginsWith" text="Séminaire d'intégration">
      <formula>LEFT(CO41,LEN("Séminaire d'intégration"))="Séminaire d'intégration"</formula>
    </cfRule>
    <cfRule type="beginsWith" dxfId="10694" priority="19331" operator="beginsWith" text="Accueil">
      <formula>LEFT(CO41,LEN("Accueil"))="Accueil"</formula>
    </cfRule>
    <cfRule type="beginsWith" dxfId="10693" priority="19332" operator="beginsWith" text="Stage">
      <formula>LEFT(CO41,LEN("Stage"))="Stage"</formula>
    </cfRule>
    <cfRule type="beginsWith" dxfId="10692" priority="19333" operator="beginsWith" text="Entreprise">
      <formula>LEFT(CO41,LEN("Entreprise"))="Entreprise"</formula>
    </cfRule>
    <cfRule type="beginsWith" dxfId="10691" priority="19334" operator="beginsWith" text="Voltaire">
      <formula>LEFT(CO41,LEN("Voltaire"))="Voltaire"</formula>
    </cfRule>
  </conditionalFormatting>
  <conditionalFormatting sqref="CO111">
    <cfRule type="beginsWith" dxfId="10690" priority="19321" operator="beginsWith" text="Lancement Projet fil rouge">
      <formula>LEFT(CO111,LEN("Lancement Projet fil rouge"))="Lancement Projet fil rouge"</formula>
    </cfRule>
    <cfRule type="beginsWith" dxfId="10689" priority="19322" operator="beginsWith" text="Vacances">
      <formula>LEFT(CO111,LEN("Vacances"))="Vacances"</formula>
    </cfRule>
    <cfRule type="beginsWith" dxfId="10688" priority="19323" operator="beginsWith" text="Séminaire d'intégration">
      <formula>LEFT(CO111,LEN("Séminaire d'intégration"))="Séminaire d'intégration"</formula>
    </cfRule>
    <cfRule type="beginsWith" dxfId="10687" priority="19324" operator="beginsWith" text="Accueil">
      <formula>LEFT(CO111,LEN("Accueil"))="Accueil"</formula>
    </cfRule>
    <cfRule type="beginsWith" dxfId="10686" priority="19325" operator="beginsWith" text="Stage">
      <formula>LEFT(CO111,LEN("Stage"))="Stage"</formula>
    </cfRule>
    <cfRule type="beginsWith" dxfId="10685" priority="19326" operator="beginsWith" text="Entreprise">
      <formula>LEFT(CO111,LEN("Entreprise"))="Entreprise"</formula>
    </cfRule>
    <cfRule type="beginsWith" dxfId="10684" priority="19327" operator="beginsWith" text="Voltaire">
      <formula>LEFT(CO111,LEN("Voltaire"))="Voltaire"</formula>
    </cfRule>
  </conditionalFormatting>
  <conditionalFormatting sqref="CO161">
    <cfRule type="beginsWith" dxfId="10683" priority="15943" operator="beginsWith" text="Lancement Projet fil rouge">
      <formula>LEFT(CO161,LEN("Lancement Projet fil rouge"))="Lancement Projet fil rouge"</formula>
    </cfRule>
    <cfRule type="beginsWith" dxfId="10682" priority="15944" operator="beginsWith" text="Vacances">
      <formula>LEFT(CO161,LEN("Vacances"))="Vacances"</formula>
    </cfRule>
    <cfRule type="beginsWith" dxfId="10681" priority="15945" operator="beginsWith" text="Séminaire d'intégration">
      <formula>LEFT(CO161,LEN("Séminaire d'intégration"))="Séminaire d'intégration"</formula>
    </cfRule>
    <cfRule type="beginsWith" dxfId="10680" priority="15946" operator="beginsWith" text="Accueil">
      <formula>LEFT(CO161,LEN("Accueil"))="Accueil"</formula>
    </cfRule>
    <cfRule type="beginsWith" dxfId="10679" priority="15947" operator="beginsWith" text="Stage">
      <formula>LEFT(CO161,LEN("Stage"))="Stage"</formula>
    </cfRule>
    <cfRule type="beginsWith" dxfId="10678" priority="15948" operator="beginsWith" text="Entreprise">
      <formula>LEFT(CO161,LEN("Entreprise"))="Entreprise"</formula>
    </cfRule>
    <cfRule type="beginsWith" dxfId="10677" priority="15949" operator="beginsWith" text="Voltaire">
      <formula>LEFT(CO161,LEN("Voltaire"))="Voltaire"</formula>
    </cfRule>
  </conditionalFormatting>
  <conditionalFormatting sqref="CO211:CO215">
    <cfRule type="beginsWith" dxfId="10676" priority="19316" operator="beginsWith" text="Séminaire d'intégration">
      <formula>LEFT(CO211,LEN("Séminaire d'intégration"))="Séminaire d'intégration"</formula>
    </cfRule>
    <cfRule type="beginsWith" dxfId="10675" priority="19317" operator="beginsWith" text="Accueil">
      <formula>LEFT(CO211,LEN("Accueil"))="Accueil"</formula>
    </cfRule>
    <cfRule type="beginsWith" dxfId="10674" priority="19318" operator="beginsWith" text="Stage">
      <formula>LEFT(CO211,LEN("Stage"))="Stage"</formula>
    </cfRule>
    <cfRule type="beginsWith" dxfId="10673" priority="19319" operator="beginsWith" text="Entreprise">
      <formula>LEFT(CO211,LEN("Entreprise"))="Entreprise"</formula>
    </cfRule>
    <cfRule type="beginsWith" dxfId="10672" priority="19320" operator="beginsWith" text="Voltaire">
      <formula>LEFT(CO211,LEN("Voltaire"))="Voltaire"</formula>
    </cfRule>
  </conditionalFormatting>
  <conditionalFormatting sqref="CO216">
    <cfRule type="beginsWith" dxfId="10671" priority="19309" operator="beginsWith" text="Lancement Projet fil rouge">
      <formula>LEFT(CO216,LEN("Lancement Projet fil rouge"))="Lancement Projet fil rouge"</formula>
    </cfRule>
    <cfRule type="beginsWith" dxfId="10670" priority="19310" operator="beginsWith" text="Vacances">
      <formula>LEFT(CO216,LEN("Vacances"))="Vacances"</formula>
    </cfRule>
    <cfRule type="beginsWith" dxfId="10669" priority="19311" operator="beginsWith" text="Séminaire d'intégration">
      <formula>LEFT(CO216,LEN("Séminaire d'intégration"))="Séminaire d'intégration"</formula>
    </cfRule>
    <cfRule type="beginsWith" dxfId="10668" priority="19312" operator="beginsWith" text="Accueil">
      <formula>LEFT(CO216,LEN("Accueil"))="Accueil"</formula>
    </cfRule>
    <cfRule type="beginsWith" dxfId="10667" priority="19313" operator="beginsWith" text="Stage">
      <formula>LEFT(CO216,LEN("Stage"))="Stage"</formula>
    </cfRule>
    <cfRule type="beginsWith" dxfId="10666" priority="19314" operator="beginsWith" text="Entreprise">
      <formula>LEFT(CO216,LEN("Entreprise"))="Entreprise"</formula>
    </cfRule>
    <cfRule type="beginsWith" dxfId="10665" priority="19315" operator="beginsWith" text="Voltaire">
      <formula>LEFT(CO216,LEN("Voltaire"))="Voltaire"</formula>
    </cfRule>
  </conditionalFormatting>
  <conditionalFormatting sqref="CP96:CP105">
    <cfRule type="beginsWith" dxfId="10664" priority="19944" operator="beginsWith" text="Lancement Projet fil rouge">
      <formula>LEFT(CP96,LEN("Lancement Projet fil rouge"))="Lancement Projet fil rouge"</formula>
    </cfRule>
    <cfRule type="beginsWith" dxfId="10663" priority="19945" operator="beginsWith" text="Vacances">
      <formula>LEFT(CP96,LEN("Vacances"))="Vacances"</formula>
    </cfRule>
    <cfRule type="beginsWith" dxfId="10662" priority="19946" operator="beginsWith" text="Séminaire d'intégration">
      <formula>LEFT(CP96,LEN("Séminaire d'intégration"))="Séminaire d'intégration"</formula>
    </cfRule>
    <cfRule type="beginsWith" dxfId="10661" priority="19947" operator="beginsWith" text="Accueil">
      <formula>LEFT(CP96,LEN("Accueil"))="Accueil"</formula>
    </cfRule>
    <cfRule type="beginsWith" dxfId="10660" priority="19948" operator="beginsWith" text="Stage">
      <formula>LEFT(CP96,LEN("Stage"))="Stage"</formula>
    </cfRule>
    <cfRule type="beginsWith" dxfId="10659" priority="19949" operator="beginsWith" text="Entreprise">
      <formula>LEFT(CP96,LEN("Entreprise"))="Entreprise"</formula>
    </cfRule>
    <cfRule type="beginsWith" dxfId="10658" priority="19950" operator="beginsWith" text="Voltaire">
      <formula>LEFT(CP96,LEN("Voltaire"))="Voltaire"</formula>
    </cfRule>
  </conditionalFormatting>
  <conditionalFormatting sqref="CP156">
    <cfRule type="beginsWith" dxfId="10657" priority="19282" operator="beginsWith" text="Lancement Projet fil rouge">
      <formula>LEFT(CP156,LEN("Lancement Projet fil rouge"))="Lancement Projet fil rouge"</formula>
    </cfRule>
    <cfRule type="beginsWith" dxfId="10656" priority="19283" operator="beginsWith" text="Vacances">
      <formula>LEFT(CP156,LEN("Vacances"))="Vacances"</formula>
    </cfRule>
    <cfRule type="beginsWith" dxfId="10655" priority="19284" operator="beginsWith" text="Séminaire d'intégration">
      <formula>LEFT(CP156,LEN("Séminaire d'intégration"))="Séminaire d'intégration"</formula>
    </cfRule>
    <cfRule type="beginsWith" dxfId="10654" priority="19285" operator="beginsWith" text="Accueil">
      <formula>LEFT(CP156,LEN("Accueil"))="Accueil"</formula>
    </cfRule>
    <cfRule type="beginsWith" dxfId="10653" priority="19286" operator="beginsWith" text="Stage">
      <formula>LEFT(CP156,LEN("Stage"))="Stage"</formula>
    </cfRule>
    <cfRule type="beginsWith" dxfId="10652" priority="19287" operator="beginsWith" text="Entreprise">
      <formula>LEFT(CP156,LEN("Entreprise"))="Entreprise"</formula>
    </cfRule>
    <cfRule type="beginsWith" dxfId="10651" priority="19288" operator="beginsWith" text="Voltaire">
      <formula>LEFT(CP156,LEN("Voltaire"))="Voltaire"</formula>
    </cfRule>
  </conditionalFormatting>
  <conditionalFormatting sqref="CP161">
    <cfRule type="beginsWith" dxfId="10650" priority="10472" operator="beginsWith" text="Lancement Projet fil rouge">
      <formula>LEFT(CP161,LEN("Lancement Projet fil rouge"))="Lancement Projet fil rouge"</formula>
    </cfRule>
    <cfRule type="beginsWith" dxfId="10649" priority="10473" operator="beginsWith" text="Vacances">
      <formula>LEFT(CP161,LEN("Vacances"))="Vacances"</formula>
    </cfRule>
    <cfRule type="beginsWith" dxfId="10648" priority="10474" operator="beginsWith" text="Séminaire d'intégration">
      <formula>LEFT(CP161,LEN("Séminaire d'intégration"))="Séminaire d'intégration"</formula>
    </cfRule>
    <cfRule type="beginsWith" dxfId="10647" priority="10475" operator="beginsWith" text="Accueil">
      <formula>LEFT(CP161,LEN("Accueil"))="Accueil"</formula>
    </cfRule>
    <cfRule type="beginsWith" dxfId="10646" priority="10476" operator="beginsWith" text="Stage">
      <formula>LEFT(CP161,LEN("Stage"))="Stage"</formula>
    </cfRule>
    <cfRule type="beginsWith" dxfId="10645" priority="10477" operator="beginsWith" text="Entreprise">
      <formula>LEFT(CP161,LEN("Entreprise"))="Entreprise"</formula>
    </cfRule>
    <cfRule type="beginsWith" dxfId="10644" priority="10478" operator="beginsWith" text="Voltaire">
      <formula>LEFT(CP161,LEN("Voltaire"))="Voltaire"</formula>
    </cfRule>
  </conditionalFormatting>
  <conditionalFormatting sqref="CQ96:CR105">
    <cfRule type="beginsWith" dxfId="10643" priority="19951" operator="beginsWith" text="Lancement Projet fil rouge">
      <formula>LEFT(CQ96,LEN("Lancement Projet fil rouge"))="Lancement Projet fil rouge"</formula>
    </cfRule>
    <cfRule type="beginsWith" dxfId="10642" priority="19952" operator="beginsWith" text="Vacances">
      <formula>LEFT(CQ96,LEN("Vacances"))="Vacances"</formula>
    </cfRule>
    <cfRule type="beginsWith" dxfId="10641" priority="19953" operator="beginsWith" text="Séminaire d'intégration">
      <formula>LEFT(CQ96,LEN("Séminaire d'intégration"))="Séminaire d'intégration"</formula>
    </cfRule>
    <cfRule type="beginsWith" dxfId="10640" priority="19954" operator="beginsWith" text="Accueil">
      <formula>LEFT(CQ96,LEN("Accueil"))="Accueil"</formula>
    </cfRule>
    <cfRule type="beginsWith" dxfId="10639" priority="19955" operator="beginsWith" text="TOPHYC">
      <formula>LEFT(CQ96,LEN("TOPHYC"))="TOPHYC"</formula>
    </cfRule>
    <cfRule type="beginsWith" dxfId="10638" priority="19956" operator="beginsWith" text="Global Exam">
      <formula>LEFT(CQ96,LEN("Global Exam"))="Global Exam"</formula>
    </cfRule>
    <cfRule type="beginsWith" dxfId="10637" priority="19957" operator="beginsWith" text="Stage">
      <formula>LEFT(CQ96,LEN("Stage"))="Stage"</formula>
    </cfRule>
    <cfRule type="beginsWith" dxfId="10636" priority="19958" operator="beginsWith" text="Entreprise">
      <formula>LEFT(CQ96,LEN("Entreprise"))="Entreprise"</formula>
    </cfRule>
    <cfRule type="beginsWith" dxfId="10635" priority="19959" operator="beginsWith" text="TOMIC">
      <formula>LEFT(CQ96,LEN("TOMIC"))="TOMIC"</formula>
    </cfRule>
    <cfRule type="beginsWith" dxfId="10634" priority="19960" operator="beginsWith" text="Voltaire">
      <formula>LEFT(CQ96,LEN("Voltaire"))="Voltaire"</formula>
    </cfRule>
  </conditionalFormatting>
  <conditionalFormatting sqref="CR172:CR175">
    <cfRule type="beginsWith" dxfId="10633" priority="19289" operator="beginsWith" text="Lancement Projet fil rouge">
      <formula>LEFT(CR172,LEN("Lancement Projet fil rouge"))="Lancement Projet fil rouge"</formula>
    </cfRule>
    <cfRule type="beginsWith" dxfId="10632" priority="19290" operator="beginsWith" text="Vacances">
      <formula>LEFT(CR172,LEN("Vacances"))="Vacances"</formula>
    </cfRule>
    <cfRule type="beginsWith" dxfId="10631" priority="19291" operator="beginsWith" text="Séminaire d'intégration">
      <formula>LEFT(CR172,LEN("Séminaire d'intégration"))="Séminaire d'intégration"</formula>
    </cfRule>
    <cfRule type="beginsWith" dxfId="10630" priority="19292" operator="beginsWith" text="Accueil">
      <formula>LEFT(CR172,LEN("Accueil"))="Accueil"</formula>
    </cfRule>
    <cfRule type="beginsWith" dxfId="10629" priority="19293" operator="beginsWith" text="TOPHYC">
      <formula>LEFT(CR172,LEN("TOPHYC"))="TOPHYC"</formula>
    </cfRule>
    <cfRule type="beginsWith" dxfId="10628" priority="19294" operator="beginsWith" text="Global Exam">
      <formula>LEFT(CR172,LEN("Global Exam"))="Global Exam"</formula>
    </cfRule>
    <cfRule type="beginsWith" dxfId="10627" priority="19295" operator="beginsWith" text="Stage">
      <formula>LEFT(CR172,LEN("Stage"))="Stage"</formula>
    </cfRule>
    <cfRule type="beginsWith" dxfId="10626" priority="19296" operator="beginsWith" text="Entreprise">
      <formula>LEFT(CR172,LEN("Entreprise"))="Entreprise"</formula>
    </cfRule>
    <cfRule type="beginsWith" dxfId="10625" priority="19297" operator="beginsWith" text="TOMIC">
      <formula>LEFT(CR172,LEN("TOMIC"))="TOMIC"</formula>
    </cfRule>
    <cfRule type="beginsWith" dxfId="10624" priority="19298" operator="beginsWith" text="Voltaire">
      <formula>LEFT(CR172,LEN("Voltaire"))="Voltaire"</formula>
    </cfRule>
  </conditionalFormatting>
  <conditionalFormatting sqref="CR176:CR180">
    <cfRule type="beginsWith" dxfId="10623" priority="12261" operator="beginsWith" text="Lancement Projet fil rouge">
      <formula>LEFT(CR176,LEN("Lancement Projet fil rouge"))="Lancement Projet fil rouge"</formula>
    </cfRule>
    <cfRule type="beginsWith" dxfId="10622" priority="12262" operator="beginsWith" text="Vacances">
      <formula>LEFT(CR176,LEN("Vacances"))="Vacances"</formula>
    </cfRule>
    <cfRule type="beginsWith" dxfId="10621" priority="12263" operator="beginsWith" text="Séminaire d'intégration">
      <formula>LEFT(CR176,LEN("Séminaire d'intégration"))="Séminaire d'intégration"</formula>
    </cfRule>
    <cfRule type="beginsWith" dxfId="10620" priority="12264" operator="beginsWith" text="Accueil">
      <formula>LEFT(CR176,LEN("Accueil"))="Accueil"</formula>
    </cfRule>
    <cfRule type="beginsWith" dxfId="10619" priority="12265" operator="beginsWith" text="TOPHYC">
      <formula>LEFT(CR176,LEN("TOPHYC"))="TOPHYC"</formula>
    </cfRule>
    <cfRule type="beginsWith" dxfId="10618" priority="12266" operator="beginsWith" text="Global Exam">
      <formula>LEFT(CR176,LEN("Global Exam"))="Global Exam"</formula>
    </cfRule>
    <cfRule type="beginsWith" dxfId="10617" priority="12267" operator="beginsWith" text="Stage">
      <formula>LEFT(CR176,LEN("Stage"))="Stage"</formula>
    </cfRule>
    <cfRule type="beginsWith" dxfId="10616" priority="12268" operator="beginsWith" text="Entreprise">
      <formula>LEFT(CR176,LEN("Entreprise"))="Entreprise"</formula>
    </cfRule>
    <cfRule type="beginsWith" dxfId="10615" priority="12269" operator="beginsWith" text="TOMIC">
      <formula>LEFT(CR176,LEN("TOMIC"))="TOMIC"</formula>
    </cfRule>
    <cfRule type="beginsWith" dxfId="10614" priority="12270" operator="beginsWith" text="Voltaire">
      <formula>LEFT(CR176,LEN("Voltaire"))="Voltaire"</formula>
    </cfRule>
  </conditionalFormatting>
  <conditionalFormatting sqref="CT1:CT2 CT5 CT47:CT56">
    <cfRule type="beginsWith" dxfId="10613" priority="27929" operator="beginsWith" text="Projet professionnel : Séminaire PFI">
      <formula>LEFT(CT1,LEN("Projet professionnel : Séminaire PFI"))="Projet professionnel : Séminaire PFI"</formula>
    </cfRule>
    <cfRule type="beginsWith" dxfId="10612" priority="27930" operator="beginsWith" text="Lancement Projet fil rouge">
      <formula>LEFT(CT1,LEN("Lancement Projet fil rouge"))="Lancement Projet fil rouge"</formula>
    </cfRule>
    <cfRule type="beginsWith" dxfId="10611" priority="27931" operator="beginsWith" text="Vacances">
      <formula>LEFT(CT1,LEN("Vacances"))="Vacances"</formula>
    </cfRule>
    <cfRule type="beginsWith" dxfId="10610" priority="27932" operator="beginsWith" text="Séminaire d'intégration">
      <formula>LEFT(CT1,LEN("Séminaire d'intégration"))="Séminaire d'intégration"</formula>
    </cfRule>
    <cfRule type="beginsWith" dxfId="10609" priority="27933" operator="beginsWith" text="Accueil">
      <formula>LEFT(CT1,LEN("Accueil"))="Accueil"</formula>
    </cfRule>
    <cfRule type="beginsWith" dxfId="10608" priority="27934" operator="beginsWith" text="Stage">
      <formula>LEFT(CT1,LEN("Stage"))="Stage"</formula>
    </cfRule>
    <cfRule type="beginsWith" dxfId="10607" priority="27935" operator="beginsWith" text="Entreprise">
      <formula>LEFT(CT1,LEN("Entreprise"))="Entreprise"</formula>
    </cfRule>
    <cfRule type="beginsWith" dxfId="10606" priority="27936" operator="beginsWith" text="Voltaire">
      <formula>LEFT(CT1,LEN("Voltaire"))="Voltaire"</formula>
    </cfRule>
  </conditionalFormatting>
  <conditionalFormatting sqref="CT3">
    <cfRule type="beginsWith" dxfId="10605" priority="27570" operator="beginsWith" text="Lancement Projet fil rouge">
      <formula>LEFT(CT3,LEN("Lancement Projet fil rouge"))="Lancement Projet fil rouge"</formula>
    </cfRule>
    <cfRule type="beginsWith" dxfId="10604" priority="27571" operator="beginsWith" text="Vacances">
      <formula>LEFT(CT3,LEN("Vacances"))="Vacances"</formula>
    </cfRule>
    <cfRule type="beginsWith" dxfId="10603" priority="27572" operator="beginsWith" text="Séminaire d'intégration">
      <formula>LEFT(CT3,LEN("Séminaire d'intégration"))="Séminaire d'intégration"</formula>
    </cfRule>
    <cfRule type="beginsWith" dxfId="10602" priority="27573" operator="beginsWith" text="Accueil">
      <formula>LEFT(CT3,LEN("Accueil"))="Accueil"</formula>
    </cfRule>
    <cfRule type="beginsWith" dxfId="10601" priority="27574" operator="beginsWith" text="Stage">
      <formula>LEFT(CT3,LEN("Stage"))="Stage"</formula>
    </cfRule>
    <cfRule type="beginsWith" dxfId="10600" priority="27575" operator="beginsWith" text="Entreprise">
      <formula>LEFT(CT3,LEN("Entreprise"))="Entreprise"</formula>
    </cfRule>
    <cfRule type="beginsWith" dxfId="10599" priority="27576" operator="beginsWith" text="Voltaire">
      <formula>LEFT(CT3,LEN("Voltaire"))="Voltaire"</formula>
    </cfRule>
  </conditionalFormatting>
  <conditionalFormatting sqref="CT6">
    <cfRule type="beginsWith" dxfId="10598" priority="18172" operator="beginsWith" text="Projet professionnel : Séminaire PFI">
      <formula>LEFT(CT6,LEN("Projet professionnel : Séminaire PFI"))="Projet professionnel : Séminaire PFI"</formula>
    </cfRule>
    <cfRule type="beginsWith" dxfId="10597" priority="18173" operator="beginsWith" text="Lancement Projet fil rouge">
      <formula>LEFT(CT6,LEN("Lancement Projet fil rouge"))="Lancement Projet fil rouge"</formula>
    </cfRule>
    <cfRule type="beginsWith" dxfId="10596" priority="18174" operator="beginsWith" text="Vacances">
      <formula>LEFT(CT6,LEN("Vacances"))="Vacances"</formula>
    </cfRule>
    <cfRule type="beginsWith" dxfId="10595" priority="18175" operator="beginsWith" text="Séminaire d'intégration">
      <formula>LEFT(CT6,LEN("Séminaire d'intégration"))="Séminaire d'intégration"</formula>
    </cfRule>
    <cfRule type="beginsWith" dxfId="10594" priority="18176" operator="beginsWith" text="Accueil">
      <formula>LEFT(CT6,LEN("Accueil"))="Accueil"</formula>
    </cfRule>
    <cfRule type="beginsWith" dxfId="10593" priority="18177" operator="beginsWith" text="Stage">
      <formula>LEFT(CT6,LEN("Stage"))="Stage"</formula>
    </cfRule>
    <cfRule type="beginsWith" dxfId="10592" priority="18178" operator="beginsWith" text="Entreprise">
      <formula>LEFT(CT6,LEN("Entreprise"))="Entreprise"</formula>
    </cfRule>
    <cfRule type="beginsWith" dxfId="10591" priority="18179" operator="beginsWith" text="Voltaire">
      <formula>LEFT(CT6,LEN("Voltaire"))="Voltaire"</formula>
    </cfRule>
  </conditionalFormatting>
  <conditionalFormatting sqref="CT26">
    <cfRule type="beginsWith" dxfId="10590" priority="27873" operator="beginsWith" text="Projet professionnel : Séminaire PFI">
      <formula>LEFT(CT26,LEN("Projet professionnel : Séminaire PFI"))="Projet professionnel : Séminaire PFI"</formula>
    </cfRule>
    <cfRule type="beginsWith" dxfId="10589" priority="27874" operator="beginsWith" text="Lancement Projet fil rouge">
      <formula>LEFT(CT26,LEN("Lancement Projet fil rouge"))="Lancement Projet fil rouge"</formula>
    </cfRule>
    <cfRule type="beginsWith" dxfId="10588" priority="27875" operator="beginsWith" text="Vacances">
      <formula>LEFT(CT26,LEN("Vacances"))="Vacances"</formula>
    </cfRule>
    <cfRule type="beginsWith" dxfId="10587" priority="27876" operator="beginsWith" text="Séminaire d'intégration">
      <formula>LEFT(CT26,LEN("Séminaire d'intégration"))="Séminaire d'intégration"</formula>
    </cfRule>
    <cfRule type="beginsWith" dxfId="10586" priority="27877" operator="beginsWith" text="Accueil">
      <formula>LEFT(CT26,LEN("Accueil"))="Accueil"</formula>
    </cfRule>
    <cfRule type="beginsWith" dxfId="10585" priority="27878" operator="beginsWith" text="Stage">
      <formula>LEFT(CT26,LEN("Stage"))="Stage"</formula>
    </cfRule>
    <cfRule type="beginsWith" dxfId="10584" priority="27879" operator="beginsWith" text="Entreprise">
      <formula>LEFT(CT26,LEN("Entreprise"))="Entreprise"</formula>
    </cfRule>
    <cfRule type="beginsWith" dxfId="10583" priority="27880" operator="beginsWith" text="Voltaire">
      <formula>LEFT(CT26,LEN("Voltaire"))="Voltaire"</formula>
    </cfRule>
  </conditionalFormatting>
  <conditionalFormatting sqref="CT46">
    <cfRule type="beginsWith" dxfId="10582" priority="27801" operator="beginsWith" text="Projet professionnel : Séminaire PFI">
      <formula>LEFT(CT46,LEN("Projet professionnel : Séminaire PFI"))="Projet professionnel : Séminaire PFI"</formula>
    </cfRule>
    <cfRule type="beginsWith" dxfId="10581" priority="27802" operator="beginsWith" text="Lancement Projet fil rouge">
      <formula>LEFT(CT46,LEN("Lancement Projet fil rouge"))="Lancement Projet fil rouge"</formula>
    </cfRule>
    <cfRule type="beginsWith" dxfId="10580" priority="27803" operator="beginsWith" text="Vacances">
      <formula>LEFT(CT46,LEN("Vacances"))="Vacances"</formula>
    </cfRule>
    <cfRule type="beginsWith" dxfId="10579" priority="27804" operator="beginsWith" text="Séminaire d'intégration">
      <formula>LEFT(CT46,LEN("Séminaire d'intégration"))="Séminaire d'intégration"</formula>
    </cfRule>
    <cfRule type="beginsWith" dxfId="10578" priority="27805" operator="beginsWith" text="Accueil">
      <formula>LEFT(CT46,LEN("Accueil"))="Accueil"</formula>
    </cfRule>
    <cfRule type="beginsWith" dxfId="10577" priority="27806" operator="beginsWith" text="Stage">
      <formula>LEFT(CT46,LEN("Stage"))="Stage"</formula>
    </cfRule>
    <cfRule type="beginsWith" dxfId="10576" priority="27807" operator="beginsWith" text="Entreprise">
      <formula>LEFT(CT46,LEN("Entreprise"))="Entreprise"</formula>
    </cfRule>
    <cfRule type="beginsWith" dxfId="10575" priority="27808" operator="beginsWith" text="Voltaire">
      <formula>LEFT(CT46,LEN("Voltaire"))="Voltaire"</formula>
    </cfRule>
  </conditionalFormatting>
  <conditionalFormatting sqref="CT57:CT61">
    <cfRule type="beginsWith" dxfId="10574" priority="27865" operator="beginsWith" text="Projet professionnel : Séminaire PFI">
      <formula>LEFT(CT57,LEN("Projet professionnel : Séminaire PFI"))="Projet professionnel : Séminaire PFI"</formula>
    </cfRule>
    <cfRule type="beginsWith" dxfId="10573" priority="27866" operator="beginsWith" text="Lancement Projet fil rouge">
      <formula>LEFT(CT57,LEN("Lancement Projet fil rouge"))="Lancement Projet fil rouge"</formula>
    </cfRule>
    <cfRule type="beginsWith" dxfId="10572" priority="27867" operator="beginsWith" text="Vacances">
      <formula>LEFT(CT57,LEN("Vacances"))="Vacances"</formula>
    </cfRule>
    <cfRule type="beginsWith" dxfId="10571" priority="27868" operator="beginsWith" text="Séminaire d'intégration">
      <formula>LEFT(CT57,LEN("Séminaire d'intégration"))="Séminaire d'intégration"</formula>
    </cfRule>
    <cfRule type="beginsWith" dxfId="10570" priority="27869" operator="beginsWith" text="Accueil">
      <formula>LEFT(CT57,LEN("Accueil"))="Accueil"</formula>
    </cfRule>
    <cfRule type="beginsWith" dxfId="10569" priority="27870" operator="beginsWith" text="Stage">
      <formula>LEFT(CT57,LEN("Stage"))="Stage"</formula>
    </cfRule>
    <cfRule type="beginsWith" dxfId="10568" priority="27871" operator="beginsWith" text="Entreprise">
      <formula>LEFT(CT57,LEN("Entreprise"))="Entreprise"</formula>
    </cfRule>
    <cfRule type="beginsWith" dxfId="10567" priority="27872" operator="beginsWith" text="Voltaire">
      <formula>LEFT(CT57,LEN("Voltaire"))="Voltaire"</formula>
    </cfRule>
  </conditionalFormatting>
  <conditionalFormatting sqref="CT62:CT64">
    <cfRule type="beginsWith" dxfId="10566" priority="27857" operator="beginsWith" text="Projet professionnel : Séminaire PFI">
      <formula>LEFT(CT62,LEN("Projet professionnel : Séminaire PFI"))="Projet professionnel : Séminaire PFI"</formula>
    </cfRule>
    <cfRule type="beginsWith" dxfId="10565" priority="27858" operator="beginsWith" text="Lancement Projet fil rouge">
      <formula>LEFT(CT62,LEN("Lancement Projet fil rouge"))="Lancement Projet fil rouge"</formula>
    </cfRule>
    <cfRule type="beginsWith" dxfId="10564" priority="27859" operator="beginsWith" text="Vacances">
      <formula>LEFT(CT62,LEN("Vacances"))="Vacances"</formula>
    </cfRule>
    <cfRule type="beginsWith" dxfId="10563" priority="27860" operator="beginsWith" text="Séminaire d'intégration">
      <formula>LEFT(CT62,LEN("Séminaire d'intégration"))="Séminaire d'intégration"</formula>
    </cfRule>
    <cfRule type="beginsWith" dxfId="10562" priority="27861" operator="beginsWith" text="Accueil">
      <formula>LEFT(CT62,LEN("Accueil"))="Accueil"</formula>
    </cfRule>
    <cfRule type="beginsWith" dxfId="10561" priority="27862" operator="beginsWith" text="Stage">
      <formula>LEFT(CT62,LEN("Stage"))="Stage"</formula>
    </cfRule>
    <cfRule type="beginsWith" dxfId="10560" priority="27863" operator="beginsWith" text="Entreprise">
      <formula>LEFT(CT62,LEN("Entreprise"))="Entreprise"</formula>
    </cfRule>
    <cfRule type="beginsWith" dxfId="10559" priority="27864" operator="beginsWith" text="Voltaire">
      <formula>LEFT(CT62,LEN("Voltaire"))="Voltaire"</formula>
    </cfRule>
  </conditionalFormatting>
  <conditionalFormatting sqref="CT62:CT78">
    <cfRule type="beginsWith" dxfId="10558" priority="24234" operator="beginsWith" text="Projet professionnel : Séminaire PFI">
      <formula>LEFT(CT62,LEN("Projet professionnel : Séminaire PFI"))="Projet professionnel : Séminaire PFI"</formula>
    </cfRule>
    <cfRule type="beginsWith" dxfId="10557" priority="24235" operator="beginsWith" text="Lancement Projet fil rouge">
      <formula>LEFT(CT62,LEN("Lancement Projet fil rouge"))="Lancement Projet fil rouge"</formula>
    </cfRule>
    <cfRule type="beginsWith" dxfId="10556" priority="24236" operator="beginsWith" text="Vacances">
      <formula>LEFT(CT62,LEN("Vacances"))="Vacances"</formula>
    </cfRule>
    <cfRule type="beginsWith" dxfId="10555" priority="24237" operator="beginsWith" text="Séminaire d'intégration">
      <formula>LEFT(CT62,LEN("Séminaire d'intégration"))="Séminaire d'intégration"</formula>
    </cfRule>
    <cfRule type="beginsWith" dxfId="10554" priority="24238" operator="beginsWith" text="Accueil">
      <formula>LEFT(CT62,LEN("Accueil"))="Accueil"</formula>
    </cfRule>
    <cfRule type="beginsWith" dxfId="10553" priority="24239" operator="beginsWith" text="Stage">
      <formula>LEFT(CT62,LEN("Stage"))="Stage"</formula>
    </cfRule>
    <cfRule type="beginsWith" dxfId="10552" priority="24240" operator="beginsWith" text="Entreprise">
      <formula>LEFT(CT62,LEN("Entreprise"))="Entreprise"</formula>
    </cfRule>
    <cfRule type="beginsWith" dxfId="10551" priority="24241" operator="beginsWith" text="Voltaire">
      <formula>LEFT(CT62,LEN("Voltaire"))="Voltaire"</formula>
    </cfRule>
  </conditionalFormatting>
  <conditionalFormatting sqref="CT71">
    <cfRule type="beginsWith" dxfId="10550" priority="24242" operator="beginsWith" text="Projet professionnel : Séminaire PFI">
      <formula>LEFT(CT71,LEN("Projet professionnel : Séminaire PFI"))="Projet professionnel : Séminaire PFI"</formula>
    </cfRule>
    <cfRule type="beginsWith" dxfId="10549" priority="24243" operator="beginsWith" text="Lancement Projet fil rouge">
      <formula>LEFT(CT71,LEN("Lancement Projet fil rouge"))="Lancement Projet fil rouge"</formula>
    </cfRule>
    <cfRule type="beginsWith" dxfId="10548" priority="24244" operator="beginsWith" text="Vacances">
      <formula>LEFT(CT71,LEN("Vacances"))="Vacances"</formula>
    </cfRule>
    <cfRule type="beginsWith" dxfId="10547" priority="24245" operator="beginsWith" text="Séminaire d'intégration">
      <formula>LEFT(CT71,LEN("Séminaire d'intégration"))="Séminaire d'intégration"</formula>
    </cfRule>
    <cfRule type="beginsWith" dxfId="10546" priority="24246" operator="beginsWith" text="Accueil">
      <formula>LEFT(CT71,LEN("Accueil"))="Accueil"</formula>
    </cfRule>
    <cfRule type="beginsWith" dxfId="10545" priority="24247" operator="beginsWith" text="Stage">
      <formula>LEFT(CT71,LEN("Stage"))="Stage"</formula>
    </cfRule>
    <cfRule type="beginsWith" dxfId="10544" priority="24248" operator="beginsWith" text="Entreprise">
      <formula>LEFT(CT71,LEN("Entreprise"))="Entreprise"</formula>
    </cfRule>
    <cfRule type="beginsWith" dxfId="10543" priority="24249" operator="beginsWith" text="Voltaire">
      <formula>LEFT(CT71,LEN("Voltaire"))="Voltaire"</formula>
    </cfRule>
  </conditionalFormatting>
  <conditionalFormatting sqref="CT76:CT80">
    <cfRule type="beginsWith" dxfId="10542" priority="24257" operator="beginsWith" text="Projet professionnel : Séminaire PFI">
      <formula>LEFT(CT76,LEN("Projet professionnel : Séminaire PFI"))="Projet professionnel : Séminaire PFI"</formula>
    </cfRule>
    <cfRule type="beginsWith" dxfId="10541" priority="24258" operator="beginsWith" text="Lancement Projet fil rouge">
      <formula>LEFT(CT76,LEN("Lancement Projet fil rouge"))="Lancement Projet fil rouge"</formula>
    </cfRule>
    <cfRule type="beginsWith" dxfId="10540" priority="24259" operator="beginsWith" text="Vacances">
      <formula>LEFT(CT76,LEN("Vacances"))="Vacances"</formula>
    </cfRule>
    <cfRule type="beginsWith" dxfId="10539" priority="24260" operator="beginsWith" text="Séminaire d'intégration">
      <formula>LEFT(CT76,LEN("Séminaire d'intégration"))="Séminaire d'intégration"</formula>
    </cfRule>
    <cfRule type="beginsWith" dxfId="10538" priority="24261" operator="beginsWith" text="Accueil">
      <formula>LEFT(CT76,LEN("Accueil"))="Accueil"</formula>
    </cfRule>
    <cfRule type="beginsWith" dxfId="10537" priority="24262" operator="beginsWith" text="Stage">
      <formula>LEFT(CT76,LEN("Stage"))="Stage"</formula>
    </cfRule>
    <cfRule type="beginsWith" dxfId="10536" priority="24263" operator="beginsWith" text="Entreprise">
      <formula>LEFT(CT76,LEN("Entreprise"))="Entreprise"</formula>
    </cfRule>
    <cfRule type="beginsWith" dxfId="10535" priority="24264" operator="beginsWith" text="Voltaire">
      <formula>LEFT(CT76,LEN("Voltaire"))="Voltaire"</formula>
    </cfRule>
  </conditionalFormatting>
  <conditionalFormatting sqref="CT81">
    <cfRule type="beginsWith" dxfId="10534" priority="24265" operator="beginsWith" text="Projet professionnel : Séminaire PFI">
      <formula>LEFT(CT81,LEN("Projet professionnel : Séminaire PFI"))="Projet professionnel : Séminaire PFI"</formula>
    </cfRule>
    <cfRule type="beginsWith" dxfId="10533" priority="24266" operator="beginsWith" text="Lancement Projet fil rouge">
      <formula>LEFT(CT81,LEN("Lancement Projet fil rouge"))="Lancement Projet fil rouge"</formula>
    </cfRule>
    <cfRule type="beginsWith" dxfId="10532" priority="24267" operator="beginsWith" text="Vacances">
      <formula>LEFT(CT81,LEN("Vacances"))="Vacances"</formula>
    </cfRule>
    <cfRule type="beginsWith" dxfId="10531" priority="24268" operator="beginsWith" text="Séminaire d'intégration">
      <formula>LEFT(CT81,LEN("Séminaire d'intégration"))="Séminaire d'intégration"</formula>
    </cfRule>
    <cfRule type="beginsWith" dxfId="10530" priority="24269" operator="beginsWith" text="Accueil">
      <formula>LEFT(CT81,LEN("Accueil"))="Accueil"</formula>
    </cfRule>
    <cfRule type="beginsWith" dxfId="10529" priority="24270" operator="beginsWith" text="Stage">
      <formula>LEFT(CT81,LEN("Stage"))="Stage"</formula>
    </cfRule>
    <cfRule type="beginsWith" dxfId="10528" priority="24271" operator="beginsWith" text="Entreprise">
      <formula>LEFT(CT81,LEN("Entreprise"))="Entreprise"</formula>
    </cfRule>
    <cfRule type="beginsWith" dxfId="10527" priority="24272" operator="beginsWith" text="Voltaire">
      <formula>LEFT(CT81,LEN("Voltaire"))="Voltaire"</formula>
    </cfRule>
  </conditionalFormatting>
  <conditionalFormatting sqref="CT86">
    <cfRule type="beginsWith" dxfId="10526" priority="24273" operator="beginsWith" text="Projet professionnel : Séminaire PFI">
      <formula>LEFT(CT86,LEN("Projet professionnel : Séminaire PFI"))="Projet professionnel : Séminaire PFI"</formula>
    </cfRule>
    <cfRule type="beginsWith" dxfId="10525" priority="24274" operator="beginsWith" text="Lancement Projet fil rouge">
      <formula>LEFT(CT86,LEN("Lancement Projet fil rouge"))="Lancement Projet fil rouge"</formula>
    </cfRule>
    <cfRule type="beginsWith" dxfId="10524" priority="24275" operator="beginsWith" text="Vacances">
      <formula>LEFT(CT86,LEN("Vacances"))="Vacances"</formula>
    </cfRule>
    <cfRule type="beginsWith" dxfId="10523" priority="24276" operator="beginsWith" text="Séminaire d'intégration">
      <formula>LEFT(CT86,LEN("Séminaire d'intégration"))="Séminaire d'intégration"</formula>
    </cfRule>
    <cfRule type="beginsWith" dxfId="10522" priority="24277" operator="beginsWith" text="Accueil">
      <formula>LEFT(CT86,LEN("Accueil"))="Accueil"</formula>
    </cfRule>
    <cfRule type="beginsWith" dxfId="10521" priority="24278" operator="beginsWith" text="Stage">
      <formula>LEFT(CT86,LEN("Stage"))="Stage"</formula>
    </cfRule>
    <cfRule type="beginsWith" dxfId="10520" priority="24279" operator="beginsWith" text="Entreprise">
      <formula>LEFT(CT86,LEN("Entreprise"))="Entreprise"</formula>
    </cfRule>
    <cfRule type="beginsWith" dxfId="10519" priority="24280" operator="beginsWith" text="Voltaire">
      <formula>LEFT(CT86,LEN("Voltaire"))="Voltaire"</formula>
    </cfRule>
  </conditionalFormatting>
  <conditionalFormatting sqref="CT97:CT120">
    <cfRule type="beginsWith" dxfId="10518" priority="15482" operator="beginsWith" text="Projet professionnel : Séminaire PFI">
      <formula>LEFT(CT97,LEN("Projet professionnel : Séminaire PFI"))="Projet professionnel : Séminaire PFI"</formula>
    </cfRule>
    <cfRule type="beginsWith" dxfId="10517" priority="15483" operator="beginsWith" text="Lancement Projet fil rouge">
      <formula>LEFT(CT97,LEN("Lancement Projet fil rouge"))="Lancement Projet fil rouge"</formula>
    </cfRule>
    <cfRule type="beginsWith" dxfId="10516" priority="15484" operator="beginsWith" text="Vacances">
      <formula>LEFT(CT97,LEN("Vacances"))="Vacances"</formula>
    </cfRule>
    <cfRule type="beginsWith" dxfId="10515" priority="15485" operator="beginsWith" text="Séminaire d'intégration">
      <formula>LEFT(CT97,LEN("Séminaire d'intégration"))="Séminaire d'intégration"</formula>
    </cfRule>
    <cfRule type="beginsWith" dxfId="10514" priority="15486" operator="beginsWith" text="Accueil">
      <formula>LEFT(CT97,LEN("Accueil"))="Accueil"</formula>
    </cfRule>
    <cfRule type="beginsWith" dxfId="10513" priority="15487" operator="beginsWith" text="Stage">
      <formula>LEFT(CT97,LEN("Stage"))="Stage"</formula>
    </cfRule>
    <cfRule type="beginsWith" dxfId="10512" priority="15488" operator="beginsWith" text="Entreprise">
      <formula>LEFT(CT97,LEN("Entreprise"))="Entreprise"</formula>
    </cfRule>
    <cfRule type="beginsWith" dxfId="10511" priority="15489" operator="beginsWith" text="Voltaire">
      <formula>LEFT(CT97,LEN("Voltaire"))="Voltaire"</formula>
    </cfRule>
  </conditionalFormatting>
  <conditionalFormatting sqref="CT126">
    <cfRule type="beginsWith" dxfId="10510" priority="18836" operator="beginsWith" text="Projet professionnel : Séminaire PFI">
      <formula>LEFT(CT126,LEN("Projet professionnel : Séminaire PFI"))="Projet professionnel : Séminaire PFI"</formula>
    </cfRule>
    <cfRule type="beginsWith" dxfId="10509" priority="18837" operator="beginsWith" text="Lancement Projet fil rouge">
      <formula>LEFT(CT126,LEN("Lancement Projet fil rouge"))="Lancement Projet fil rouge"</formula>
    </cfRule>
    <cfRule type="beginsWith" dxfId="10508" priority="18838" operator="beginsWith" text="Vacances">
      <formula>LEFT(CT126,LEN("Vacances"))="Vacances"</formula>
    </cfRule>
    <cfRule type="beginsWith" dxfId="10507" priority="18839" operator="beginsWith" text="Séminaire d'intégration">
      <formula>LEFT(CT126,LEN("Séminaire d'intégration"))="Séminaire d'intégration"</formula>
    </cfRule>
    <cfRule type="beginsWith" dxfId="10506" priority="18840" operator="beginsWith" text="Accueil">
      <formula>LEFT(CT126,LEN("Accueil"))="Accueil"</formula>
    </cfRule>
    <cfRule type="beginsWith" dxfId="10505" priority="18841" operator="beginsWith" text="Stage">
      <formula>LEFT(CT126,LEN("Stage"))="Stage"</formula>
    </cfRule>
    <cfRule type="beginsWith" dxfId="10504" priority="18842" operator="beginsWith" text="Entreprise">
      <formula>LEFT(CT126,LEN("Entreprise"))="Entreprise"</formula>
    </cfRule>
    <cfRule type="beginsWith" dxfId="10503" priority="18843" operator="beginsWith" text="Voltaire">
      <formula>LEFT(CT126,LEN("Voltaire"))="Voltaire"</formula>
    </cfRule>
  </conditionalFormatting>
  <conditionalFormatting sqref="CT131">
    <cfRule type="beginsWith" dxfId="10502" priority="19151" operator="beginsWith" text="Projet professionnel : Séminaire PFI">
      <formula>LEFT(CT131,LEN("Projet professionnel : Séminaire PFI"))="Projet professionnel : Séminaire PFI"</formula>
    </cfRule>
    <cfRule type="beginsWith" dxfId="10501" priority="19152" operator="beginsWith" text="Lancement Projet fil rouge">
      <formula>LEFT(CT131,LEN("Lancement Projet fil rouge"))="Lancement Projet fil rouge"</formula>
    </cfRule>
    <cfRule type="beginsWith" dxfId="10500" priority="19153" operator="beginsWith" text="Vacances">
      <formula>LEFT(CT131,LEN("Vacances"))="Vacances"</formula>
    </cfRule>
    <cfRule type="beginsWith" dxfId="10499" priority="19154" operator="beginsWith" text="Séminaire d'intégration">
      <formula>LEFT(CT131,LEN("Séminaire d'intégration"))="Séminaire d'intégration"</formula>
    </cfRule>
    <cfRule type="beginsWith" dxfId="10498" priority="19155" operator="beginsWith" text="Accueil">
      <formula>LEFT(CT131,LEN("Accueil"))="Accueil"</formula>
    </cfRule>
    <cfRule type="beginsWith" dxfId="10497" priority="19156" operator="beginsWith" text="Stage">
      <formula>LEFT(CT131,LEN("Stage"))="Stage"</formula>
    </cfRule>
    <cfRule type="beginsWith" dxfId="10496" priority="19157" operator="beginsWith" text="Entreprise">
      <formula>LEFT(CT131,LEN("Entreprise"))="Entreprise"</formula>
    </cfRule>
    <cfRule type="beginsWith" dxfId="10495" priority="19158" operator="beginsWith" text="Voltaire">
      <formula>LEFT(CT131,LEN("Voltaire"))="Voltaire"</formula>
    </cfRule>
  </conditionalFormatting>
  <conditionalFormatting sqref="CT131:CT140">
    <cfRule type="beginsWith" dxfId="10494" priority="19105" operator="beginsWith" text="Projet professionnel : Séminaire PFI">
      <formula>LEFT(CT131,LEN("Projet professionnel : Séminaire PFI"))="Projet professionnel : Séminaire PFI"</formula>
    </cfRule>
    <cfRule type="beginsWith" dxfId="10493" priority="19106" operator="beginsWith" text="Lancement Projet fil rouge">
      <formula>LEFT(CT131,LEN("Lancement Projet fil rouge"))="Lancement Projet fil rouge"</formula>
    </cfRule>
    <cfRule type="beginsWith" dxfId="10492" priority="19107" operator="beginsWith" text="Vacances">
      <formula>LEFT(CT131,LEN("Vacances"))="Vacances"</formula>
    </cfRule>
    <cfRule type="beginsWith" dxfId="10491" priority="19108" operator="beginsWith" text="Séminaire d'intégration">
      <formula>LEFT(CT131,LEN("Séminaire d'intégration"))="Séminaire d'intégration"</formula>
    </cfRule>
    <cfRule type="beginsWith" dxfId="10490" priority="19109" operator="beginsWith" text="Accueil">
      <formula>LEFT(CT131,LEN("Accueil"))="Accueil"</formula>
    </cfRule>
    <cfRule type="beginsWith" dxfId="10489" priority="19110" operator="beginsWith" text="Stage">
      <formula>LEFT(CT131,LEN("Stage"))="Stage"</formula>
    </cfRule>
    <cfRule type="beginsWith" dxfId="10488" priority="19111" operator="beginsWith" text="Entreprise">
      <formula>LEFT(CT131,LEN("Entreprise"))="Entreprise"</formula>
    </cfRule>
    <cfRule type="beginsWith" dxfId="10487" priority="19112" operator="beginsWith" text="Voltaire">
      <formula>LEFT(CT131,LEN("Voltaire"))="Voltaire"</formula>
    </cfRule>
  </conditionalFormatting>
  <conditionalFormatting sqref="CT141:CT145">
    <cfRule type="beginsWith" dxfId="10486" priority="18939" operator="beginsWith" text="Projet professionnel : Séminaire PFI">
      <formula>LEFT(CT141,LEN("Projet professionnel : Séminaire PFI"))="Projet professionnel : Séminaire PFI"</formula>
    </cfRule>
    <cfRule type="beginsWith" dxfId="10485" priority="18940" operator="beginsWith" text="Lancement Projet fil rouge">
      <formula>LEFT(CT141,LEN("Lancement Projet fil rouge"))="Lancement Projet fil rouge"</formula>
    </cfRule>
    <cfRule type="beginsWith" dxfId="10484" priority="18941" operator="beginsWith" text="Vacances">
      <formula>LEFT(CT141,LEN("Vacances"))="Vacances"</formula>
    </cfRule>
    <cfRule type="beginsWith" dxfId="10483" priority="18942" operator="beginsWith" text="Séminaire d'intégration">
      <formula>LEFT(CT141,LEN("Séminaire d'intégration"))="Séminaire d'intégration"</formula>
    </cfRule>
    <cfRule type="beginsWith" dxfId="10482" priority="18943" operator="beginsWith" text="Accueil">
      <formula>LEFT(CT141,LEN("Accueil"))="Accueil"</formula>
    </cfRule>
    <cfRule type="beginsWith" dxfId="10481" priority="18944" operator="beginsWith" text="Stage">
      <formula>LEFT(CT141,LEN("Stage"))="Stage"</formula>
    </cfRule>
    <cfRule type="beginsWith" dxfId="10480" priority="18945" operator="beginsWith" text="Entreprise">
      <formula>LEFT(CT141,LEN("Entreprise"))="Entreprise"</formula>
    </cfRule>
    <cfRule type="beginsWith" dxfId="10479" priority="18946" operator="beginsWith" text="Voltaire">
      <formula>LEFT(CT141,LEN("Voltaire"))="Voltaire"</formula>
    </cfRule>
  </conditionalFormatting>
  <conditionalFormatting sqref="CT146">
    <cfRule type="beginsWith" dxfId="10478" priority="18947" operator="beginsWith" text="Projet professionnel : Séminaire PFI">
      <formula>LEFT(CT146,LEN("Projet professionnel : Séminaire PFI"))="Projet professionnel : Séminaire PFI"</formula>
    </cfRule>
    <cfRule type="beginsWith" dxfId="10477" priority="18948" operator="beginsWith" text="Lancement Projet fil rouge">
      <formula>LEFT(CT146,LEN("Lancement Projet fil rouge"))="Lancement Projet fil rouge"</formula>
    </cfRule>
    <cfRule type="beginsWith" dxfId="10476" priority="18949" operator="beginsWith" text="Vacances">
      <formula>LEFT(CT146,LEN("Vacances"))="Vacances"</formula>
    </cfRule>
    <cfRule type="beginsWith" dxfId="10475" priority="18950" operator="beginsWith" text="Séminaire d'intégration">
      <formula>LEFT(CT146,LEN("Séminaire d'intégration"))="Séminaire d'intégration"</formula>
    </cfRule>
    <cfRule type="beginsWith" dxfId="10474" priority="18951" operator="beginsWith" text="Accueil">
      <formula>LEFT(CT146,LEN("Accueil"))="Accueil"</formula>
    </cfRule>
    <cfRule type="beginsWith" dxfId="10473" priority="18952" operator="beginsWith" text="Stage">
      <formula>LEFT(CT146,LEN("Stage"))="Stage"</formula>
    </cfRule>
    <cfRule type="beginsWith" dxfId="10472" priority="18953" operator="beginsWith" text="Entreprise">
      <formula>LEFT(CT146,LEN("Entreprise"))="Entreprise"</formula>
    </cfRule>
    <cfRule type="beginsWith" dxfId="10471" priority="18954" operator="beginsWith" text="Voltaire">
      <formula>LEFT(CT146,LEN("Voltaire"))="Voltaire"</formula>
    </cfRule>
  </conditionalFormatting>
  <conditionalFormatting sqref="CT151">
    <cfRule type="beginsWith" dxfId="10470" priority="18955" operator="beginsWith" text="Projet professionnel : Séminaire PFI">
      <formula>LEFT(CT151,LEN("Projet professionnel : Séminaire PFI"))="Projet professionnel : Séminaire PFI"</formula>
    </cfRule>
    <cfRule type="beginsWith" dxfId="10469" priority="18956" operator="beginsWith" text="Lancement Projet fil rouge">
      <formula>LEFT(CT151,LEN("Lancement Projet fil rouge"))="Lancement Projet fil rouge"</formula>
    </cfRule>
    <cfRule type="beginsWith" dxfId="10468" priority="18957" operator="beginsWith" text="Vacances">
      <formula>LEFT(CT151,LEN("Vacances"))="Vacances"</formula>
    </cfRule>
    <cfRule type="beginsWith" dxfId="10467" priority="18958" operator="beginsWith" text="Séminaire d'intégration">
      <formula>LEFT(CT151,LEN("Séminaire d'intégration"))="Séminaire d'intégration"</formula>
    </cfRule>
    <cfRule type="beginsWith" dxfId="10466" priority="18959" operator="beginsWith" text="Accueil">
      <formula>LEFT(CT151,LEN("Accueil"))="Accueil"</formula>
    </cfRule>
    <cfRule type="beginsWith" dxfId="10465" priority="18960" operator="beginsWith" text="Stage">
      <formula>LEFT(CT151,LEN("Stage"))="Stage"</formula>
    </cfRule>
    <cfRule type="beginsWith" dxfId="10464" priority="18961" operator="beginsWith" text="Entreprise">
      <formula>LEFT(CT151,LEN("Entreprise"))="Entreprise"</formula>
    </cfRule>
    <cfRule type="beginsWith" dxfId="10463" priority="18962" operator="beginsWith" text="Voltaire">
      <formula>LEFT(CT151,LEN("Voltaire"))="Voltaire"</formula>
    </cfRule>
  </conditionalFormatting>
  <conditionalFormatting sqref="CT156">
    <cfRule type="beginsWith" dxfId="10462" priority="18963" operator="beginsWith" text="Projet professionnel : Séminaire PFI">
      <formula>LEFT(CT156,LEN("Projet professionnel : Séminaire PFI"))="Projet professionnel : Séminaire PFI"</formula>
    </cfRule>
    <cfRule type="beginsWith" dxfId="10461" priority="18964" operator="beginsWith" text="Lancement Projet fil rouge">
      <formula>LEFT(CT156,LEN("Lancement Projet fil rouge"))="Lancement Projet fil rouge"</formula>
    </cfRule>
    <cfRule type="beginsWith" dxfId="10460" priority="18965" operator="beginsWith" text="Vacances">
      <formula>LEFT(CT156,LEN("Vacances"))="Vacances"</formula>
    </cfRule>
    <cfRule type="beginsWith" dxfId="10459" priority="18966" operator="beginsWith" text="Séminaire d'intégration">
      <formula>LEFT(CT156,LEN("Séminaire d'intégration"))="Séminaire d'intégration"</formula>
    </cfRule>
    <cfRule type="beginsWith" dxfId="10458" priority="18967" operator="beginsWith" text="Accueil">
      <formula>LEFT(CT156,LEN("Accueil"))="Accueil"</formula>
    </cfRule>
    <cfRule type="beginsWith" dxfId="10457" priority="18968" operator="beginsWith" text="Stage">
      <formula>LEFT(CT156,LEN("Stage"))="Stage"</formula>
    </cfRule>
    <cfRule type="beginsWith" dxfId="10456" priority="18969" operator="beginsWith" text="Entreprise">
      <formula>LEFT(CT156,LEN("Entreprise"))="Entreprise"</formula>
    </cfRule>
    <cfRule type="beginsWith" dxfId="10455" priority="18970" operator="beginsWith" text="Voltaire">
      <formula>LEFT(CT156,LEN("Voltaire"))="Voltaire"</formula>
    </cfRule>
    <cfRule type="beginsWith" dxfId="10454" priority="18971" operator="beginsWith" text="Projet professionnel : Séminaire PFI">
      <formula>LEFT(CT156,LEN("Projet professionnel : Séminaire PFI"))="Projet professionnel : Séminaire PFI"</formula>
    </cfRule>
    <cfRule type="beginsWith" dxfId="10453" priority="18972" operator="beginsWith" text="Lancement Projet fil rouge">
      <formula>LEFT(CT156,LEN("Lancement Projet fil rouge"))="Lancement Projet fil rouge"</formula>
    </cfRule>
    <cfRule type="beginsWith" dxfId="10452" priority="18973" operator="beginsWith" text="Vacances">
      <formula>LEFT(CT156,LEN("Vacances"))="Vacances"</formula>
    </cfRule>
    <cfRule type="beginsWith" dxfId="10451" priority="18974" operator="beginsWith" text="Séminaire d'intégration">
      <formula>LEFT(CT156,LEN("Séminaire d'intégration"))="Séminaire d'intégration"</formula>
    </cfRule>
    <cfRule type="beginsWith" dxfId="10450" priority="18975" operator="beginsWith" text="Accueil">
      <formula>LEFT(CT156,LEN("Accueil"))="Accueil"</formula>
    </cfRule>
    <cfRule type="beginsWith" dxfId="10449" priority="18976" operator="beginsWith" text="Stage">
      <formula>LEFT(CT156,LEN("Stage"))="Stage"</formula>
    </cfRule>
    <cfRule type="beginsWith" dxfId="10448" priority="18977" operator="beginsWith" text="Entreprise">
      <formula>LEFT(CT156,LEN("Entreprise"))="Entreprise"</formula>
    </cfRule>
    <cfRule type="beginsWith" dxfId="10447" priority="18978" operator="beginsWith" text="Voltaire">
      <formula>LEFT(CT156,LEN("Voltaire"))="Voltaire"</formula>
    </cfRule>
  </conditionalFormatting>
  <conditionalFormatting sqref="CT168:CT174">
    <cfRule type="beginsWith" dxfId="10446" priority="15418" operator="beginsWith" text="Projet professionnel : Séminaire PFI">
      <formula>LEFT(CT168,LEN("Projet professionnel : Séminaire PFI"))="Projet professionnel : Séminaire PFI"</formula>
    </cfRule>
    <cfRule type="beginsWith" dxfId="10445" priority="15419" operator="beginsWith" text="Lancement Projet fil rouge">
      <formula>LEFT(CT168,LEN("Lancement Projet fil rouge"))="Lancement Projet fil rouge"</formula>
    </cfRule>
    <cfRule type="beginsWith" dxfId="10444" priority="15420" operator="beginsWith" text="Vacances">
      <formula>LEFT(CT168,LEN("Vacances"))="Vacances"</formula>
    </cfRule>
    <cfRule type="beginsWith" dxfId="10443" priority="15421" operator="beginsWith" text="Séminaire d'intégration">
      <formula>LEFT(CT168,LEN("Séminaire d'intégration"))="Séminaire d'intégration"</formula>
    </cfRule>
    <cfRule type="beginsWith" dxfId="10442" priority="15422" operator="beginsWith" text="Accueil">
      <formula>LEFT(CT168,LEN("Accueil"))="Accueil"</formula>
    </cfRule>
    <cfRule type="beginsWith" dxfId="10441" priority="15423" operator="beginsWith" text="Stage">
      <formula>LEFT(CT168,LEN("Stage"))="Stage"</formula>
    </cfRule>
    <cfRule type="beginsWith" dxfId="10440" priority="15424" operator="beginsWith" text="Entreprise">
      <formula>LEFT(CT168,LEN("Entreprise"))="Entreprise"</formula>
    </cfRule>
    <cfRule type="beginsWith" dxfId="10439" priority="15425" operator="beginsWith" text="Voltaire">
      <formula>LEFT(CT168,LEN("Voltaire"))="Voltaire"</formula>
    </cfRule>
  </conditionalFormatting>
  <conditionalFormatting sqref="CT175:CT179">
    <cfRule type="beginsWith" dxfId="10438" priority="27665" operator="beginsWith" text="Projet professionnel : Séminaire PFI">
      <formula>LEFT(CT175,LEN("Projet professionnel : Séminaire PFI"))="Projet professionnel : Séminaire PFI"</formula>
    </cfRule>
    <cfRule type="beginsWith" dxfId="10437" priority="27666" operator="beginsWith" text="Lancement Projet fil rouge">
      <formula>LEFT(CT175,LEN("Lancement Projet fil rouge"))="Lancement Projet fil rouge"</formula>
    </cfRule>
    <cfRule type="beginsWith" dxfId="10436" priority="27667" operator="beginsWith" text="Vacances">
      <formula>LEFT(CT175,LEN("Vacances"))="Vacances"</formula>
    </cfRule>
    <cfRule type="beginsWith" dxfId="10435" priority="27668" operator="beginsWith" text="Séminaire d'intégration">
      <formula>LEFT(CT175,LEN("Séminaire d'intégration"))="Séminaire d'intégration"</formula>
    </cfRule>
    <cfRule type="beginsWith" dxfId="10434" priority="27669" operator="beginsWith" text="Accueil">
      <formula>LEFT(CT175,LEN("Accueil"))="Accueil"</formula>
    </cfRule>
    <cfRule type="beginsWith" dxfId="10433" priority="27670" operator="beginsWith" text="Stage">
      <formula>LEFT(CT175,LEN("Stage"))="Stage"</formula>
    </cfRule>
    <cfRule type="beginsWith" dxfId="10432" priority="27671" operator="beginsWith" text="Entreprise">
      <formula>LEFT(CT175,LEN("Entreprise"))="Entreprise"</formula>
    </cfRule>
    <cfRule type="beginsWith" dxfId="10431" priority="27672" operator="beginsWith" text="Voltaire">
      <formula>LEFT(CT175,LEN("Voltaire"))="Voltaire"</formula>
    </cfRule>
  </conditionalFormatting>
  <conditionalFormatting sqref="CT180:CT190">
    <cfRule type="beginsWith" dxfId="10430" priority="18979" operator="beginsWith" text="Projet professionnel : Séminaire PFI">
      <formula>LEFT(CT180,LEN("Projet professionnel : Séminaire PFI"))="Projet professionnel : Séminaire PFI"</formula>
    </cfRule>
    <cfRule type="beginsWith" dxfId="10429" priority="18980" operator="beginsWith" text="Lancement Projet fil rouge">
      <formula>LEFT(CT180,LEN("Lancement Projet fil rouge"))="Lancement Projet fil rouge"</formula>
    </cfRule>
    <cfRule type="beginsWith" dxfId="10428" priority="18981" operator="beginsWith" text="Vacances">
      <formula>LEFT(CT180,LEN("Vacances"))="Vacances"</formula>
    </cfRule>
    <cfRule type="beginsWith" dxfId="10427" priority="18982" operator="beginsWith" text="Séminaire d'intégration">
      <formula>LEFT(CT180,LEN("Séminaire d'intégration"))="Séminaire d'intégration"</formula>
    </cfRule>
    <cfRule type="beginsWith" dxfId="10426" priority="18983" operator="beginsWith" text="Accueil">
      <formula>LEFT(CT180,LEN("Accueil"))="Accueil"</formula>
    </cfRule>
    <cfRule type="beginsWith" dxfId="10425" priority="18984" operator="beginsWith" text="Stage">
      <formula>LEFT(CT180,LEN("Stage"))="Stage"</formula>
    </cfRule>
    <cfRule type="beginsWith" dxfId="10424" priority="18985" operator="beginsWith" text="Entreprise">
      <formula>LEFT(CT180,LEN("Entreprise"))="Entreprise"</formula>
    </cfRule>
    <cfRule type="beginsWith" dxfId="10423" priority="18986" operator="beginsWith" text="Voltaire">
      <formula>LEFT(CT180,LEN("Voltaire"))="Voltaire"</formula>
    </cfRule>
  </conditionalFormatting>
  <conditionalFormatting sqref="CT196:CT203">
    <cfRule type="beginsWith" dxfId="10422" priority="15410" operator="beginsWith" text="Projet professionnel : Séminaire PFI">
      <formula>LEFT(CT196,LEN("Projet professionnel : Séminaire PFI"))="Projet professionnel : Séminaire PFI"</formula>
    </cfRule>
    <cfRule type="beginsWith" dxfId="10421" priority="15411" operator="beginsWith" text="Lancement Projet fil rouge">
      <formula>LEFT(CT196,LEN("Lancement Projet fil rouge"))="Lancement Projet fil rouge"</formula>
    </cfRule>
    <cfRule type="beginsWith" dxfId="10420" priority="15412" operator="beginsWith" text="Vacances">
      <formula>LEFT(CT196,LEN("Vacances"))="Vacances"</formula>
    </cfRule>
    <cfRule type="beginsWith" dxfId="10419" priority="15413" operator="beginsWith" text="Séminaire d'intégration">
      <formula>LEFT(CT196,LEN("Séminaire d'intégration"))="Séminaire d'intégration"</formula>
    </cfRule>
    <cfRule type="beginsWith" dxfId="10418" priority="15414" operator="beginsWith" text="Accueil">
      <formula>LEFT(CT196,LEN("Accueil"))="Accueil"</formula>
    </cfRule>
    <cfRule type="beginsWith" dxfId="10417" priority="15415" operator="beginsWith" text="Stage">
      <formula>LEFT(CT196,LEN("Stage"))="Stage"</formula>
    </cfRule>
    <cfRule type="beginsWith" dxfId="10416" priority="15416" operator="beginsWith" text="Entreprise">
      <formula>LEFT(CT196,LEN("Entreprise"))="Entreprise"</formula>
    </cfRule>
    <cfRule type="beginsWith" dxfId="10415" priority="15417" operator="beginsWith" text="Voltaire">
      <formula>LEFT(CT196,LEN("Voltaire"))="Voltaire"</formula>
    </cfRule>
  </conditionalFormatting>
  <conditionalFormatting sqref="CT204">
    <cfRule type="beginsWith" dxfId="10414" priority="27889" operator="beginsWith" text="Projet professionnel : Séminaire PFI">
      <formula>LEFT(CT204,LEN("Projet professionnel : Séminaire PFI"))="Projet professionnel : Séminaire PFI"</formula>
    </cfRule>
    <cfRule type="beginsWith" dxfId="10413" priority="27890" operator="beginsWith" text="Lancement Projet fil rouge">
      <formula>LEFT(CT204,LEN("Lancement Projet fil rouge"))="Lancement Projet fil rouge"</formula>
    </cfRule>
    <cfRule type="beginsWith" dxfId="10412" priority="27891" operator="beginsWith" text="Vacances">
      <formula>LEFT(CT204,LEN("Vacances"))="Vacances"</formula>
    </cfRule>
    <cfRule type="beginsWith" dxfId="10411" priority="27892" operator="beginsWith" text="Séminaire d'intégration">
      <formula>LEFT(CT204,LEN("Séminaire d'intégration"))="Séminaire d'intégration"</formula>
    </cfRule>
    <cfRule type="beginsWith" dxfId="10410" priority="27893" operator="beginsWith" text="Accueil">
      <formula>LEFT(CT204,LEN("Accueil"))="Accueil"</formula>
    </cfRule>
    <cfRule type="beginsWith" dxfId="10409" priority="27894" operator="beginsWith" text="Stage">
      <formula>LEFT(CT204,LEN("Stage"))="Stage"</formula>
    </cfRule>
    <cfRule type="beginsWith" dxfId="10408" priority="27895" operator="beginsWith" text="Entreprise">
      <formula>LEFT(CT204,LEN("Entreprise"))="Entreprise"</formula>
    </cfRule>
    <cfRule type="beginsWith" dxfId="10407" priority="27896" operator="beginsWith" text="Voltaire">
      <formula>LEFT(CT204,LEN("Voltaire"))="Voltaire"</formula>
    </cfRule>
  </conditionalFormatting>
  <conditionalFormatting sqref="CT205:CT210">
    <cfRule type="beginsWith" dxfId="10406" priority="27785" operator="beginsWith" text="Projet professionnel : Séminaire PFI">
      <formula>LEFT(CT205,LEN("Projet professionnel : Séminaire PFI"))="Projet professionnel : Séminaire PFI"</formula>
    </cfRule>
    <cfRule type="beginsWith" dxfId="10405" priority="27786" operator="beginsWith" text="Lancement Projet fil rouge">
      <formula>LEFT(CT205,LEN("Lancement Projet fil rouge"))="Lancement Projet fil rouge"</formula>
    </cfRule>
    <cfRule type="beginsWith" dxfId="10404" priority="27787" operator="beginsWith" text="Vacances">
      <formula>LEFT(CT205,LEN("Vacances"))="Vacances"</formula>
    </cfRule>
    <cfRule type="beginsWith" dxfId="10403" priority="27788" operator="beginsWith" text="Séminaire d'intégration">
      <formula>LEFT(CT205,LEN("Séminaire d'intégration"))="Séminaire d'intégration"</formula>
    </cfRule>
    <cfRule type="beginsWith" dxfId="10402" priority="27789" operator="beginsWith" text="Accueil">
      <formula>LEFT(CT205,LEN("Accueil"))="Accueil"</formula>
    </cfRule>
    <cfRule type="beginsWith" dxfId="10401" priority="27790" operator="beginsWith" text="Stage">
      <formula>LEFT(CT205,LEN("Stage"))="Stage"</formula>
    </cfRule>
    <cfRule type="beginsWith" dxfId="10400" priority="27791" operator="beginsWith" text="Entreprise">
      <formula>LEFT(CT205,LEN("Entreprise"))="Entreprise"</formula>
    </cfRule>
    <cfRule type="beginsWith" dxfId="10399" priority="27792" operator="beginsWith" text="Voltaire">
      <formula>LEFT(CT205,LEN("Voltaire"))="Voltaire"</formula>
    </cfRule>
  </conditionalFormatting>
  <conditionalFormatting sqref="CT211">
    <cfRule type="beginsWith" dxfId="10398" priority="19003" operator="beginsWith" text="Projet professionnel : Séminaire PFI">
      <formula>LEFT(CT211,LEN("Projet professionnel : Séminaire PFI"))="Projet professionnel : Séminaire PFI"</formula>
    </cfRule>
    <cfRule type="beginsWith" dxfId="10397" priority="19004" operator="beginsWith" text="Lancement Projet fil rouge">
      <formula>LEFT(CT211,LEN("Lancement Projet fil rouge"))="Lancement Projet fil rouge"</formula>
    </cfRule>
    <cfRule type="beginsWith" dxfId="10396" priority="19005" operator="beginsWith" text="Vacances">
      <formula>LEFT(CT211,LEN("Vacances"))="Vacances"</formula>
    </cfRule>
    <cfRule type="beginsWith" dxfId="10395" priority="19006" operator="beginsWith" text="Séminaire d'intégration">
      <formula>LEFT(CT211,LEN("Séminaire d'intégration"))="Séminaire d'intégration"</formula>
    </cfRule>
    <cfRule type="beginsWith" dxfId="10394" priority="19007" operator="beginsWith" text="Accueil">
      <formula>LEFT(CT211,LEN("Accueil"))="Accueil"</formula>
    </cfRule>
    <cfRule type="beginsWith" dxfId="10393" priority="19008" operator="beginsWith" text="Stage">
      <formula>LEFT(CT211,LEN("Stage"))="Stage"</formula>
    </cfRule>
    <cfRule type="beginsWith" dxfId="10392" priority="19009" operator="beginsWith" text="Entreprise">
      <formula>LEFT(CT211,LEN("Entreprise"))="Entreprise"</formula>
    </cfRule>
    <cfRule type="beginsWith" dxfId="10391" priority="19010" operator="beginsWith" text="Voltaire">
      <formula>LEFT(CT211,LEN("Voltaire"))="Voltaire"</formula>
    </cfRule>
    <cfRule type="beginsWith" dxfId="10390" priority="19011" operator="beginsWith" text="Projet professionnel : Séminaire PFI">
      <formula>LEFT(CT211,LEN("Projet professionnel : Séminaire PFI"))="Projet professionnel : Séminaire PFI"</formula>
    </cfRule>
    <cfRule type="beginsWith" dxfId="10389" priority="19012" operator="beginsWith" text="Lancement Projet fil rouge">
      <formula>LEFT(CT211,LEN("Lancement Projet fil rouge"))="Lancement Projet fil rouge"</formula>
    </cfRule>
    <cfRule type="beginsWith" dxfId="10388" priority="19013" operator="beginsWith" text="Vacances">
      <formula>LEFT(CT211,LEN("Vacances"))="Vacances"</formula>
    </cfRule>
    <cfRule type="beginsWith" dxfId="10387" priority="19014" operator="beginsWith" text="Séminaire d'intégration">
      <formula>LEFT(CT211,LEN("Séminaire d'intégration"))="Séminaire d'intégration"</formula>
    </cfRule>
    <cfRule type="beginsWith" dxfId="10386" priority="19015" operator="beginsWith" text="Accueil">
      <formula>LEFT(CT211,LEN("Accueil"))="Accueil"</formula>
    </cfRule>
    <cfRule type="beginsWith" dxfId="10385" priority="19016" operator="beginsWith" text="Stage">
      <formula>LEFT(CT211,LEN("Stage"))="Stage"</formula>
    </cfRule>
    <cfRule type="beginsWith" dxfId="10384" priority="19017" operator="beginsWith" text="Entreprise">
      <formula>LEFT(CT211,LEN("Entreprise"))="Entreprise"</formula>
    </cfRule>
    <cfRule type="beginsWith" dxfId="10383" priority="19018" operator="beginsWith" text="Voltaire">
      <formula>LEFT(CT211,LEN("Voltaire"))="Voltaire"</formula>
    </cfRule>
  </conditionalFormatting>
  <conditionalFormatting sqref="CT216">
    <cfRule type="beginsWith" dxfId="10382" priority="18995" operator="beginsWith" text="Projet professionnel : Séminaire PFI">
      <formula>LEFT(CT216,LEN("Projet professionnel : Séminaire PFI"))="Projet professionnel : Séminaire PFI"</formula>
    </cfRule>
    <cfRule type="beginsWith" dxfId="10381" priority="18996" operator="beginsWith" text="Lancement Projet fil rouge">
      <formula>LEFT(CT216,LEN("Lancement Projet fil rouge"))="Lancement Projet fil rouge"</formula>
    </cfRule>
    <cfRule type="beginsWith" dxfId="10380" priority="18997" operator="beginsWith" text="Vacances">
      <formula>LEFT(CT216,LEN("Vacances"))="Vacances"</formula>
    </cfRule>
    <cfRule type="beginsWith" dxfId="10379" priority="18998" operator="beginsWith" text="Séminaire d'intégration">
      <formula>LEFT(CT216,LEN("Séminaire d'intégration"))="Séminaire d'intégration"</formula>
    </cfRule>
    <cfRule type="beginsWith" dxfId="10378" priority="18999" operator="beginsWith" text="Accueil">
      <formula>LEFT(CT216,LEN("Accueil"))="Accueil"</formula>
    </cfRule>
    <cfRule type="beginsWith" dxfId="10377" priority="19000" operator="beginsWith" text="Stage">
      <formula>LEFT(CT216,LEN("Stage"))="Stage"</formula>
    </cfRule>
    <cfRule type="beginsWith" dxfId="10376" priority="19001" operator="beginsWith" text="Entreprise">
      <formula>LEFT(CT216,LEN("Entreprise"))="Entreprise"</formula>
    </cfRule>
    <cfRule type="beginsWith" dxfId="10375" priority="19002" operator="beginsWith" text="Voltaire">
      <formula>LEFT(CT216,LEN("Voltaire"))="Voltaire"</formula>
    </cfRule>
  </conditionalFormatting>
  <conditionalFormatting sqref="CT221">
    <cfRule type="beginsWith" dxfId="10374" priority="18987" operator="beginsWith" text="Projet professionnel : Séminaire PFI">
      <formula>LEFT(CT221,LEN("Projet professionnel : Séminaire PFI"))="Projet professionnel : Séminaire PFI"</formula>
    </cfRule>
    <cfRule type="beginsWith" dxfId="10373" priority="18988" operator="beginsWith" text="Lancement Projet fil rouge">
      <formula>LEFT(CT221,LEN("Lancement Projet fil rouge"))="Lancement Projet fil rouge"</formula>
    </cfRule>
    <cfRule type="beginsWith" dxfId="10372" priority="18989" operator="beginsWith" text="Vacances">
      <formula>LEFT(CT221,LEN("Vacances"))="Vacances"</formula>
    </cfRule>
    <cfRule type="beginsWith" dxfId="10371" priority="18990" operator="beginsWith" text="Séminaire d'intégration">
      <formula>LEFT(CT221,LEN("Séminaire d'intégration"))="Séminaire d'intégration"</formula>
    </cfRule>
    <cfRule type="beginsWith" dxfId="10370" priority="18991" operator="beginsWith" text="Accueil">
      <formula>LEFT(CT221,LEN("Accueil"))="Accueil"</formula>
    </cfRule>
    <cfRule type="beginsWith" dxfId="10369" priority="18992" operator="beginsWith" text="Stage">
      <formula>LEFT(CT221,LEN("Stage"))="Stage"</formula>
    </cfRule>
    <cfRule type="beginsWith" dxfId="10368" priority="18993" operator="beginsWith" text="Entreprise">
      <formula>LEFT(CT221,LEN("Entreprise"))="Entreprise"</formula>
    </cfRule>
    <cfRule type="beginsWith" dxfId="10367" priority="18994" operator="beginsWith" text="Voltaire">
      <formula>LEFT(CT221,LEN("Voltaire"))="Voltaire"</formula>
    </cfRule>
  </conditionalFormatting>
  <conditionalFormatting sqref="CT241">
    <cfRule type="beginsWith" dxfId="10366" priority="27833" operator="beginsWith" text="Projet professionnel : Séminaire PFI">
      <formula>LEFT(CT241,LEN("Projet professionnel : Séminaire PFI"))="Projet professionnel : Séminaire PFI"</formula>
    </cfRule>
    <cfRule type="beginsWith" dxfId="10365" priority="27834" operator="beginsWith" text="Lancement Projet fil rouge">
      <formula>LEFT(CT241,LEN("Lancement Projet fil rouge"))="Lancement Projet fil rouge"</formula>
    </cfRule>
    <cfRule type="beginsWith" dxfId="10364" priority="27835" operator="beginsWith" text="Vacances">
      <formula>LEFT(CT241,LEN("Vacances"))="Vacances"</formula>
    </cfRule>
    <cfRule type="beginsWith" dxfId="10363" priority="27836" operator="beginsWith" text="Séminaire d'intégration">
      <formula>LEFT(CT241,LEN("Séminaire d'intégration"))="Séminaire d'intégration"</formula>
    </cfRule>
    <cfRule type="beginsWith" dxfId="10362" priority="27837" operator="beginsWith" text="Accueil">
      <formula>LEFT(CT241,LEN("Accueil"))="Accueil"</formula>
    </cfRule>
    <cfRule type="beginsWith" dxfId="10361" priority="27838" operator="beginsWith" text="Stage">
      <formula>LEFT(CT241,LEN("Stage"))="Stage"</formula>
    </cfRule>
    <cfRule type="beginsWith" dxfId="10360" priority="27839" operator="beginsWith" text="Entreprise">
      <formula>LEFT(CT241,LEN("Entreprise"))="Entreprise"</formula>
    </cfRule>
    <cfRule type="beginsWith" dxfId="10359" priority="27840" operator="beginsWith" text="Voltaire">
      <formula>LEFT(CT241,LEN("Voltaire"))="Voltaire"</formula>
    </cfRule>
    <cfRule type="beginsWith" dxfId="10358" priority="27841" operator="beginsWith" text="Projet professionnel : Séminaire PFI">
      <formula>LEFT(CT241,LEN("Projet professionnel : Séminaire PFI"))="Projet professionnel : Séminaire PFI"</formula>
    </cfRule>
    <cfRule type="beginsWith" dxfId="10357" priority="27842" operator="beginsWith" text="Lancement Projet fil rouge">
      <formula>LEFT(CT241,LEN("Lancement Projet fil rouge"))="Lancement Projet fil rouge"</formula>
    </cfRule>
    <cfRule type="beginsWith" dxfId="10356" priority="27843" operator="beginsWith" text="Vacances">
      <formula>LEFT(CT241,LEN("Vacances"))="Vacances"</formula>
    </cfRule>
    <cfRule type="beginsWith" dxfId="10355" priority="27844" operator="beginsWith" text="Séminaire d'intégration">
      <formula>LEFT(CT241,LEN("Séminaire d'intégration"))="Séminaire d'intégration"</formula>
    </cfRule>
    <cfRule type="beginsWith" dxfId="10354" priority="27845" operator="beginsWith" text="Accueil">
      <formula>LEFT(CT241,LEN("Accueil"))="Accueil"</formula>
    </cfRule>
    <cfRule type="beginsWith" dxfId="10353" priority="27846" operator="beginsWith" text="Stage">
      <formula>LEFT(CT241,LEN("Stage"))="Stage"</formula>
    </cfRule>
    <cfRule type="beginsWith" dxfId="10352" priority="27847" operator="beginsWith" text="Entreprise">
      <formula>LEFT(CT241,LEN("Entreprise"))="Entreprise"</formula>
    </cfRule>
    <cfRule type="beginsWith" dxfId="10351" priority="27848" operator="beginsWith" text="Voltaire">
      <formula>LEFT(CT241,LEN("Voltaire"))="Voltaire"</formula>
    </cfRule>
  </conditionalFormatting>
  <conditionalFormatting sqref="CT250">
    <cfRule type="beginsWith" dxfId="10350" priority="27881" operator="beginsWith" text="Projet professionnel : Séminaire PFI">
      <formula>LEFT(CT250,LEN("Projet professionnel : Séminaire PFI"))="Projet professionnel : Séminaire PFI"</formula>
    </cfRule>
    <cfRule type="beginsWith" dxfId="10349" priority="27882" operator="beginsWith" text="Lancement Projet fil rouge">
      <formula>LEFT(CT250,LEN("Lancement Projet fil rouge"))="Lancement Projet fil rouge"</formula>
    </cfRule>
    <cfRule type="beginsWith" dxfId="10348" priority="27883" operator="beginsWith" text="Vacances">
      <formula>LEFT(CT250,LEN("Vacances"))="Vacances"</formula>
    </cfRule>
    <cfRule type="beginsWith" dxfId="10347" priority="27884" operator="beginsWith" text="Séminaire d'intégration">
      <formula>LEFT(CT250,LEN("Séminaire d'intégration"))="Séminaire d'intégration"</formula>
    </cfRule>
    <cfRule type="beginsWith" dxfId="10346" priority="27885" operator="beginsWith" text="Accueil">
      <formula>LEFT(CT250,LEN("Accueil"))="Accueil"</formula>
    </cfRule>
    <cfRule type="beginsWith" dxfId="10345" priority="27886" operator="beginsWith" text="Stage">
      <formula>LEFT(CT250,LEN("Stage"))="Stage"</formula>
    </cfRule>
    <cfRule type="beginsWith" dxfId="10344" priority="27887" operator="beginsWith" text="Entreprise">
      <formula>LEFT(CT250,LEN("Entreprise"))="Entreprise"</formula>
    </cfRule>
    <cfRule type="beginsWith" dxfId="10343" priority="27888" operator="beginsWith" text="Voltaire">
      <formula>LEFT(CT250,LEN("Voltaire"))="Voltaire"</formula>
    </cfRule>
  </conditionalFormatting>
  <conditionalFormatting sqref="CT251">
    <cfRule type="beginsWith" dxfId="10342" priority="27577" operator="beginsWith" text="Projet professionnel : Séminaire PFI">
      <formula>LEFT(CT251,LEN("Projet professionnel : Séminaire PFI"))="Projet professionnel : Séminaire PFI"</formula>
    </cfRule>
    <cfRule type="beginsWith" dxfId="10341" priority="27578" operator="beginsWith" text="Lancement Projet fil rouge">
      <formula>LEFT(CT251,LEN("Lancement Projet fil rouge"))="Lancement Projet fil rouge"</formula>
    </cfRule>
    <cfRule type="beginsWith" dxfId="10340" priority="27579" operator="beginsWith" text="Vacances">
      <formula>LEFT(CT251,LEN("Vacances"))="Vacances"</formula>
    </cfRule>
    <cfRule type="beginsWith" dxfId="10339" priority="27580" operator="beginsWith" text="Séminaire d'intégration">
      <formula>LEFT(CT251,LEN("Séminaire d'intégration"))="Séminaire d'intégration"</formula>
    </cfRule>
    <cfRule type="beginsWith" dxfId="10338" priority="27581" operator="beginsWith" text="Accueil">
      <formula>LEFT(CT251,LEN("Accueil"))="Accueil"</formula>
    </cfRule>
    <cfRule type="beginsWith" dxfId="10337" priority="27582" operator="beginsWith" text="Stage">
      <formula>LEFT(CT251,LEN("Stage"))="Stage"</formula>
    </cfRule>
    <cfRule type="beginsWith" dxfId="10336" priority="27583" operator="beginsWith" text="Entreprise">
      <formula>LEFT(CT251,LEN("Entreprise"))="Entreprise"</formula>
    </cfRule>
    <cfRule type="beginsWith" dxfId="10335" priority="27584" operator="beginsWith" text="Voltaire">
      <formula>LEFT(CT251,LEN("Voltaire"))="Voltaire"</formula>
    </cfRule>
    <cfRule type="beginsWith" dxfId="10334" priority="27585" operator="beginsWith" text="Projet professionnel : Séminaire PFI">
      <formula>LEFT(CT251,LEN("Projet professionnel : Séminaire PFI"))="Projet professionnel : Séminaire PFI"</formula>
    </cfRule>
    <cfRule type="beginsWith" dxfId="10333" priority="27586" operator="beginsWith" text="Lancement Projet fil rouge">
      <formula>LEFT(CT251,LEN("Lancement Projet fil rouge"))="Lancement Projet fil rouge"</formula>
    </cfRule>
    <cfRule type="beginsWith" dxfId="10332" priority="27587" operator="beginsWith" text="Vacances">
      <formula>LEFT(CT251,LEN("Vacances"))="Vacances"</formula>
    </cfRule>
    <cfRule type="beginsWith" dxfId="10331" priority="27588" operator="beginsWith" text="Séminaire d'intégration">
      <formula>LEFT(CT251,LEN("Séminaire d'intégration"))="Séminaire d'intégration"</formula>
    </cfRule>
    <cfRule type="beginsWith" dxfId="10330" priority="27589" operator="beginsWith" text="Accueil">
      <formula>LEFT(CT251,LEN("Accueil"))="Accueil"</formula>
    </cfRule>
    <cfRule type="beginsWith" dxfId="10329" priority="27590" operator="beginsWith" text="Stage">
      <formula>LEFT(CT251,LEN("Stage"))="Stage"</formula>
    </cfRule>
    <cfRule type="beginsWith" dxfId="10328" priority="27591" operator="beginsWith" text="Entreprise">
      <formula>LEFT(CT251,LEN("Entreprise"))="Entreprise"</formula>
    </cfRule>
    <cfRule type="beginsWith" dxfId="10327" priority="27592" operator="beginsWith" text="Voltaire">
      <formula>LEFT(CT251,LEN("Voltaire"))="Voltaire"</formula>
    </cfRule>
  </conditionalFormatting>
  <conditionalFormatting sqref="CT256">
    <cfRule type="beginsWith" dxfId="10326" priority="20149" operator="beginsWith" text="Projet professionnel : Séminaire PFI">
      <formula>LEFT(CT256,LEN("Projet professionnel : Séminaire PFI"))="Projet professionnel : Séminaire PFI"</formula>
    </cfRule>
    <cfRule type="beginsWith" dxfId="10325" priority="20150" operator="beginsWith" text="Lancement Projet fil rouge">
      <formula>LEFT(CT256,LEN("Lancement Projet fil rouge"))="Lancement Projet fil rouge"</formula>
    </cfRule>
    <cfRule type="beginsWith" dxfId="10324" priority="20151" operator="beginsWith" text="Vacances">
      <formula>LEFT(CT256,LEN("Vacances"))="Vacances"</formula>
    </cfRule>
    <cfRule type="beginsWith" dxfId="10323" priority="20152" operator="beginsWith" text="Séminaire d'intégration">
      <formula>LEFT(CT256,LEN("Séminaire d'intégration"))="Séminaire d'intégration"</formula>
    </cfRule>
    <cfRule type="beginsWith" dxfId="10322" priority="20153" operator="beginsWith" text="Accueil">
      <formula>LEFT(CT256,LEN("Accueil"))="Accueil"</formula>
    </cfRule>
    <cfRule type="beginsWith" dxfId="10321" priority="20154" operator="beginsWith" text="Stage">
      <formula>LEFT(CT256,LEN("Stage"))="Stage"</formula>
    </cfRule>
    <cfRule type="beginsWith" dxfId="10320" priority="20155" operator="beginsWith" text="Entreprise">
      <formula>LEFT(CT256,LEN("Entreprise"))="Entreprise"</formula>
    </cfRule>
    <cfRule type="beginsWith" dxfId="10319" priority="20156" operator="beginsWith" text="Voltaire">
      <formula>LEFT(CT256,LEN("Voltaire"))="Voltaire"</formula>
    </cfRule>
  </conditionalFormatting>
  <conditionalFormatting sqref="CU61 CW61:CW64">
    <cfRule type="beginsWith" dxfId="10318" priority="13592" operator="beginsWith" text="Lancement Projet fil rouge">
      <formula>LEFT(CU61,LEN("Lancement Projet fil rouge"))="Lancement Projet fil rouge"</formula>
    </cfRule>
    <cfRule type="beginsWith" dxfId="10317" priority="13593" operator="beginsWith" text="Vacances">
      <formula>LEFT(CU61,LEN("Vacances"))="Vacances"</formula>
    </cfRule>
    <cfRule type="beginsWith" dxfId="10316" priority="13594" operator="beginsWith" text="Séminaire d'intégration">
      <formula>LEFT(CU61,LEN("Séminaire d'intégration"))="Séminaire d'intégration"</formula>
    </cfRule>
    <cfRule type="beginsWith" dxfId="10315" priority="13595" operator="beginsWith" text="Accueil">
      <formula>LEFT(CU61,LEN("Accueil"))="Accueil"</formula>
    </cfRule>
    <cfRule type="beginsWith" dxfId="10314" priority="13598" operator="beginsWith" text="Stage">
      <formula>LEFT(CU61,LEN("Stage"))="Stage"</formula>
    </cfRule>
    <cfRule type="beginsWith" dxfId="10313" priority="13599" operator="beginsWith" text="Entreprise">
      <formula>LEFT(CU61,LEN("Entreprise"))="Entreprise"</formula>
    </cfRule>
    <cfRule type="beginsWith" dxfId="10312" priority="13601" operator="beginsWith" text="Voltaire">
      <formula>LEFT(CU61,LEN("Voltaire"))="Voltaire"</formula>
    </cfRule>
  </conditionalFormatting>
  <conditionalFormatting sqref="CU68">
    <cfRule type="beginsWith" dxfId="10311" priority="12587" operator="beginsWith" text="Lancement Projet fil rouge">
      <formula>LEFT(CU68,LEN("Lancement Projet fil rouge"))="Lancement Projet fil rouge"</formula>
    </cfRule>
    <cfRule type="beginsWith" dxfId="10310" priority="12588" operator="beginsWith" text="Vacances">
      <formula>LEFT(CU68,LEN("Vacances"))="Vacances"</formula>
    </cfRule>
    <cfRule type="beginsWith" dxfId="10309" priority="12589" operator="beginsWith" text="Séminaire d'intégration">
      <formula>LEFT(CU68,LEN("Séminaire d'intégration"))="Séminaire d'intégration"</formula>
    </cfRule>
    <cfRule type="beginsWith" dxfId="10308" priority="12590" operator="beginsWith" text="Accueil">
      <formula>LEFT(CU68,LEN("Accueil"))="Accueil"</formula>
    </cfRule>
    <cfRule type="beginsWith" dxfId="10307" priority="12591" operator="beginsWith" text="Stage">
      <formula>LEFT(CU68,LEN("Stage"))="Stage"</formula>
    </cfRule>
    <cfRule type="beginsWith" dxfId="10306" priority="12592" operator="beginsWith" text="Entreprise">
      <formula>LEFT(CU68,LEN("Entreprise"))="Entreprise"</formula>
    </cfRule>
    <cfRule type="beginsWith" dxfId="10305" priority="12593" operator="beginsWith" text="Voltaire">
      <formula>LEFT(CU68,LEN("Voltaire"))="Voltaire"</formula>
    </cfRule>
  </conditionalFormatting>
  <conditionalFormatting sqref="CU126:CU130">
    <cfRule type="beginsWith" dxfId="10304" priority="13558" operator="beginsWith" text="Lancement Projet fil rouge">
      <formula>LEFT(CU126,LEN("Lancement Projet fil rouge"))="Lancement Projet fil rouge"</formula>
    </cfRule>
    <cfRule type="beginsWith" dxfId="10303" priority="13559" operator="beginsWith" text="Vacances">
      <formula>LEFT(CU126,LEN("Vacances"))="Vacances"</formula>
    </cfRule>
    <cfRule type="beginsWith" dxfId="10302" priority="13560" operator="beginsWith" text="Séminaire d'intégration">
      <formula>LEFT(CU126,LEN("Séminaire d'intégration"))="Séminaire d'intégration"</formula>
    </cfRule>
    <cfRule type="beginsWith" dxfId="10301" priority="13561" operator="beginsWith" text="Accueil">
      <formula>LEFT(CU126,LEN("Accueil"))="Accueil"</formula>
    </cfRule>
    <cfRule type="beginsWith" dxfId="10300" priority="13562" operator="beginsWith" text="Stage">
      <formula>LEFT(CU126,LEN("Stage"))="Stage"</formula>
    </cfRule>
    <cfRule type="beginsWith" dxfId="10299" priority="13563" operator="beginsWith" text="Entreprise">
      <formula>LEFT(CU126,LEN("Entreprise"))="Entreprise"</formula>
    </cfRule>
    <cfRule type="beginsWith" dxfId="10298" priority="13564" operator="beginsWith" text="Voltaire">
      <formula>LEFT(CU126,LEN("Voltaire"))="Voltaire"</formula>
    </cfRule>
  </conditionalFormatting>
  <conditionalFormatting sqref="CU131">
    <cfRule type="beginsWith" dxfId="10297" priority="18915" operator="beginsWith" text="Lancement Projet fil rouge">
      <formula>LEFT(CU131,LEN("Lancement Projet fil rouge"))="Lancement Projet fil rouge"</formula>
    </cfRule>
    <cfRule type="beginsWith" dxfId="10296" priority="18916" operator="beginsWith" text="Vacances">
      <formula>LEFT(CU131,LEN("Vacances"))="Vacances"</formula>
    </cfRule>
    <cfRule type="beginsWith" dxfId="10295" priority="18917" operator="beginsWith" text="Séminaire d'intégration">
      <formula>LEFT(CU131,LEN("Séminaire d'intégration"))="Séminaire d'intégration"</formula>
    </cfRule>
    <cfRule type="beginsWith" dxfId="10294" priority="18918" operator="beginsWith" text="Accueil">
      <formula>LEFT(CU131,LEN("Accueil"))="Accueil"</formula>
    </cfRule>
    <cfRule type="beginsWith" dxfId="10293" priority="18919" operator="beginsWith" text="Stage">
      <formula>LEFT(CU131,LEN("Stage"))="Stage"</formula>
    </cfRule>
    <cfRule type="beginsWith" dxfId="10292" priority="18920" operator="beginsWith" text="Entreprise">
      <formula>LEFT(CU131,LEN("Entreprise"))="Entreprise"</formula>
    </cfRule>
    <cfRule type="beginsWith" dxfId="10291" priority="18921" operator="beginsWith" text="Voltaire">
      <formula>LEFT(CU131,LEN("Voltaire"))="Voltaire"</formula>
    </cfRule>
  </conditionalFormatting>
  <conditionalFormatting sqref="CU146:CU150">
    <cfRule type="beginsWith" dxfId="10290" priority="12681" operator="beginsWith" text="Lancement Projet fil rouge">
      <formula>LEFT(CU146,LEN("Lancement Projet fil rouge"))="Lancement Projet fil rouge"</formula>
    </cfRule>
    <cfRule type="beginsWith" dxfId="10289" priority="12682" operator="beginsWith" text="Vacances">
      <formula>LEFT(CU146,LEN("Vacances"))="Vacances"</formula>
    </cfRule>
    <cfRule type="beginsWith" dxfId="10288" priority="12683" operator="beginsWith" text="Séminaire d'intégration">
      <formula>LEFT(CU146,LEN("Séminaire d'intégration"))="Séminaire d'intégration"</formula>
    </cfRule>
    <cfRule type="beginsWith" dxfId="10287" priority="12684" operator="beginsWith" text="Accueil">
      <formula>LEFT(CU146,LEN("Accueil"))="Accueil"</formula>
    </cfRule>
    <cfRule type="beginsWith" dxfId="10286" priority="12685" operator="beginsWith" text="Stage">
      <formula>LEFT(CU146,LEN("Stage"))="Stage"</formula>
    </cfRule>
    <cfRule type="beginsWith" dxfId="10285" priority="12686" operator="beginsWith" text="Entreprise">
      <formula>LEFT(CU146,LEN("Entreprise"))="Entreprise"</formula>
    </cfRule>
    <cfRule type="beginsWith" dxfId="10284" priority="12687" operator="beginsWith" text="Voltaire">
      <formula>LEFT(CU146,LEN("Voltaire"))="Voltaire"</formula>
    </cfRule>
  </conditionalFormatting>
  <conditionalFormatting sqref="CU151">
    <cfRule type="beginsWith" dxfId="10283" priority="19068" operator="beginsWith" text="Lancement Projet fil rouge">
      <formula>LEFT(CU151,LEN("Lancement Projet fil rouge"))="Lancement Projet fil rouge"</formula>
    </cfRule>
    <cfRule type="beginsWith" dxfId="10282" priority="19069" operator="beginsWith" text="Vacances">
      <formula>LEFT(CU151,LEN("Vacances"))="Vacances"</formula>
    </cfRule>
    <cfRule type="beginsWith" dxfId="10281" priority="19070" operator="beginsWith" text="Séminaire d'intégration">
      <formula>LEFT(CU151,LEN("Séminaire d'intégration"))="Séminaire d'intégration"</formula>
    </cfRule>
    <cfRule type="beginsWith" dxfId="10280" priority="19071" operator="beginsWith" text="Accueil">
      <formula>LEFT(CU151,LEN("Accueil"))="Accueil"</formula>
    </cfRule>
    <cfRule type="beginsWith" dxfId="10279" priority="19072" operator="beginsWith" text="Stage">
      <formula>LEFT(CU151,LEN("Stage"))="Stage"</formula>
    </cfRule>
    <cfRule type="beginsWith" dxfId="10278" priority="19073" operator="beginsWith" text="Entreprise">
      <formula>LEFT(CU151,LEN("Entreprise"))="Entreprise"</formula>
    </cfRule>
    <cfRule type="beginsWith" dxfId="10277" priority="19074" operator="beginsWith" text="Voltaire">
      <formula>LEFT(CU151,LEN("Voltaire"))="Voltaire"</formula>
    </cfRule>
  </conditionalFormatting>
  <conditionalFormatting sqref="CU196">
    <cfRule type="beginsWith" dxfId="10276" priority="19233" operator="beginsWith" text="Lancement Projet fil rouge">
      <formula>LEFT(CU196,LEN("Lancement Projet fil rouge"))="Lancement Projet fil rouge"</formula>
    </cfRule>
    <cfRule type="beginsWith" dxfId="10275" priority="19234" operator="beginsWith" text="Vacances">
      <formula>LEFT(CU196,LEN("Vacances"))="Vacances"</formula>
    </cfRule>
    <cfRule type="beginsWith" dxfId="10274" priority="19235" operator="beginsWith" text="Séminaire d'intégration">
      <formula>LEFT(CU196,LEN("Séminaire d'intégration"))="Séminaire d'intégration"</formula>
    </cfRule>
    <cfRule type="beginsWith" dxfId="10273" priority="19236" operator="beginsWith" text="Accueil">
      <formula>LEFT(CU196,LEN("Accueil"))="Accueil"</formula>
    </cfRule>
    <cfRule type="beginsWith" dxfId="10272" priority="19237" operator="beginsWith" text="Stage">
      <formula>LEFT(CU196,LEN("Stage"))="Stage"</formula>
    </cfRule>
    <cfRule type="beginsWith" dxfId="10271" priority="19238" operator="beginsWith" text="Entreprise">
      <formula>LEFT(CU196,LEN("Entreprise"))="Entreprise"</formula>
    </cfRule>
    <cfRule type="beginsWith" dxfId="10270" priority="19239" operator="beginsWith" text="Voltaire">
      <formula>LEFT(CU196,LEN("Voltaire"))="Voltaire"</formula>
    </cfRule>
  </conditionalFormatting>
  <conditionalFormatting sqref="CU207">
    <cfRule type="beginsWith" dxfId="10269" priority="19240" operator="beginsWith" text="Lancement Projet fil rouge">
      <formula>LEFT(CU207,LEN("Lancement Projet fil rouge"))="Lancement Projet fil rouge"</formula>
    </cfRule>
    <cfRule type="beginsWith" dxfId="10268" priority="19241" operator="beginsWith" text="Vacances">
      <formula>LEFT(CU207,LEN("Vacances"))="Vacances"</formula>
    </cfRule>
    <cfRule type="beginsWith" dxfId="10267" priority="19242" operator="beginsWith" text="Séminaire d'intégration">
      <formula>LEFT(CU207,LEN("Séminaire d'intégration"))="Séminaire d'intégration"</formula>
    </cfRule>
    <cfRule type="beginsWith" dxfId="10266" priority="19243" operator="beginsWith" text="Accueil">
      <formula>LEFT(CU207,LEN("Accueil"))="Accueil"</formula>
    </cfRule>
    <cfRule type="beginsWith" dxfId="10265" priority="19244" operator="beginsWith" text="Stage">
      <formula>LEFT(CU207,LEN("Stage"))="Stage"</formula>
    </cfRule>
    <cfRule type="beginsWith" dxfId="10264" priority="19245" operator="beginsWith" text="Entreprise">
      <formula>LEFT(CU207,LEN("Entreprise"))="Entreprise"</formula>
    </cfRule>
    <cfRule type="beginsWith" dxfId="10263" priority="19246" operator="beginsWith" text="Voltaire">
      <formula>LEFT(CU207,LEN("Voltaire"))="Voltaire"</formula>
    </cfRule>
  </conditionalFormatting>
  <conditionalFormatting sqref="CU221">
    <cfRule type="beginsWith" dxfId="10262" priority="19247" operator="beginsWith" text="Lancement Projet fil rouge">
      <formula>LEFT(CU221,LEN("Lancement Projet fil rouge"))="Lancement Projet fil rouge"</formula>
    </cfRule>
    <cfRule type="beginsWith" dxfId="10261" priority="19248" operator="beginsWith" text="Vacances">
      <formula>LEFT(CU221,LEN("Vacances"))="Vacances"</formula>
    </cfRule>
    <cfRule type="beginsWith" dxfId="10260" priority="19249" operator="beginsWith" text="Séminaire d'intégration">
      <formula>LEFT(CU221,LEN("Séminaire d'intégration"))="Séminaire d'intégration"</formula>
    </cfRule>
    <cfRule type="beginsWith" dxfId="10259" priority="19250" operator="beginsWith" text="Accueil">
      <formula>LEFT(CU221,LEN("Accueil"))="Accueil"</formula>
    </cfRule>
    <cfRule type="beginsWith" dxfId="10258" priority="19251" operator="beginsWith" text="Stage">
      <formula>LEFT(CU221,LEN("Stage"))="Stage"</formula>
    </cfRule>
    <cfRule type="beginsWith" dxfId="10257" priority="19252" operator="beginsWith" text="Entreprise">
      <formula>LEFT(CU221,LEN("Entreprise"))="Entreprise"</formula>
    </cfRule>
    <cfRule type="beginsWith" dxfId="10256" priority="19253" operator="beginsWith" text="Voltaire">
      <formula>LEFT(CU221,LEN("Voltaire"))="Voltaire"</formula>
    </cfRule>
  </conditionalFormatting>
  <conditionalFormatting sqref="CU81:CW81 CV82:CW84 CV85">
    <cfRule type="beginsWith" dxfId="10255" priority="12614" operator="beginsWith" text="Lancement Projet fil rouge">
      <formula>LEFT(CU81,LEN("Lancement Projet fil rouge"))="Lancement Projet fil rouge"</formula>
    </cfRule>
    <cfRule type="beginsWith" dxfId="10254" priority="12615" operator="beginsWith" text="Vacances">
      <formula>LEFT(CU81,LEN("Vacances"))="Vacances"</formula>
    </cfRule>
    <cfRule type="beginsWith" dxfId="10253" priority="12616" operator="beginsWith" text="Séminaire d'intégration">
      <formula>LEFT(CU81,LEN("Séminaire d'intégration"))="Séminaire d'intégration"</formula>
    </cfRule>
    <cfRule type="beginsWith" dxfId="10252" priority="12617" operator="beginsWith" text="Accueil">
      <formula>LEFT(CU81,LEN("Accueil"))="Accueil"</formula>
    </cfRule>
    <cfRule type="beginsWith" dxfId="10251" priority="12620" operator="beginsWith" text="Stage">
      <formula>LEFT(CU81,LEN("Stage"))="Stage"</formula>
    </cfRule>
    <cfRule type="beginsWith" dxfId="10250" priority="12621" operator="beginsWith" text="Entreprise">
      <formula>LEFT(CU81,LEN("Entreprise"))="Entreprise"</formula>
    </cfRule>
    <cfRule type="beginsWith" dxfId="10249" priority="12623" operator="beginsWith" text="Voltaire">
      <formula>LEFT(CU81,LEN("Voltaire"))="Voltaire"</formula>
    </cfRule>
  </conditionalFormatting>
  <conditionalFormatting sqref="CV61">
    <cfRule type="beginsWith" dxfId="10248" priority="12580" operator="beginsWith" text="Lancement Projet fil rouge">
      <formula>LEFT(CV61,LEN("Lancement Projet fil rouge"))="Lancement Projet fil rouge"</formula>
    </cfRule>
    <cfRule type="beginsWith" dxfId="10247" priority="12581" operator="beginsWith" text="Vacances">
      <formula>LEFT(CV61,LEN("Vacances"))="Vacances"</formula>
    </cfRule>
    <cfRule type="beginsWith" dxfId="10246" priority="12582" operator="beginsWith" text="Séminaire d'intégration">
      <formula>LEFT(CV61,LEN("Séminaire d'intégration"))="Séminaire d'intégration"</formula>
    </cfRule>
    <cfRule type="beginsWith" dxfId="10245" priority="12583" operator="beginsWith" text="Accueil">
      <formula>LEFT(CV61,LEN("Accueil"))="Accueil"</formula>
    </cfRule>
    <cfRule type="beginsWith" dxfId="10244" priority="12584" operator="beginsWith" text="Stage">
      <formula>LEFT(CV61,LEN("Stage"))="Stage"</formula>
    </cfRule>
    <cfRule type="beginsWith" dxfId="10243" priority="12585" operator="beginsWith" text="Entreprise">
      <formula>LEFT(CV61,LEN("Entreprise"))="Entreprise"</formula>
    </cfRule>
    <cfRule type="beginsWith" dxfId="10242" priority="12586" operator="beginsWith" text="Voltaire">
      <formula>LEFT(CV61,LEN("Voltaire"))="Voltaire"</formula>
    </cfRule>
  </conditionalFormatting>
  <conditionalFormatting sqref="CV67">
    <cfRule type="beginsWith" dxfId="10241" priority="20944" operator="beginsWith" text="Lancement Projet fil rouge">
      <formula>LEFT(CV67,LEN("Lancement Projet fil rouge"))="Lancement Projet fil rouge"</formula>
    </cfRule>
    <cfRule type="beginsWith" dxfId="10240" priority="20945" operator="beginsWith" text="Vacances">
      <formula>LEFT(CV67,LEN("Vacances"))="Vacances"</formula>
    </cfRule>
    <cfRule type="beginsWith" dxfId="10239" priority="20946" operator="beginsWith" text="Séminaire d'intégration">
      <formula>LEFT(CV67,LEN("Séminaire d'intégration"))="Séminaire d'intégration"</formula>
    </cfRule>
    <cfRule type="beginsWith" dxfId="10238" priority="20947" operator="beginsWith" text="Accueil">
      <formula>LEFT(CV67,LEN("Accueil"))="Accueil"</formula>
    </cfRule>
    <cfRule type="beginsWith" dxfId="10237" priority="20948" operator="beginsWith" text="Stage">
      <formula>LEFT(CV67,LEN("Stage"))="Stage"</formula>
    </cfRule>
    <cfRule type="beginsWith" dxfId="10236" priority="20949" operator="beginsWith" text="Entreprise">
      <formula>LEFT(CV67,LEN("Entreprise"))="Entreprise"</formula>
    </cfRule>
    <cfRule type="beginsWith" dxfId="10235" priority="20950" operator="beginsWith" text="Voltaire">
      <formula>LEFT(CV67,LEN("Voltaire"))="Voltaire"</formula>
    </cfRule>
  </conditionalFormatting>
  <conditionalFormatting sqref="CV68">
    <cfRule type="beginsWith" dxfId="10234" priority="19261" operator="beginsWith" text="Lancement Projet fil rouge">
      <formula>LEFT(CV68,LEN("Lancement Projet fil rouge"))="Lancement Projet fil rouge"</formula>
    </cfRule>
    <cfRule type="beginsWith" dxfId="10233" priority="19262" operator="beginsWith" text="Vacances">
      <formula>LEFT(CV68,LEN("Vacances"))="Vacances"</formula>
    </cfRule>
    <cfRule type="beginsWith" dxfId="10232" priority="19263" operator="beginsWith" text="Séminaire d'intégration">
      <formula>LEFT(CV68,LEN("Séminaire d'intégration"))="Séminaire d'intégration"</formula>
    </cfRule>
    <cfRule type="beginsWith" dxfId="10231" priority="19264" operator="beginsWith" text="Accueil">
      <formula>LEFT(CV68,LEN("Accueil"))="Accueil"</formula>
    </cfRule>
    <cfRule type="beginsWith" dxfId="10230" priority="19265" operator="beginsWith" text="Stage">
      <formula>LEFT(CV68,LEN("Stage"))="Stage"</formula>
    </cfRule>
    <cfRule type="beginsWith" dxfId="10229" priority="19266" operator="beginsWith" text="Entreprise">
      <formula>LEFT(CV68,LEN("Entreprise"))="Entreprise"</formula>
    </cfRule>
    <cfRule type="beginsWith" dxfId="10228" priority="19267" operator="beginsWith" text="Voltaire">
      <formula>LEFT(CV68,LEN("Voltaire"))="Voltaire"</formula>
    </cfRule>
  </conditionalFormatting>
  <conditionalFormatting sqref="CV71">
    <cfRule type="beginsWith" dxfId="10227" priority="20937" operator="beginsWith" text="Lancement Projet fil rouge">
      <formula>LEFT(CV71,LEN("Lancement Projet fil rouge"))="Lancement Projet fil rouge"</formula>
    </cfRule>
    <cfRule type="beginsWith" dxfId="10226" priority="20938" operator="beginsWith" text="Vacances">
      <formula>LEFT(CV71,LEN("Vacances"))="Vacances"</formula>
    </cfRule>
    <cfRule type="beginsWith" dxfId="10225" priority="20939" operator="beginsWith" text="Séminaire d'intégration">
      <formula>LEFT(CV71,LEN("Séminaire d'intégration"))="Séminaire d'intégration"</formula>
    </cfRule>
    <cfRule type="beginsWith" dxfId="10224" priority="20940" operator="beginsWith" text="Accueil">
      <formula>LEFT(CV71,LEN("Accueil"))="Accueil"</formula>
    </cfRule>
    <cfRule type="beginsWith" dxfId="10223" priority="20941" operator="beginsWith" text="Stage">
      <formula>LEFT(CV71,LEN("Stage"))="Stage"</formula>
    </cfRule>
    <cfRule type="beginsWith" dxfId="10222" priority="20942" operator="beginsWith" text="Entreprise">
      <formula>LEFT(CV71,LEN("Entreprise"))="Entreprise"</formula>
    </cfRule>
    <cfRule type="beginsWith" dxfId="10221" priority="20943" operator="beginsWith" text="Voltaire">
      <formula>LEFT(CV71,LEN("Voltaire"))="Voltaire"</formula>
    </cfRule>
  </conditionalFormatting>
  <conditionalFormatting sqref="CV76">
    <cfRule type="beginsWith" dxfId="10220" priority="20930" operator="beginsWith" text="Lancement Projet fil rouge">
      <formula>LEFT(CV76,LEN("Lancement Projet fil rouge"))="Lancement Projet fil rouge"</formula>
    </cfRule>
    <cfRule type="beginsWith" dxfId="10219" priority="20931" operator="beginsWith" text="Vacances">
      <formula>LEFT(CV76,LEN("Vacances"))="Vacances"</formula>
    </cfRule>
    <cfRule type="beginsWith" dxfId="10218" priority="20932" operator="beginsWith" text="Séminaire d'intégration">
      <formula>LEFT(CV76,LEN("Séminaire d'intégration"))="Séminaire d'intégration"</formula>
    </cfRule>
    <cfRule type="beginsWith" dxfId="10217" priority="20933" operator="beginsWith" text="Accueil">
      <formula>LEFT(CV76,LEN("Accueil"))="Accueil"</formula>
    </cfRule>
    <cfRule type="beginsWith" dxfId="10216" priority="20934" operator="beginsWith" text="Stage">
      <formula>LEFT(CV76,LEN("Stage"))="Stage"</formula>
    </cfRule>
    <cfRule type="beginsWith" dxfId="10215" priority="20935" operator="beginsWith" text="Entreprise">
      <formula>LEFT(CV76,LEN("Entreprise"))="Entreprise"</formula>
    </cfRule>
    <cfRule type="beginsWith" dxfId="10214" priority="20936" operator="beginsWith" text="Voltaire">
      <formula>LEFT(CV76,LEN("Voltaire"))="Voltaire"</formula>
    </cfRule>
  </conditionalFormatting>
  <conditionalFormatting sqref="CV96:CV105">
    <cfRule type="beginsWith" dxfId="10213" priority="19927" operator="beginsWith" text="Lancement Projet fil rouge">
      <formula>LEFT(CV96,LEN("Lancement Projet fil rouge"))="Lancement Projet fil rouge"</formula>
    </cfRule>
    <cfRule type="beginsWith" dxfId="10212" priority="19928" operator="beginsWith" text="Vacances">
      <formula>LEFT(CV96,LEN("Vacances"))="Vacances"</formula>
    </cfRule>
    <cfRule type="beginsWith" dxfId="10211" priority="19929" operator="beginsWith" text="Séminaire d'intégration">
      <formula>LEFT(CV96,LEN("Séminaire d'intégration"))="Séminaire d'intégration"</formula>
    </cfRule>
    <cfRule type="beginsWith" dxfId="10210" priority="19930" operator="beginsWith" text="Accueil">
      <formula>LEFT(CV96,LEN("Accueil"))="Accueil"</formula>
    </cfRule>
    <cfRule type="beginsWith" dxfId="10209" priority="19931" operator="beginsWith" text="Stage">
      <formula>LEFT(CV96,LEN("Stage"))="Stage"</formula>
    </cfRule>
    <cfRule type="beginsWith" dxfId="10208" priority="19932" operator="beginsWith" text="Entreprise">
      <formula>LEFT(CV96,LEN("Entreprise"))="Entreprise"</formula>
    </cfRule>
    <cfRule type="beginsWith" dxfId="10207" priority="19933" operator="beginsWith" text="Voltaire">
      <formula>LEFT(CV96,LEN("Voltaire"))="Voltaire"</formula>
    </cfRule>
  </conditionalFormatting>
  <conditionalFormatting sqref="CV126">
    <cfRule type="beginsWith" dxfId="10206" priority="12634" operator="beginsWith" text="Lancement Projet fil rouge">
      <formula>LEFT(CV126,LEN("Lancement Projet fil rouge"))="Lancement Projet fil rouge"</formula>
    </cfRule>
    <cfRule type="beginsWith" dxfId="10205" priority="12635" operator="beginsWith" text="Vacances">
      <formula>LEFT(CV126,LEN("Vacances"))="Vacances"</formula>
    </cfRule>
    <cfRule type="beginsWith" dxfId="10204" priority="12636" operator="beginsWith" text="Séminaire d'intégration">
      <formula>LEFT(CV126,LEN("Séminaire d'intégration"))="Séminaire d'intégration"</formula>
    </cfRule>
    <cfRule type="beginsWith" dxfId="10203" priority="12637" operator="beginsWith" text="Accueil">
      <formula>LEFT(CV126,LEN("Accueil"))="Accueil"</formula>
    </cfRule>
    <cfRule type="beginsWith" dxfId="10202" priority="12638" operator="beginsWith" text="Stage">
      <formula>LEFT(CV126,LEN("Stage"))="Stage"</formula>
    </cfRule>
    <cfRule type="beginsWith" dxfId="10201" priority="12639" operator="beginsWith" text="Entreprise">
      <formula>LEFT(CV126,LEN("Entreprise"))="Entreprise"</formula>
    </cfRule>
    <cfRule type="beginsWith" dxfId="10200" priority="12640" operator="beginsWith" text="Voltaire">
      <formula>LEFT(CV126,LEN("Voltaire"))="Voltaire"</formula>
    </cfRule>
  </conditionalFormatting>
  <conditionalFormatting sqref="CV131">
    <cfRule type="beginsWith" dxfId="10199" priority="12448" operator="beginsWith" text="Lancement Projet fil rouge">
      <formula>LEFT(CV131,LEN("Lancement Projet fil rouge"))="Lancement Projet fil rouge"</formula>
    </cfRule>
    <cfRule type="beginsWith" dxfId="10198" priority="12449" operator="beginsWith" text="Vacances">
      <formula>LEFT(CV131,LEN("Vacances"))="Vacances"</formula>
    </cfRule>
    <cfRule type="beginsWith" dxfId="10197" priority="12450" operator="beginsWith" text="Séminaire d'intégration">
      <formula>LEFT(CV131,LEN("Séminaire d'intégration"))="Séminaire d'intégration"</formula>
    </cfRule>
    <cfRule type="beginsWith" dxfId="10196" priority="12451" operator="beginsWith" text="Accueil">
      <formula>LEFT(CV131,LEN("Accueil"))="Accueil"</formula>
    </cfRule>
    <cfRule type="beginsWith" dxfId="10195" priority="12452" operator="beginsWith" text="Stage">
      <formula>LEFT(CV131,LEN("Stage"))="Stage"</formula>
    </cfRule>
    <cfRule type="beginsWith" dxfId="10194" priority="12453" operator="beginsWith" text="Entreprise">
      <formula>LEFT(CV131,LEN("Entreprise"))="Entreprise"</formula>
    </cfRule>
    <cfRule type="beginsWith" dxfId="10193" priority="12454" operator="beginsWith" text="Voltaire">
      <formula>LEFT(CV131,LEN("Voltaire"))="Voltaire"</formula>
    </cfRule>
  </conditionalFormatting>
  <conditionalFormatting sqref="CV136">
    <cfRule type="beginsWith" dxfId="10192" priority="12455" operator="beginsWith" text="Lancement Projet fil rouge">
      <formula>LEFT(CV136,LEN("Lancement Projet fil rouge"))="Lancement Projet fil rouge"</formula>
    </cfRule>
    <cfRule type="beginsWith" dxfId="10191" priority="12456" operator="beginsWith" text="Vacances">
      <formula>LEFT(CV136,LEN("Vacances"))="Vacances"</formula>
    </cfRule>
    <cfRule type="beginsWith" dxfId="10190" priority="12457" operator="beginsWith" text="Séminaire d'intégration">
      <formula>LEFT(CV136,LEN("Séminaire d'intégration"))="Séminaire d'intégration"</formula>
    </cfRule>
    <cfRule type="beginsWith" dxfId="10189" priority="12458" operator="beginsWith" text="Accueil">
      <formula>LEFT(CV136,LEN("Accueil"))="Accueil"</formula>
    </cfRule>
    <cfRule type="beginsWith" dxfId="10188" priority="12459" operator="beginsWith" text="Stage">
      <formula>LEFT(CV136,LEN("Stage"))="Stage"</formula>
    </cfRule>
    <cfRule type="beginsWith" dxfId="10187" priority="12460" operator="beginsWith" text="Entreprise">
      <formula>LEFT(CV136,LEN("Entreprise"))="Entreprise"</formula>
    </cfRule>
    <cfRule type="beginsWith" dxfId="10186" priority="12461" operator="beginsWith" text="Voltaire">
      <formula>LEFT(CV136,LEN("Voltaire"))="Voltaire"</formula>
    </cfRule>
  </conditionalFormatting>
  <conditionalFormatting sqref="CV141">
    <cfRule type="beginsWith" dxfId="10185" priority="12462" operator="beginsWith" text="Lancement Projet fil rouge">
      <formula>LEFT(CV141,LEN("Lancement Projet fil rouge"))="Lancement Projet fil rouge"</formula>
    </cfRule>
    <cfRule type="beginsWith" dxfId="10184" priority="12463" operator="beginsWith" text="Vacances">
      <formula>LEFT(CV141,LEN("Vacances"))="Vacances"</formula>
    </cfRule>
    <cfRule type="beginsWith" dxfId="10183" priority="12464" operator="beginsWith" text="Séminaire d'intégration">
      <formula>LEFT(CV141,LEN("Séminaire d'intégration"))="Séminaire d'intégration"</formula>
    </cfRule>
    <cfRule type="beginsWith" dxfId="10182" priority="12465" operator="beginsWith" text="Accueil">
      <formula>LEFT(CV141,LEN("Accueil"))="Accueil"</formula>
    </cfRule>
    <cfRule type="beginsWith" dxfId="10181" priority="12466" operator="beginsWith" text="Stage">
      <formula>LEFT(CV141,LEN("Stage"))="Stage"</formula>
    </cfRule>
    <cfRule type="beginsWith" dxfId="10180" priority="12467" operator="beginsWith" text="Entreprise">
      <formula>LEFT(CV141,LEN("Entreprise"))="Entreprise"</formula>
    </cfRule>
    <cfRule type="beginsWith" dxfId="10179" priority="12468" operator="beginsWith" text="Voltaire">
      <formula>LEFT(CV141,LEN("Voltaire"))="Voltaire"</formula>
    </cfRule>
  </conditionalFormatting>
  <conditionalFormatting sqref="CV146">
    <cfRule type="beginsWith" dxfId="10178" priority="12469" operator="beginsWith" text="Lancement Projet fil rouge">
      <formula>LEFT(CV146,LEN("Lancement Projet fil rouge"))="Lancement Projet fil rouge"</formula>
    </cfRule>
    <cfRule type="beginsWith" dxfId="10177" priority="12470" operator="beginsWith" text="Vacances">
      <formula>LEFT(CV146,LEN("Vacances"))="Vacances"</formula>
    </cfRule>
    <cfRule type="beginsWith" dxfId="10176" priority="12471" operator="beginsWith" text="Séminaire d'intégration">
      <formula>LEFT(CV146,LEN("Séminaire d'intégration"))="Séminaire d'intégration"</formula>
    </cfRule>
    <cfRule type="beginsWith" dxfId="10175" priority="12472" operator="beginsWith" text="Accueil">
      <formula>LEFT(CV146,LEN("Accueil"))="Accueil"</formula>
    </cfRule>
    <cfRule type="beginsWith" dxfId="10174" priority="12473" operator="beginsWith" text="Stage">
      <formula>LEFT(CV146,LEN("Stage"))="Stage"</formula>
    </cfRule>
    <cfRule type="beginsWith" dxfId="10173" priority="12474" operator="beginsWith" text="Entreprise">
      <formula>LEFT(CV146,LEN("Entreprise"))="Entreprise"</formula>
    </cfRule>
    <cfRule type="beginsWith" dxfId="10172" priority="12475" operator="beginsWith" text="Voltaire">
      <formula>LEFT(CV146,LEN("Voltaire"))="Voltaire"</formula>
    </cfRule>
  </conditionalFormatting>
  <conditionalFormatting sqref="CV161:CV165">
    <cfRule type="beginsWith" dxfId="10171" priority="20679" operator="beginsWith" text="Lancement Projet fil rouge">
      <formula>LEFT(CV161,LEN("Lancement Projet fil rouge"))="Lancement Projet fil rouge"</formula>
    </cfRule>
    <cfRule type="beginsWith" dxfId="10170" priority="20680" operator="beginsWith" text="Vacances">
      <formula>LEFT(CV161,LEN("Vacances"))="Vacances"</formula>
    </cfRule>
    <cfRule type="beginsWith" dxfId="10169" priority="20681" operator="beginsWith" text="Séminaire d'intégration">
      <formula>LEFT(CV161,LEN("Séminaire d'intégration"))="Séminaire d'intégration"</formula>
    </cfRule>
    <cfRule type="beginsWith" dxfId="10168" priority="20682" operator="beginsWith" text="Accueil">
      <formula>LEFT(CV161,LEN("Accueil"))="Accueil"</formula>
    </cfRule>
    <cfRule type="beginsWith" dxfId="10167" priority="20683" operator="beginsWith" text="Stage">
      <formula>LEFT(CV161,LEN("Stage"))="Stage"</formula>
    </cfRule>
    <cfRule type="beginsWith" dxfId="10166" priority="20684" operator="beginsWith" text="Entreprise">
      <formula>LEFT(CV161,LEN("Entreprise"))="Entreprise"</formula>
    </cfRule>
    <cfRule type="beginsWith" dxfId="10165" priority="20685" operator="beginsWith" text="Voltaire">
      <formula>LEFT(CV161,LEN("Voltaire"))="Voltaire"</formula>
    </cfRule>
  </conditionalFormatting>
  <conditionalFormatting sqref="CV166:CV170">
    <cfRule type="beginsWith" dxfId="10164" priority="20860" operator="beginsWith" text="Lancement Projet fil rouge">
      <formula>LEFT(CV166,LEN("Lancement Projet fil rouge"))="Lancement Projet fil rouge"</formula>
    </cfRule>
    <cfRule type="beginsWith" dxfId="10163" priority="20861" operator="beginsWith" text="Vacances">
      <formula>LEFT(CV166,LEN("Vacances"))="Vacances"</formula>
    </cfRule>
    <cfRule type="beginsWith" dxfId="10162" priority="20862" operator="beginsWith" text="Séminaire d'intégration">
      <formula>LEFT(CV166,LEN("Séminaire d'intégration"))="Séminaire d'intégration"</formula>
    </cfRule>
    <cfRule type="beginsWith" dxfId="10161" priority="20863" operator="beginsWith" text="Accueil">
      <formula>LEFT(CV166,LEN("Accueil"))="Accueil"</formula>
    </cfRule>
    <cfRule type="beginsWith" dxfId="10160" priority="20864" operator="beginsWith" text="Stage">
      <formula>LEFT(CV166,LEN("Stage"))="Stage"</formula>
    </cfRule>
    <cfRule type="beginsWith" dxfId="10159" priority="20865" operator="beginsWith" text="Entreprise">
      <formula>LEFT(CV166,LEN("Entreprise"))="Entreprise"</formula>
    </cfRule>
    <cfRule type="beginsWith" dxfId="10158" priority="20866" operator="beginsWith" text="Voltaire">
      <formula>LEFT(CV166,LEN("Voltaire"))="Voltaire"</formula>
    </cfRule>
  </conditionalFormatting>
  <conditionalFormatting sqref="CV171:CV175">
    <cfRule type="beginsWith" dxfId="10157" priority="20867" operator="beginsWith" text="Lancement Projet fil rouge">
      <formula>LEFT(CV171,LEN("Lancement Projet fil rouge"))="Lancement Projet fil rouge"</formula>
    </cfRule>
    <cfRule type="beginsWith" dxfId="10156" priority="20868" operator="beginsWith" text="Vacances">
      <formula>LEFT(CV171,LEN("Vacances"))="Vacances"</formula>
    </cfRule>
    <cfRule type="beginsWith" dxfId="10155" priority="20869" operator="beginsWith" text="Séminaire d'intégration">
      <formula>LEFT(CV171,LEN("Séminaire d'intégration"))="Séminaire d'intégration"</formula>
    </cfRule>
    <cfRule type="beginsWith" dxfId="10154" priority="20870" operator="beginsWith" text="Accueil">
      <formula>LEFT(CV171,LEN("Accueil"))="Accueil"</formula>
    </cfRule>
    <cfRule type="beginsWith" dxfId="10153" priority="20871" operator="beginsWith" text="Stage">
      <formula>LEFT(CV171,LEN("Stage"))="Stage"</formula>
    </cfRule>
    <cfRule type="beginsWith" dxfId="10152" priority="20872" operator="beginsWith" text="Entreprise">
      <formula>LEFT(CV171,LEN("Entreprise"))="Entreprise"</formula>
    </cfRule>
    <cfRule type="beginsWith" dxfId="10151" priority="20873" operator="beginsWith" text="Voltaire">
      <formula>LEFT(CV171,LEN("Voltaire"))="Voltaire"</formula>
    </cfRule>
  </conditionalFormatting>
  <conditionalFormatting sqref="CV176:CV180">
    <cfRule type="beginsWith" dxfId="10150" priority="19027" operator="beginsWith" text="Lancement Projet fil rouge">
      <formula>LEFT(CV176,LEN("Lancement Projet fil rouge"))="Lancement Projet fil rouge"</formula>
    </cfRule>
    <cfRule type="beginsWith" dxfId="10149" priority="19028" operator="beginsWith" text="Vacances">
      <formula>LEFT(CV176,LEN("Vacances"))="Vacances"</formula>
    </cfRule>
    <cfRule type="beginsWith" dxfId="10148" priority="19029" operator="beginsWith" text="Séminaire d'intégration">
      <formula>LEFT(CV176,LEN("Séminaire d'intégration"))="Séminaire d'intégration"</formula>
    </cfRule>
    <cfRule type="beginsWith" dxfId="10147" priority="19030" operator="beginsWith" text="Accueil">
      <formula>LEFT(CV176,LEN("Accueil"))="Accueil"</formula>
    </cfRule>
    <cfRule type="beginsWith" dxfId="10146" priority="19031" operator="beginsWith" text="Stage">
      <formula>LEFT(CV176,LEN("Stage"))="Stage"</formula>
    </cfRule>
    <cfRule type="beginsWith" dxfId="10145" priority="19032" operator="beginsWith" text="Entreprise">
      <formula>LEFT(CV176,LEN("Entreprise"))="Entreprise"</formula>
    </cfRule>
    <cfRule type="beginsWith" dxfId="10144" priority="19033" operator="beginsWith" text="Voltaire">
      <formula>LEFT(CV176,LEN("Voltaire"))="Voltaire"</formula>
    </cfRule>
  </conditionalFormatting>
  <conditionalFormatting sqref="CV201">
    <cfRule type="beginsWith" dxfId="10143" priority="12497" operator="beginsWith" text="Lancement Projet fil rouge">
      <formula>LEFT(CV201,LEN("Lancement Projet fil rouge"))="Lancement Projet fil rouge"</formula>
    </cfRule>
    <cfRule type="beginsWith" dxfId="10142" priority="12498" operator="beginsWith" text="Vacances">
      <formula>LEFT(CV201,LEN("Vacances"))="Vacances"</formula>
    </cfRule>
    <cfRule type="beginsWith" dxfId="10141" priority="12499" operator="beginsWith" text="Séminaire d'intégration">
      <formula>LEFT(CV201,LEN("Séminaire d'intégration"))="Séminaire d'intégration"</formula>
    </cfRule>
    <cfRule type="beginsWith" dxfId="10140" priority="12500" operator="beginsWith" text="Accueil">
      <formula>LEFT(CV201,LEN("Accueil"))="Accueil"</formula>
    </cfRule>
    <cfRule type="beginsWith" dxfId="10139" priority="12501" operator="beginsWith" text="Stage">
      <formula>LEFT(CV201,LEN("Stage"))="Stage"</formula>
    </cfRule>
    <cfRule type="beginsWith" dxfId="10138" priority="12502" operator="beginsWith" text="Entreprise">
      <formula>LEFT(CV201,LEN("Entreprise"))="Entreprise"</formula>
    </cfRule>
    <cfRule type="beginsWith" dxfId="10137" priority="12503" operator="beginsWith" text="Voltaire">
      <formula>LEFT(CV201,LEN("Voltaire"))="Voltaire"</formula>
    </cfRule>
  </conditionalFormatting>
  <conditionalFormatting sqref="CV209:CV210">
    <cfRule type="beginsWith" dxfId="10136" priority="19051" operator="beginsWith" text="Lancement Projet fil rouge">
      <formula>LEFT(CV209,LEN("Lancement Projet fil rouge"))="Lancement Projet fil rouge"</formula>
    </cfRule>
    <cfRule type="beginsWith" dxfId="10135" priority="19052" operator="beginsWith" text="Vacances">
      <formula>LEFT(CV209,LEN("Vacances"))="Vacances"</formula>
    </cfRule>
    <cfRule type="beginsWith" dxfId="10134" priority="19053" operator="beginsWith" text="Séminaire d'intégration">
      <formula>LEFT(CV209,LEN("Séminaire d'intégration"))="Séminaire d'intégration"</formula>
    </cfRule>
    <cfRule type="beginsWith" dxfId="10133" priority="19054" operator="beginsWith" text="Accueil">
      <formula>LEFT(CV209,LEN("Accueil"))="Accueil"</formula>
    </cfRule>
    <cfRule type="beginsWith" dxfId="10132" priority="19055" operator="beginsWith" text="Stage">
      <formula>LEFT(CV209,LEN("Stage"))="Stage"</formula>
    </cfRule>
    <cfRule type="beginsWith" dxfId="10131" priority="19056" operator="beginsWith" text="Entreprise">
      <formula>LEFT(CV209,LEN("Entreprise"))="Entreprise"</formula>
    </cfRule>
    <cfRule type="beginsWith" dxfId="10130" priority="19057" operator="beginsWith" text="Voltaire">
      <formula>LEFT(CV209,LEN("Voltaire"))="Voltaire"</formula>
    </cfRule>
  </conditionalFormatting>
  <conditionalFormatting sqref="CV211">
    <cfRule type="beginsWith" dxfId="10129" priority="19044" operator="beginsWith" text="Lancement Projet fil rouge">
      <formula>LEFT(CV211,LEN("Lancement Projet fil rouge"))="Lancement Projet fil rouge"</formula>
    </cfRule>
    <cfRule type="beginsWith" dxfId="10128" priority="19045" operator="beginsWith" text="Vacances">
      <formula>LEFT(CV211,LEN("Vacances"))="Vacances"</formula>
    </cfRule>
    <cfRule type="beginsWith" dxfId="10127" priority="19046" operator="beginsWith" text="Séminaire d'intégration">
      <formula>LEFT(CV211,LEN("Séminaire d'intégration"))="Séminaire d'intégration"</formula>
    </cfRule>
    <cfRule type="beginsWith" dxfId="10126" priority="19047" operator="beginsWith" text="Accueil">
      <formula>LEFT(CV211,LEN("Accueil"))="Accueil"</formula>
    </cfRule>
    <cfRule type="beginsWith" dxfId="10125" priority="19048" operator="beginsWith" text="Stage">
      <formula>LEFT(CV211,LEN("Stage"))="Stage"</formula>
    </cfRule>
    <cfRule type="beginsWith" dxfId="10124" priority="19049" operator="beginsWith" text="Entreprise">
      <formula>LEFT(CV211,LEN("Entreprise"))="Entreprise"</formula>
    </cfRule>
    <cfRule type="beginsWith" dxfId="10123" priority="19050" operator="beginsWith" text="Voltaire">
      <formula>LEFT(CV211,LEN("Voltaire"))="Voltaire"</formula>
    </cfRule>
  </conditionalFormatting>
  <conditionalFormatting sqref="CV121:CW124 CV125">
    <cfRule type="beginsWith" dxfId="10122" priority="19141" operator="beginsWith" text="Lancement Projet fil rouge">
      <formula>LEFT(CV121,LEN("Lancement Projet fil rouge"))="Lancement Projet fil rouge"</formula>
    </cfRule>
    <cfRule type="beginsWith" dxfId="10121" priority="19142" operator="beginsWith" text="Vacances">
      <formula>LEFT(CV121,LEN("Vacances"))="Vacances"</formula>
    </cfRule>
    <cfRule type="beginsWith" dxfId="10120" priority="19143" operator="beginsWith" text="Séminaire d'intégration">
      <formula>LEFT(CV121,LEN("Séminaire d'intégration"))="Séminaire d'intégration"</formula>
    </cfRule>
    <cfRule type="beginsWith" dxfId="10119" priority="19144" operator="beginsWith" text="Accueil">
      <formula>LEFT(CV121,LEN("Accueil"))="Accueil"</formula>
    </cfRule>
    <cfRule type="beginsWith" dxfId="10118" priority="19147" operator="beginsWith" text="Stage">
      <formula>LEFT(CV121,LEN("Stage"))="Stage"</formula>
    </cfRule>
    <cfRule type="beginsWith" dxfId="10117" priority="19148" operator="beginsWith" text="Entreprise">
      <formula>LEFT(CV121,LEN("Entreprise"))="Entreprise"</formula>
    </cfRule>
    <cfRule type="beginsWith" dxfId="10116" priority="19150" operator="beginsWith" text="Voltaire">
      <formula>LEFT(CV121,LEN("Voltaire"))="Voltaire"</formula>
    </cfRule>
  </conditionalFormatting>
  <conditionalFormatting sqref="CV111:CY115">
    <cfRule type="beginsWith" dxfId="10115" priority="19085" operator="beginsWith" text="Lancement Projet fil rouge">
      <formula>LEFT(CV111,LEN("Lancement Projet fil rouge"))="Lancement Projet fil rouge"</formula>
    </cfRule>
    <cfRule type="beginsWith" dxfId="10114" priority="19086" operator="beginsWith" text="Vacances">
      <formula>LEFT(CV111,LEN("Vacances"))="Vacances"</formula>
    </cfRule>
    <cfRule type="beginsWith" dxfId="10113" priority="19087" operator="beginsWith" text="Séminaire d'intégration">
      <formula>LEFT(CV111,LEN("Séminaire d'intégration"))="Séminaire d'intégration"</formula>
    </cfRule>
    <cfRule type="beginsWith" dxfId="10112" priority="19088" operator="beginsWith" text="Accueil">
      <formula>LEFT(CV111,LEN("Accueil"))="Accueil"</formula>
    </cfRule>
    <cfRule type="beginsWith" dxfId="10111" priority="19091" operator="beginsWith" text="Stage">
      <formula>LEFT(CV111,LEN("Stage"))="Stage"</formula>
    </cfRule>
    <cfRule type="beginsWith" dxfId="10110" priority="19092" operator="beginsWith" text="Entreprise">
      <formula>LEFT(CV111,LEN("Entreprise"))="Entreprise"</formula>
    </cfRule>
    <cfRule type="beginsWith" dxfId="10109" priority="19094" operator="beginsWith" text="Voltaire">
      <formula>LEFT(CV111,LEN("Voltaire"))="Voltaire"</formula>
    </cfRule>
  </conditionalFormatting>
  <conditionalFormatting sqref="CV116:CY120">
    <cfRule type="beginsWith" dxfId="10108" priority="19075" operator="beginsWith" text="Lancement Projet fil rouge">
      <formula>LEFT(CV116,LEN("Lancement Projet fil rouge"))="Lancement Projet fil rouge"</formula>
    </cfRule>
    <cfRule type="beginsWith" dxfId="10107" priority="19076" operator="beginsWith" text="Vacances">
      <formula>LEFT(CV116,LEN("Vacances"))="Vacances"</formula>
    </cfRule>
    <cfRule type="beginsWith" dxfId="10106" priority="19077" operator="beginsWith" text="Séminaire d'intégration">
      <formula>LEFT(CV116,LEN("Séminaire d'intégration"))="Séminaire d'intégration"</formula>
    </cfRule>
    <cfRule type="beginsWith" dxfId="10105" priority="19078" operator="beginsWith" text="Accueil">
      <formula>LEFT(CV116,LEN("Accueil"))="Accueil"</formula>
    </cfRule>
    <cfRule type="beginsWith" dxfId="10104" priority="19081" operator="beginsWith" text="Stage">
      <formula>LEFT(CV116,LEN("Stage"))="Stage"</formula>
    </cfRule>
    <cfRule type="beginsWith" dxfId="10103" priority="19082" operator="beginsWith" text="Entreprise">
      <formula>LEFT(CV116,LEN("Entreprise"))="Entreprise"</formula>
    </cfRule>
    <cfRule type="beginsWith" dxfId="10102" priority="19084" operator="beginsWith" text="Voltaire">
      <formula>LEFT(CV116,LEN("Voltaire"))="Voltaire"</formula>
    </cfRule>
  </conditionalFormatting>
  <conditionalFormatting sqref="CW61:CW64">
    <cfRule type="beginsWith" dxfId="10101" priority="13596" operator="beginsWith" text="TOPHYC">
      <formula>LEFT(CW61,LEN("TOPHYC"))="TOPHYC"</formula>
    </cfRule>
    <cfRule type="beginsWith" dxfId="10100" priority="13597" operator="beginsWith" text="Global Exam">
      <formula>LEFT(CW61,LEN("Global Exam"))="Global Exam"</formula>
    </cfRule>
    <cfRule type="beginsWith" dxfId="10099" priority="13600" operator="beginsWith" text="TOMIC">
      <formula>LEFT(CW61,LEN("TOMIC"))="TOMIC"</formula>
    </cfRule>
  </conditionalFormatting>
  <conditionalFormatting sqref="CW65">
    <cfRule type="beginsWith" dxfId="10098" priority="12570" operator="beginsWith" text="Lancement Projet fil rouge">
      <formula>LEFT(CW65,LEN("Lancement Projet fil rouge"))="Lancement Projet fil rouge"</formula>
    </cfRule>
    <cfRule type="beginsWith" dxfId="10097" priority="12571" operator="beginsWith" text="Vacances">
      <formula>LEFT(CW65,LEN("Vacances"))="Vacances"</formula>
    </cfRule>
    <cfRule type="beginsWith" dxfId="10096" priority="12572" operator="beginsWith" text="Séminaire d'intégration">
      <formula>LEFT(CW65,LEN("Séminaire d'intégration"))="Séminaire d'intégration"</formula>
    </cfRule>
    <cfRule type="beginsWith" dxfId="10095" priority="12573" operator="beginsWith" text="Accueil">
      <formula>LEFT(CW65,LEN("Accueil"))="Accueil"</formula>
    </cfRule>
    <cfRule type="beginsWith" dxfId="10094" priority="12574" operator="beginsWith" text="TOPHYC">
      <formula>LEFT(CW65,LEN("TOPHYC"))="TOPHYC"</formula>
    </cfRule>
    <cfRule type="beginsWith" dxfId="10093" priority="12575" operator="beginsWith" text="Global Exam">
      <formula>LEFT(CW65,LEN("Global Exam"))="Global Exam"</formula>
    </cfRule>
    <cfRule type="beginsWith" dxfId="10092" priority="12576" operator="beginsWith" text="Stage">
      <formula>LEFT(CW65,LEN("Stage"))="Stage"</formula>
    </cfRule>
    <cfRule type="beginsWith" dxfId="10091" priority="12577" operator="beginsWith" text="Entreprise">
      <formula>LEFT(CW65,LEN("Entreprise"))="Entreprise"</formula>
    </cfRule>
    <cfRule type="beginsWith" dxfId="10090" priority="12578" operator="beginsWith" text="TOMIC">
      <formula>LEFT(CW65,LEN("TOMIC"))="TOMIC"</formula>
    </cfRule>
    <cfRule type="beginsWith" dxfId="10089" priority="12579" operator="beginsWith" text="Voltaire">
      <formula>LEFT(CW65,LEN("Voltaire"))="Voltaire"</formula>
    </cfRule>
  </conditionalFormatting>
  <conditionalFormatting sqref="CW81:CW84">
    <cfRule type="beginsWith" dxfId="10088" priority="12618" operator="beginsWith" text="TOPHYC">
      <formula>LEFT(CW81,LEN("TOPHYC"))="TOPHYC"</formula>
    </cfRule>
    <cfRule type="beginsWith" dxfId="10087" priority="12619" operator="beginsWith" text="Global Exam">
      <formula>LEFT(CW81,LEN("Global Exam"))="Global Exam"</formula>
    </cfRule>
    <cfRule type="beginsWith" dxfId="10086" priority="12622" operator="beginsWith" text="TOMIC">
      <formula>LEFT(CW81,LEN("TOMIC"))="TOMIC"</formula>
    </cfRule>
  </conditionalFormatting>
  <conditionalFormatting sqref="CW85">
    <cfRule type="beginsWith" dxfId="10085" priority="12594" operator="beginsWith" text="Lancement Projet fil rouge">
      <formula>LEFT(CW85,LEN("Lancement Projet fil rouge"))="Lancement Projet fil rouge"</formula>
    </cfRule>
    <cfRule type="beginsWith" dxfId="10084" priority="12595" operator="beginsWith" text="Vacances">
      <formula>LEFT(CW85,LEN("Vacances"))="Vacances"</formula>
    </cfRule>
    <cfRule type="beginsWith" dxfId="10083" priority="12596" operator="beginsWith" text="Séminaire d'intégration">
      <formula>LEFT(CW85,LEN("Séminaire d'intégration"))="Séminaire d'intégration"</formula>
    </cfRule>
    <cfRule type="beginsWith" dxfId="10082" priority="12597" operator="beginsWith" text="Accueil">
      <formula>LEFT(CW85,LEN("Accueil"))="Accueil"</formula>
    </cfRule>
    <cfRule type="beginsWith" dxfId="10081" priority="12598" operator="beginsWith" text="TOPHYC">
      <formula>LEFT(CW85,LEN("TOPHYC"))="TOPHYC"</formula>
    </cfRule>
    <cfRule type="beginsWith" dxfId="10080" priority="12599" operator="beginsWith" text="Global Exam">
      <formula>LEFT(CW85,LEN("Global Exam"))="Global Exam"</formula>
    </cfRule>
    <cfRule type="beginsWith" dxfId="10079" priority="12600" operator="beginsWith" text="Stage">
      <formula>LEFT(CW85,LEN("Stage"))="Stage"</formula>
    </cfRule>
    <cfRule type="beginsWith" dxfId="10078" priority="12601" operator="beginsWith" text="Entreprise">
      <formula>LEFT(CW85,LEN("Entreprise"))="Entreprise"</formula>
    </cfRule>
    <cfRule type="beginsWith" dxfId="10077" priority="12602" operator="beginsWith" text="TOMIC">
      <formula>LEFT(CW85,LEN("TOMIC"))="TOMIC"</formula>
    </cfRule>
    <cfRule type="beginsWith" dxfId="10076" priority="12603" operator="beginsWith" text="Voltaire">
      <formula>LEFT(CW85,LEN("Voltaire"))="Voltaire"</formula>
    </cfRule>
  </conditionalFormatting>
  <conditionalFormatting sqref="CW121:CW124">
    <cfRule type="beginsWith" dxfId="10075" priority="19145" operator="beginsWith" text="TOPHYC">
      <formula>LEFT(CW121,LEN("TOPHYC"))="TOPHYC"</formula>
    </cfRule>
    <cfRule type="beginsWith" dxfId="10074" priority="19146" operator="beginsWith" text="Global Exam">
      <formula>LEFT(CW121,LEN("Global Exam"))="Global Exam"</formula>
    </cfRule>
    <cfRule type="beginsWith" dxfId="10073" priority="19149" operator="beginsWith" text="TOMIC">
      <formula>LEFT(CW121,LEN("TOMIC"))="TOMIC"</formula>
    </cfRule>
  </conditionalFormatting>
  <conditionalFormatting sqref="CW125">
    <cfRule type="beginsWith" dxfId="10072" priority="15462" operator="beginsWith" text="Lancement Projet fil rouge">
      <formula>LEFT(CW125,LEN("Lancement Projet fil rouge"))="Lancement Projet fil rouge"</formula>
    </cfRule>
    <cfRule type="beginsWith" dxfId="10071" priority="15463" operator="beginsWith" text="Vacances">
      <formula>LEFT(CW125,LEN("Vacances"))="Vacances"</formula>
    </cfRule>
    <cfRule type="beginsWith" dxfId="10070" priority="15464" operator="beginsWith" text="Séminaire d'intégration">
      <formula>LEFT(CW125,LEN("Séminaire d'intégration"))="Séminaire d'intégration"</formula>
    </cfRule>
    <cfRule type="beginsWith" dxfId="10069" priority="15465" operator="beginsWith" text="Accueil">
      <formula>LEFT(CW125,LEN("Accueil"))="Accueil"</formula>
    </cfRule>
    <cfRule type="beginsWith" dxfId="10068" priority="15466" operator="beginsWith" text="TOPHYC">
      <formula>LEFT(CW125,LEN("TOPHYC"))="TOPHYC"</formula>
    </cfRule>
    <cfRule type="beginsWith" dxfId="10067" priority="15467" operator="beginsWith" text="Global Exam">
      <formula>LEFT(CW125,LEN("Global Exam"))="Global Exam"</formula>
    </cfRule>
    <cfRule type="beginsWith" dxfId="10066" priority="15468" operator="beginsWith" text="Stage">
      <formula>LEFT(CW125,LEN("Stage"))="Stage"</formula>
    </cfRule>
    <cfRule type="beginsWith" dxfId="10065" priority="15469" operator="beginsWith" text="Entreprise">
      <formula>LEFT(CW125,LEN("Entreprise"))="Entreprise"</formula>
    </cfRule>
    <cfRule type="beginsWith" dxfId="10064" priority="15470" operator="beginsWith" text="TOMIC">
      <formula>LEFT(CW125,LEN("TOMIC"))="TOMIC"</formula>
    </cfRule>
    <cfRule type="beginsWith" dxfId="10063" priority="15471" operator="beginsWith" text="Voltaire">
      <formula>LEFT(CW125,LEN("Voltaire"))="Voltaire"</formula>
    </cfRule>
  </conditionalFormatting>
  <conditionalFormatting sqref="CW134">
    <cfRule type="beginsWith" dxfId="10062" priority="9844" operator="beginsWith" text="Lancement Projet fil rouge">
      <formula>LEFT(CW134,LEN("Lancement Projet fil rouge"))="Lancement Projet fil rouge"</formula>
    </cfRule>
    <cfRule type="beginsWith" dxfId="10061" priority="9845" operator="beginsWith" text="Vacances">
      <formula>LEFT(CW134,LEN("Vacances"))="Vacances"</formula>
    </cfRule>
    <cfRule type="beginsWith" dxfId="10060" priority="9846" operator="beginsWith" text="Séminaire d'intégration">
      <formula>LEFT(CW134,LEN("Séminaire d'intégration"))="Séminaire d'intégration"</formula>
    </cfRule>
    <cfRule type="beginsWith" dxfId="10059" priority="9847" operator="beginsWith" text="Accueil">
      <formula>LEFT(CW134,LEN("Accueil"))="Accueil"</formula>
    </cfRule>
    <cfRule type="beginsWith" dxfId="10058" priority="9848" operator="beginsWith" text="TOPHYC">
      <formula>LEFT(CW134,LEN("TOPHYC"))="TOPHYC"</formula>
    </cfRule>
    <cfRule type="beginsWith" dxfId="10057" priority="9849" operator="beginsWith" text="Global Exam">
      <formula>LEFT(CW134,LEN("Global Exam"))="Global Exam"</formula>
    </cfRule>
    <cfRule type="beginsWith" dxfId="10056" priority="9850" operator="beginsWith" text="Stage">
      <formula>LEFT(CW134,LEN("Stage"))="Stage"</formula>
    </cfRule>
    <cfRule type="beginsWith" dxfId="10055" priority="9851" operator="beginsWith" text="Entreprise">
      <formula>LEFT(CW134,LEN("Entreprise"))="Entreprise"</formula>
    </cfRule>
    <cfRule type="beginsWith" dxfId="10054" priority="9852" operator="beginsWith" text="TOMIC">
      <formula>LEFT(CW134,LEN("TOMIC"))="TOMIC"</formula>
    </cfRule>
    <cfRule type="beginsWith" dxfId="10053" priority="9853" operator="beginsWith" text="Voltaire">
      <formula>LEFT(CW134,LEN("Voltaire"))="Voltaire"</formula>
    </cfRule>
  </conditionalFormatting>
  <conditionalFormatting sqref="CW139">
    <cfRule type="beginsWith" dxfId="10052" priority="9834" operator="beginsWith" text="Lancement Projet fil rouge">
      <formula>LEFT(CW139,LEN("Lancement Projet fil rouge"))="Lancement Projet fil rouge"</formula>
    </cfRule>
    <cfRule type="beginsWith" dxfId="10051" priority="9835" operator="beginsWith" text="Vacances">
      <formula>LEFT(CW139,LEN("Vacances"))="Vacances"</formula>
    </cfRule>
    <cfRule type="beginsWith" dxfId="10050" priority="9836" operator="beginsWith" text="Séminaire d'intégration">
      <formula>LEFT(CW139,LEN("Séminaire d'intégration"))="Séminaire d'intégration"</formula>
    </cfRule>
    <cfRule type="beginsWith" dxfId="10049" priority="9837" operator="beginsWith" text="Accueil">
      <formula>LEFT(CW139,LEN("Accueil"))="Accueil"</formula>
    </cfRule>
    <cfRule type="beginsWith" dxfId="10048" priority="9838" operator="beginsWith" text="TOPHYC">
      <formula>LEFT(CW139,LEN("TOPHYC"))="TOPHYC"</formula>
    </cfRule>
    <cfRule type="beginsWith" dxfId="10047" priority="9839" operator="beginsWith" text="Global Exam">
      <formula>LEFT(CW139,LEN("Global Exam"))="Global Exam"</formula>
    </cfRule>
    <cfRule type="beginsWith" dxfId="10046" priority="9840" operator="beginsWith" text="Stage">
      <formula>LEFT(CW139,LEN("Stage"))="Stage"</formula>
    </cfRule>
    <cfRule type="beginsWith" dxfId="10045" priority="9841" operator="beginsWith" text="Entreprise">
      <formula>LEFT(CW139,LEN("Entreprise"))="Entreprise"</formula>
    </cfRule>
    <cfRule type="beginsWith" dxfId="10044" priority="9842" operator="beginsWith" text="TOMIC">
      <formula>LEFT(CW139,LEN("TOMIC"))="TOMIC"</formula>
    </cfRule>
    <cfRule type="beginsWith" dxfId="10043" priority="9843" operator="beginsWith" text="Voltaire">
      <formula>LEFT(CW139,LEN("Voltaire"))="Voltaire"</formula>
    </cfRule>
  </conditionalFormatting>
  <conditionalFormatting sqref="CW140">
    <cfRule type="beginsWith" dxfId="10042" priority="18871" operator="beginsWith" text="Lancement Projet fil rouge">
      <formula>LEFT(CW140,LEN("Lancement Projet fil rouge"))="Lancement Projet fil rouge"</formula>
    </cfRule>
    <cfRule type="beginsWith" dxfId="10041" priority="18872" operator="beginsWith" text="Vacances">
      <formula>LEFT(CW140,LEN("Vacances"))="Vacances"</formula>
    </cfRule>
    <cfRule type="beginsWith" dxfId="10040" priority="18873" operator="beginsWith" text="Séminaire d'intégration">
      <formula>LEFT(CW140,LEN("Séminaire d'intégration"))="Séminaire d'intégration"</formula>
    </cfRule>
    <cfRule type="beginsWith" dxfId="10039" priority="18874" operator="beginsWith" text="Accueil">
      <formula>LEFT(CW140,LEN("Accueil"))="Accueil"</formula>
    </cfRule>
    <cfRule type="beginsWith" dxfId="10038" priority="18875" operator="beginsWith" text="TOPHYC">
      <formula>LEFT(CW140,LEN("TOPHYC"))="TOPHYC"</formula>
    </cfRule>
    <cfRule type="beginsWith" dxfId="10037" priority="18876" operator="beginsWith" text="Global Exam">
      <formula>LEFT(CW140,LEN("Global Exam"))="Global Exam"</formula>
    </cfRule>
    <cfRule type="beginsWith" dxfId="10036" priority="18877" operator="beginsWith" text="Stage">
      <formula>LEFT(CW140,LEN("Stage"))="Stage"</formula>
    </cfRule>
    <cfRule type="beginsWith" dxfId="10035" priority="18878" operator="beginsWith" text="Entreprise">
      <formula>LEFT(CW140,LEN("Entreprise"))="Entreprise"</formula>
    </cfRule>
    <cfRule type="beginsWith" dxfId="10034" priority="18879" operator="beginsWith" text="TOMIC">
      <formula>LEFT(CW140,LEN("TOMIC"))="TOMIC"</formula>
    </cfRule>
    <cfRule type="beginsWith" dxfId="10033" priority="18880" operator="beginsWith" text="Voltaire">
      <formula>LEFT(CW140,LEN("Voltaire"))="Voltaire"</formula>
    </cfRule>
  </conditionalFormatting>
  <conditionalFormatting sqref="CW146:CW148">
    <cfRule type="beginsWith" dxfId="10032" priority="12705" operator="beginsWith" text="Lancement Projet fil rouge">
      <formula>LEFT(CW146,LEN("Lancement Projet fil rouge"))="Lancement Projet fil rouge"</formula>
    </cfRule>
    <cfRule type="beginsWith" dxfId="10031" priority="12706" operator="beginsWith" text="Vacances">
      <formula>LEFT(CW146,LEN("Vacances"))="Vacances"</formula>
    </cfRule>
    <cfRule type="beginsWith" dxfId="10030" priority="12707" operator="beginsWith" text="Séminaire d'intégration">
      <formula>LEFT(CW146,LEN("Séminaire d'intégration"))="Séminaire d'intégration"</formula>
    </cfRule>
    <cfRule type="beginsWith" dxfId="10029" priority="12708" operator="beginsWith" text="Accueil">
      <formula>LEFT(CW146,LEN("Accueil"))="Accueil"</formula>
    </cfRule>
    <cfRule type="beginsWith" dxfId="10028" priority="12709" operator="beginsWith" text="TOPHYC">
      <formula>LEFT(CW146,LEN("TOPHYC"))="TOPHYC"</formula>
    </cfRule>
    <cfRule type="beginsWith" dxfId="10027" priority="12710" operator="beginsWith" text="Global Exam">
      <formula>LEFT(CW146,LEN("Global Exam"))="Global Exam"</formula>
    </cfRule>
    <cfRule type="beginsWith" dxfId="10026" priority="12711" operator="beginsWith" text="Stage">
      <formula>LEFT(CW146,LEN("Stage"))="Stage"</formula>
    </cfRule>
    <cfRule type="beginsWith" dxfId="10025" priority="12712" operator="beginsWith" text="Entreprise">
      <formula>LEFT(CW146,LEN("Entreprise"))="Entreprise"</formula>
    </cfRule>
    <cfRule type="beginsWith" dxfId="10024" priority="12713" operator="beginsWith" text="TOMIC">
      <formula>LEFT(CW146,LEN("TOMIC"))="TOMIC"</formula>
    </cfRule>
    <cfRule type="beginsWith" dxfId="10023" priority="12714" operator="beginsWith" text="Voltaire">
      <formula>LEFT(CW146,LEN("Voltaire"))="Voltaire"</formula>
    </cfRule>
  </conditionalFormatting>
  <conditionalFormatting sqref="CW149">
    <cfRule type="beginsWith" dxfId="10022" priority="12624" operator="beginsWith" text="Lancement Projet fil rouge">
      <formula>LEFT(CW149,LEN("Lancement Projet fil rouge"))="Lancement Projet fil rouge"</formula>
    </cfRule>
    <cfRule type="beginsWith" dxfId="10021" priority="12625" operator="beginsWith" text="Vacances">
      <formula>LEFT(CW149,LEN("Vacances"))="Vacances"</formula>
    </cfRule>
    <cfRule type="beginsWith" dxfId="10020" priority="12626" operator="beginsWith" text="Séminaire d'intégration">
      <formula>LEFT(CW149,LEN("Séminaire d'intégration"))="Séminaire d'intégration"</formula>
    </cfRule>
    <cfRule type="beginsWith" dxfId="10019" priority="12627" operator="beginsWith" text="Accueil">
      <formula>LEFT(CW149,LEN("Accueil"))="Accueil"</formula>
    </cfRule>
    <cfRule type="beginsWith" dxfId="10018" priority="12628" operator="beginsWith" text="TOPHYC">
      <formula>LEFT(CW149,LEN("TOPHYC"))="TOPHYC"</formula>
    </cfRule>
    <cfRule type="beginsWith" dxfId="10017" priority="12629" operator="beginsWith" text="Global Exam">
      <formula>LEFT(CW149,LEN("Global Exam"))="Global Exam"</formula>
    </cfRule>
    <cfRule type="beginsWith" dxfId="10016" priority="12630" operator="beginsWith" text="Stage">
      <formula>LEFT(CW149,LEN("Stage"))="Stage"</formula>
    </cfRule>
    <cfRule type="beginsWith" dxfId="10015" priority="12631" operator="beginsWith" text="Entreprise">
      <formula>LEFT(CW149,LEN("Entreprise"))="Entreprise"</formula>
    </cfRule>
    <cfRule type="beginsWith" dxfId="10014" priority="12632" operator="beginsWith" text="TOMIC">
      <formula>LEFT(CW149,LEN("TOMIC"))="TOMIC"</formula>
    </cfRule>
    <cfRule type="beginsWith" dxfId="10013" priority="12633" operator="beginsWith" text="Voltaire">
      <formula>LEFT(CW149,LEN("Voltaire"))="Voltaire"</formula>
    </cfRule>
  </conditionalFormatting>
  <conditionalFormatting sqref="CW150">
    <cfRule type="beginsWith" dxfId="10012" priority="12671" operator="beginsWith" text="Lancement Projet fil rouge">
      <formula>LEFT(CW150,LEN("Lancement Projet fil rouge"))="Lancement Projet fil rouge"</formula>
    </cfRule>
    <cfRule type="beginsWith" dxfId="10011" priority="12672" operator="beginsWith" text="Vacances">
      <formula>LEFT(CW150,LEN("Vacances"))="Vacances"</formula>
    </cfRule>
    <cfRule type="beginsWith" dxfId="10010" priority="12673" operator="beginsWith" text="Séminaire d'intégration">
      <formula>LEFT(CW150,LEN("Séminaire d'intégration"))="Séminaire d'intégration"</formula>
    </cfRule>
    <cfRule type="beginsWith" dxfId="10009" priority="12674" operator="beginsWith" text="Accueil">
      <formula>LEFT(CW150,LEN("Accueil"))="Accueil"</formula>
    </cfRule>
    <cfRule type="beginsWith" dxfId="10008" priority="12675" operator="beginsWith" text="TOPHYC">
      <formula>LEFT(CW150,LEN("TOPHYC"))="TOPHYC"</formula>
    </cfRule>
    <cfRule type="beginsWith" dxfId="10007" priority="12676" operator="beginsWith" text="Global Exam">
      <formula>LEFT(CW150,LEN("Global Exam"))="Global Exam"</formula>
    </cfRule>
    <cfRule type="beginsWith" dxfId="10006" priority="12677" operator="beginsWith" text="Stage">
      <formula>LEFT(CW150,LEN("Stage"))="Stage"</formula>
    </cfRule>
    <cfRule type="beginsWith" dxfId="10005" priority="12678" operator="beginsWith" text="Entreprise">
      <formula>LEFT(CW150,LEN("Entreprise"))="Entreprise"</formula>
    </cfRule>
    <cfRule type="beginsWith" dxfId="10004" priority="12679" operator="beginsWith" text="TOMIC">
      <formula>LEFT(CW150,LEN("TOMIC"))="TOMIC"</formula>
    </cfRule>
    <cfRule type="beginsWith" dxfId="10003" priority="12680" operator="beginsWith" text="Voltaire">
      <formula>LEFT(CW150,LEN("Voltaire"))="Voltaire"</formula>
    </cfRule>
  </conditionalFormatting>
  <conditionalFormatting sqref="CW204">
    <cfRule type="beginsWith" dxfId="10002" priority="15400" operator="beginsWith" text="Lancement Projet fil rouge">
      <formula>LEFT(CW204,LEN("Lancement Projet fil rouge"))="Lancement Projet fil rouge"</formula>
    </cfRule>
    <cfRule type="beginsWith" dxfId="10001" priority="15401" operator="beginsWith" text="Vacances">
      <formula>LEFT(CW204,LEN("Vacances"))="Vacances"</formula>
    </cfRule>
    <cfRule type="beginsWith" dxfId="10000" priority="15402" operator="beginsWith" text="Séminaire d'intégration">
      <formula>LEFT(CW204,LEN("Séminaire d'intégration"))="Séminaire d'intégration"</formula>
    </cfRule>
    <cfRule type="beginsWith" dxfId="9999" priority="15403" operator="beginsWith" text="Accueil">
      <formula>LEFT(CW204,LEN("Accueil"))="Accueil"</formula>
    </cfRule>
    <cfRule type="beginsWith" dxfId="9998" priority="15404" operator="beginsWith" text="TOPHYC">
      <formula>LEFT(CW204,LEN("TOPHYC"))="TOPHYC"</formula>
    </cfRule>
    <cfRule type="beginsWith" dxfId="9997" priority="15405" operator="beginsWith" text="Global Exam">
      <formula>LEFT(CW204,LEN("Global Exam"))="Global Exam"</formula>
    </cfRule>
    <cfRule type="beginsWith" dxfId="9996" priority="15406" operator="beginsWith" text="Stage">
      <formula>LEFT(CW204,LEN("Stage"))="Stage"</formula>
    </cfRule>
    <cfRule type="beginsWith" dxfId="9995" priority="15407" operator="beginsWith" text="Entreprise">
      <formula>LEFT(CW204,LEN("Entreprise"))="Entreprise"</formula>
    </cfRule>
    <cfRule type="beginsWith" dxfId="9994" priority="15408" operator="beginsWith" text="TOMIC">
      <formula>LEFT(CW204,LEN("TOMIC"))="TOMIC"</formula>
    </cfRule>
    <cfRule type="beginsWith" dxfId="9993" priority="15409" operator="beginsWith" text="Voltaire">
      <formula>LEFT(CW204,LEN("Voltaire"))="Voltaire"</formula>
    </cfRule>
  </conditionalFormatting>
  <conditionalFormatting sqref="CW209">
    <cfRule type="beginsWith" dxfId="9992" priority="15390" operator="beginsWith" text="Lancement Projet fil rouge">
      <formula>LEFT(CW209,LEN("Lancement Projet fil rouge"))="Lancement Projet fil rouge"</formula>
    </cfRule>
    <cfRule type="beginsWith" dxfId="9991" priority="15391" operator="beginsWith" text="Vacances">
      <formula>LEFT(CW209,LEN("Vacances"))="Vacances"</formula>
    </cfRule>
    <cfRule type="beginsWith" dxfId="9990" priority="15392" operator="beginsWith" text="Séminaire d'intégration">
      <formula>LEFT(CW209,LEN("Séminaire d'intégration"))="Séminaire d'intégration"</formula>
    </cfRule>
    <cfRule type="beginsWith" dxfId="9989" priority="15393" operator="beginsWith" text="Accueil">
      <formula>LEFT(CW209,LEN("Accueil"))="Accueil"</formula>
    </cfRule>
    <cfRule type="beginsWith" dxfId="9988" priority="15394" operator="beginsWith" text="TOPHYC">
      <formula>LEFT(CW209,LEN("TOPHYC"))="TOPHYC"</formula>
    </cfRule>
    <cfRule type="beginsWith" dxfId="9987" priority="15395" operator="beginsWith" text="Global Exam">
      <formula>LEFT(CW209,LEN("Global Exam"))="Global Exam"</formula>
    </cfRule>
    <cfRule type="beginsWith" dxfId="9986" priority="15396" operator="beginsWith" text="Stage">
      <formula>LEFT(CW209,LEN("Stage"))="Stage"</formula>
    </cfRule>
    <cfRule type="beginsWith" dxfId="9985" priority="15397" operator="beginsWith" text="Entreprise">
      <formula>LEFT(CW209,LEN("Entreprise"))="Entreprise"</formula>
    </cfRule>
    <cfRule type="beginsWith" dxfId="9984" priority="15398" operator="beginsWith" text="TOMIC">
      <formula>LEFT(CW209,LEN("TOMIC"))="TOMIC"</formula>
    </cfRule>
    <cfRule type="beginsWith" dxfId="9983" priority="15399" operator="beginsWith" text="Voltaire">
      <formula>LEFT(CW209,LEN("Voltaire"))="Voltaire"</formula>
    </cfRule>
  </conditionalFormatting>
  <conditionalFormatting sqref="CW126:CX130">
    <cfRule type="beginsWith" dxfId="9982" priority="12651" operator="beginsWith" text="Lancement Projet fil rouge">
      <formula>LEFT(CW126,LEN("Lancement Projet fil rouge"))="Lancement Projet fil rouge"</formula>
    </cfRule>
    <cfRule type="beginsWith" dxfId="9981" priority="12652" operator="beginsWith" text="Vacances">
      <formula>LEFT(CW126,LEN("Vacances"))="Vacances"</formula>
    </cfRule>
    <cfRule type="beginsWith" dxfId="9980" priority="12653" operator="beginsWith" text="Séminaire d'intégration">
      <formula>LEFT(CW126,LEN("Séminaire d'intégration"))="Séminaire d'intégration"</formula>
    </cfRule>
    <cfRule type="beginsWith" dxfId="9979" priority="12654" operator="beginsWith" text="Accueil">
      <formula>LEFT(CW126,LEN("Accueil"))="Accueil"</formula>
    </cfRule>
    <cfRule type="beginsWith" dxfId="9978" priority="12655" operator="beginsWith" text="TOPHYC">
      <formula>LEFT(CW126,LEN("TOPHYC"))="TOPHYC"</formula>
    </cfRule>
    <cfRule type="beginsWith" dxfId="9977" priority="12656" operator="beginsWith" text="Global Exam">
      <formula>LEFT(CW126,LEN("Global Exam"))="Global Exam"</formula>
    </cfRule>
    <cfRule type="beginsWith" dxfId="9976" priority="12657" operator="beginsWith" text="Stage">
      <formula>LEFT(CW126,LEN("Stage"))="Stage"</formula>
    </cfRule>
    <cfRule type="beginsWith" dxfId="9975" priority="12658" operator="beginsWith" text="Entreprise">
      <formula>LEFT(CW126,LEN("Entreprise"))="Entreprise"</formula>
    </cfRule>
    <cfRule type="beginsWith" dxfId="9974" priority="12659" operator="beginsWith" text="TOMIC">
      <formula>LEFT(CW126,LEN("TOMIC"))="TOMIC"</formula>
    </cfRule>
    <cfRule type="beginsWith" dxfId="9973" priority="12660" operator="beginsWith" text="Voltaire">
      <formula>LEFT(CW126,LEN("Voltaire"))="Voltaire"</formula>
    </cfRule>
  </conditionalFormatting>
  <conditionalFormatting sqref="CW96:CY105">
    <cfRule type="beginsWith" dxfId="9972" priority="19934" operator="beginsWith" text="Lancement Projet fil rouge">
      <formula>LEFT(CW96,LEN("Lancement Projet fil rouge"))="Lancement Projet fil rouge"</formula>
    </cfRule>
    <cfRule type="beginsWith" dxfId="9971" priority="19935" operator="beginsWith" text="Vacances">
      <formula>LEFT(CW96,LEN("Vacances"))="Vacances"</formula>
    </cfRule>
    <cfRule type="beginsWith" dxfId="9970" priority="19936" operator="beginsWith" text="Séminaire d'intégration">
      <formula>LEFT(CW96,LEN("Séminaire d'intégration"))="Séminaire d'intégration"</formula>
    </cfRule>
    <cfRule type="beginsWith" dxfId="9969" priority="19937" operator="beginsWith" text="Accueil">
      <formula>LEFT(CW96,LEN("Accueil"))="Accueil"</formula>
    </cfRule>
    <cfRule type="beginsWith" dxfId="9968" priority="19938" operator="beginsWith" text="TOPHYC">
      <formula>LEFT(CW96,LEN("TOPHYC"))="TOPHYC"</formula>
    </cfRule>
    <cfRule type="beginsWith" dxfId="9967" priority="19939" operator="beginsWith" text="Global Exam">
      <formula>LEFT(CW96,LEN("Global Exam"))="Global Exam"</formula>
    </cfRule>
    <cfRule type="beginsWith" dxfId="9966" priority="19940" operator="beginsWith" text="Stage">
      <formula>LEFT(CW96,LEN("Stage"))="Stage"</formula>
    </cfRule>
    <cfRule type="beginsWith" dxfId="9965" priority="19941" operator="beginsWith" text="Entreprise">
      <formula>LEFT(CW96,LEN("Entreprise"))="Entreprise"</formula>
    </cfRule>
    <cfRule type="beginsWith" dxfId="9964" priority="19942" operator="beginsWith" text="TOMIC">
      <formula>LEFT(CW96,LEN("TOMIC"))="TOMIC"</formula>
    </cfRule>
    <cfRule type="beginsWith" dxfId="9963" priority="19943" operator="beginsWith" text="Voltaire">
      <formula>LEFT(CW96,LEN("Voltaire"))="Voltaire"</formula>
    </cfRule>
  </conditionalFormatting>
  <conditionalFormatting sqref="CW111:CY115">
    <cfRule type="beginsWith" dxfId="9962" priority="19089" operator="beginsWith" text="TOPHYC">
      <formula>LEFT(CW111,LEN("TOPHYC"))="TOPHYC"</formula>
    </cfRule>
    <cfRule type="beginsWith" dxfId="9961" priority="19090" operator="beginsWith" text="Global Exam">
      <formula>LEFT(CW111,LEN("Global Exam"))="Global Exam"</formula>
    </cfRule>
    <cfRule type="beginsWith" dxfId="9960" priority="19093" operator="beginsWith" text="TOMIC">
      <formula>LEFT(CW111,LEN("TOMIC"))="TOMIC"</formula>
    </cfRule>
  </conditionalFormatting>
  <conditionalFormatting sqref="CW116:CY120">
    <cfRule type="beginsWith" dxfId="9959" priority="19079" operator="beginsWith" text="TOPHYC">
      <formula>LEFT(CW116,LEN("TOPHYC"))="TOPHYC"</formula>
    </cfRule>
    <cfRule type="beginsWith" dxfId="9958" priority="19080" operator="beginsWith" text="Global Exam">
      <formula>LEFT(CW116,LEN("Global Exam"))="Global Exam"</formula>
    </cfRule>
    <cfRule type="beginsWith" dxfId="9957" priority="19083" operator="beginsWith" text="TOMIC">
      <formula>LEFT(CW116,LEN("TOMIC"))="TOMIC"</formula>
    </cfRule>
  </conditionalFormatting>
  <conditionalFormatting sqref="CW131:CY133 CW135:CY135 CX134:CY134">
    <cfRule type="beginsWith" dxfId="9956" priority="18861" operator="beginsWith" text="Lancement Projet fil rouge">
      <formula>LEFT(CW131,LEN("Lancement Projet fil rouge"))="Lancement Projet fil rouge"</formula>
    </cfRule>
    <cfRule type="beginsWith" dxfId="9955" priority="18862" operator="beginsWith" text="Vacances">
      <formula>LEFT(CW131,LEN("Vacances"))="Vacances"</formula>
    </cfRule>
    <cfRule type="beginsWith" dxfId="9954" priority="18863" operator="beginsWith" text="Séminaire d'intégration">
      <formula>LEFT(CW131,LEN("Séminaire d'intégration"))="Séminaire d'intégration"</formula>
    </cfRule>
    <cfRule type="beginsWith" dxfId="9953" priority="18864" operator="beginsWith" text="Accueil">
      <formula>LEFT(CW131,LEN("Accueil"))="Accueil"</formula>
    </cfRule>
    <cfRule type="beginsWith" dxfId="9952" priority="18865" operator="beginsWith" text="TOPHYC">
      <formula>LEFT(CW131,LEN("TOPHYC"))="TOPHYC"</formula>
    </cfRule>
    <cfRule type="beginsWith" dxfId="9951" priority="18866" operator="beginsWith" text="Global Exam">
      <formula>LEFT(CW131,LEN("Global Exam"))="Global Exam"</formula>
    </cfRule>
    <cfRule type="beginsWith" dxfId="9950" priority="18867" operator="beginsWith" text="Stage">
      <formula>LEFT(CW131,LEN("Stage"))="Stage"</formula>
    </cfRule>
    <cfRule type="beginsWith" dxfId="9949" priority="18868" operator="beginsWith" text="Entreprise">
      <formula>LEFT(CW131,LEN("Entreprise"))="Entreprise"</formula>
    </cfRule>
    <cfRule type="beginsWith" dxfId="9948" priority="18869" operator="beginsWith" text="TOMIC">
      <formula>LEFT(CW131,LEN("TOMIC"))="TOMIC"</formula>
    </cfRule>
    <cfRule type="beginsWith" dxfId="9947" priority="18870" operator="beginsWith" text="Voltaire">
      <formula>LEFT(CW131,LEN("Voltaire"))="Voltaire"</formula>
    </cfRule>
  </conditionalFormatting>
  <conditionalFormatting sqref="CW136:CY138 CX139:CY140">
    <cfRule type="beginsWith" dxfId="9946" priority="18888" operator="beginsWith" text="Lancement Projet fil rouge">
      <formula>LEFT(CW136,LEN("Lancement Projet fil rouge"))="Lancement Projet fil rouge"</formula>
    </cfRule>
    <cfRule type="beginsWith" dxfId="9945" priority="18889" operator="beginsWith" text="Vacances">
      <formula>LEFT(CW136,LEN("Vacances"))="Vacances"</formula>
    </cfRule>
    <cfRule type="beginsWith" dxfId="9944" priority="18890" operator="beginsWith" text="Séminaire d'intégration">
      <formula>LEFT(CW136,LEN("Séminaire d'intégration"))="Séminaire d'intégration"</formula>
    </cfRule>
    <cfRule type="beginsWith" dxfId="9943" priority="18891" operator="beginsWith" text="Accueil">
      <formula>LEFT(CW136,LEN("Accueil"))="Accueil"</formula>
    </cfRule>
    <cfRule type="beginsWith" dxfId="9942" priority="18892" operator="beginsWith" text="TOPHYC">
      <formula>LEFT(CW136,LEN("TOPHYC"))="TOPHYC"</formula>
    </cfRule>
    <cfRule type="beginsWith" dxfId="9941" priority="18893" operator="beginsWith" text="Global Exam">
      <formula>LEFT(CW136,LEN("Global Exam"))="Global Exam"</formula>
    </cfRule>
    <cfRule type="beginsWith" dxfId="9940" priority="18894" operator="beginsWith" text="Stage">
      <formula>LEFT(CW136,LEN("Stage"))="Stage"</formula>
    </cfRule>
    <cfRule type="beginsWith" dxfId="9939" priority="18895" operator="beginsWith" text="Entreprise">
      <formula>LEFT(CW136,LEN("Entreprise"))="Entreprise"</formula>
    </cfRule>
    <cfRule type="beginsWith" dxfId="9938" priority="18896" operator="beginsWith" text="TOMIC">
      <formula>LEFT(CW136,LEN("TOMIC"))="TOMIC"</formula>
    </cfRule>
    <cfRule type="beginsWith" dxfId="9937" priority="18897" operator="beginsWith" text="Voltaire">
      <formula>LEFT(CW136,LEN("Voltaire"))="Voltaire"</formula>
    </cfRule>
  </conditionalFormatting>
  <conditionalFormatting sqref="CW141:CY145">
    <cfRule type="beginsWith" dxfId="9936" priority="18905" operator="beginsWith" text="Lancement Projet fil rouge">
      <formula>LEFT(CW141,LEN("Lancement Projet fil rouge"))="Lancement Projet fil rouge"</formula>
    </cfRule>
    <cfRule type="beginsWith" dxfId="9935" priority="18906" operator="beginsWith" text="Vacances">
      <formula>LEFT(CW141,LEN("Vacances"))="Vacances"</formula>
    </cfRule>
    <cfRule type="beginsWith" dxfId="9934" priority="18907" operator="beginsWith" text="Séminaire d'intégration">
      <formula>LEFT(CW141,LEN("Séminaire d'intégration"))="Séminaire d'intégration"</formula>
    </cfRule>
    <cfRule type="beginsWith" dxfId="9933" priority="18908" operator="beginsWith" text="Accueil">
      <formula>LEFT(CW141,LEN("Accueil"))="Accueil"</formula>
    </cfRule>
    <cfRule type="beginsWith" dxfId="9932" priority="18909" operator="beginsWith" text="TOPHYC">
      <formula>LEFT(CW141,LEN("TOPHYC"))="TOPHYC"</formula>
    </cfRule>
    <cfRule type="beginsWith" dxfId="9931" priority="18910" operator="beginsWith" text="Global Exam">
      <formula>LEFT(CW141,LEN("Global Exam"))="Global Exam"</formula>
    </cfRule>
    <cfRule type="beginsWith" dxfId="9930" priority="18911" operator="beginsWith" text="Stage">
      <formula>LEFT(CW141,LEN("Stage"))="Stage"</formula>
    </cfRule>
    <cfRule type="beginsWith" dxfId="9929" priority="18912" operator="beginsWith" text="Entreprise">
      <formula>LEFT(CW141,LEN("Entreprise"))="Entreprise"</formula>
    </cfRule>
    <cfRule type="beginsWith" dxfId="9928" priority="18913" operator="beginsWith" text="TOMIC">
      <formula>LEFT(CW141,LEN("TOMIC"))="TOMIC"</formula>
    </cfRule>
    <cfRule type="beginsWith" dxfId="9927" priority="18914" operator="beginsWith" text="Voltaire">
      <formula>LEFT(CW141,LEN("Voltaire"))="Voltaire"</formula>
    </cfRule>
  </conditionalFormatting>
  <conditionalFormatting sqref="CW176:CY180">
    <cfRule type="beginsWith" dxfId="9926" priority="19034" operator="beginsWith" text="Lancement Projet fil rouge">
      <formula>LEFT(CW176,LEN("Lancement Projet fil rouge"))="Lancement Projet fil rouge"</formula>
    </cfRule>
    <cfRule type="beginsWith" dxfId="9925" priority="19035" operator="beginsWith" text="Vacances">
      <formula>LEFT(CW176,LEN("Vacances"))="Vacances"</formula>
    </cfRule>
    <cfRule type="beginsWith" dxfId="9924" priority="19036" operator="beginsWith" text="Séminaire d'intégration">
      <formula>LEFT(CW176,LEN("Séminaire d'intégration"))="Séminaire d'intégration"</formula>
    </cfRule>
    <cfRule type="beginsWith" dxfId="9923" priority="19037" operator="beginsWith" text="Accueil">
      <formula>LEFT(CW176,LEN("Accueil"))="Accueil"</formula>
    </cfRule>
    <cfRule type="beginsWith" dxfId="9922" priority="19038" operator="beginsWith" text="TOPHYC">
      <formula>LEFT(CW176,LEN("TOPHYC"))="TOPHYC"</formula>
    </cfRule>
    <cfRule type="beginsWith" dxfId="9921" priority="19039" operator="beginsWith" text="Global Exam">
      <formula>LEFT(CW176,LEN("Global Exam"))="Global Exam"</formula>
    </cfRule>
    <cfRule type="beginsWith" dxfId="9920" priority="19040" operator="beginsWith" text="Stage">
      <formula>LEFT(CW176,LEN("Stage"))="Stage"</formula>
    </cfRule>
    <cfRule type="beginsWith" dxfId="9919" priority="19041" operator="beginsWith" text="Entreprise">
      <formula>LEFT(CW176,LEN("Entreprise"))="Entreprise"</formula>
    </cfRule>
    <cfRule type="beginsWith" dxfId="9918" priority="19042" operator="beginsWith" text="TOMIC">
      <formula>LEFT(CW176,LEN("TOMIC"))="TOMIC"</formula>
    </cfRule>
    <cfRule type="beginsWith" dxfId="9917" priority="19043" operator="beginsWith" text="Voltaire">
      <formula>LEFT(CW176,LEN("Voltaire"))="Voltaire"</formula>
    </cfRule>
  </conditionalFormatting>
  <conditionalFormatting sqref="CW210:CY215 CV216:CY220 CX209:CY209">
    <cfRule type="beginsWith" dxfId="9916" priority="19058" operator="beginsWith" text="Lancement Projet fil rouge">
      <formula>LEFT(CV209,LEN("Lancement Projet fil rouge"))="Lancement Projet fil rouge"</formula>
    </cfRule>
    <cfRule type="beginsWith" dxfId="9915" priority="19059" operator="beginsWith" text="Vacances">
      <formula>LEFT(CV209,LEN("Vacances"))="Vacances"</formula>
    </cfRule>
    <cfRule type="beginsWith" dxfId="9914" priority="19060" operator="beginsWith" text="Séminaire d'intégration">
      <formula>LEFT(CV209,LEN("Séminaire d'intégration"))="Séminaire d'intégration"</formula>
    </cfRule>
    <cfRule type="beginsWith" dxfId="9913" priority="19061" operator="beginsWith" text="Accueil">
      <formula>LEFT(CV209,LEN("Accueil"))="Accueil"</formula>
    </cfRule>
    <cfRule type="beginsWith" dxfId="9912" priority="19064" operator="beginsWith" text="Stage">
      <formula>LEFT(CV209,LEN("Stage"))="Stage"</formula>
    </cfRule>
    <cfRule type="beginsWith" dxfId="9911" priority="19065" operator="beginsWith" text="Entreprise">
      <formula>LEFT(CV209,LEN("Entreprise"))="Entreprise"</formula>
    </cfRule>
    <cfRule type="beginsWith" dxfId="9910" priority="19067" operator="beginsWith" text="Voltaire">
      <formula>LEFT(CV209,LEN("Voltaire"))="Voltaire"</formula>
    </cfRule>
  </conditionalFormatting>
  <conditionalFormatting sqref="CW210:CY220 CX209:CY209">
    <cfRule type="beginsWith" dxfId="9909" priority="19062" operator="beginsWith" text="TOPHYC">
      <formula>LEFT(CW209,LEN("TOPHYC"))="TOPHYC"</formula>
    </cfRule>
    <cfRule type="beginsWith" dxfId="9908" priority="19063" operator="beginsWith" text="Global Exam">
      <formula>LEFT(CW209,LEN("Global Exam"))="Global Exam"</formula>
    </cfRule>
    <cfRule type="beginsWith" dxfId="9907" priority="19066" operator="beginsWith" text="TOMIC">
      <formula>LEFT(CW209,LEN("TOMIC"))="TOMIC"</formula>
    </cfRule>
  </conditionalFormatting>
  <conditionalFormatting sqref="CX61:CX65">
    <cfRule type="beginsWith" dxfId="9906" priority="10778" operator="beginsWith" text="Lancement Projet fil rouge">
      <formula>LEFT(CX61,LEN("Lancement Projet fil rouge"))="Lancement Projet fil rouge"</formula>
    </cfRule>
    <cfRule type="beginsWith" dxfId="9905" priority="10779" operator="beginsWith" text="Vacances">
      <formula>LEFT(CX61,LEN("Vacances"))="Vacances"</formula>
    </cfRule>
    <cfRule type="beginsWith" dxfId="9904" priority="10780" operator="beginsWith" text="Séminaire d'intégration">
      <formula>LEFT(CX61,LEN("Séminaire d'intégration"))="Séminaire d'intégration"</formula>
    </cfRule>
    <cfRule type="beginsWith" dxfId="9903" priority="10781" operator="beginsWith" text="Accueil">
      <formula>LEFT(CX61,LEN("Accueil"))="Accueil"</formula>
    </cfRule>
    <cfRule type="beginsWith" dxfId="9902" priority="10782" operator="beginsWith" text="TOPHYC">
      <formula>LEFT(CX61,LEN("TOPHYC"))="TOPHYC"</formula>
    </cfRule>
    <cfRule type="beginsWith" dxfId="9901" priority="10783" operator="beginsWith" text="Global Exam">
      <formula>LEFT(CX61,LEN("Global Exam"))="Global Exam"</formula>
    </cfRule>
    <cfRule type="beginsWith" dxfId="9900" priority="10784" operator="beginsWith" text="Stage">
      <formula>LEFT(CX61,LEN("Stage"))="Stage"</formula>
    </cfRule>
    <cfRule type="beginsWith" dxfId="9899" priority="10785" operator="beginsWith" text="Entreprise">
      <formula>LEFT(CX61,LEN("Entreprise"))="Entreprise"</formula>
    </cfRule>
    <cfRule type="beginsWith" dxfId="9898" priority="10786" operator="beginsWith" text="TOMIC">
      <formula>LEFT(CX61,LEN("TOMIC"))="TOMIC"</formula>
    </cfRule>
    <cfRule type="beginsWith" dxfId="9897" priority="10787" operator="beginsWith" text="Voltaire">
      <formula>LEFT(CX61,LEN("Voltaire"))="Voltaire"</formula>
    </cfRule>
  </conditionalFormatting>
  <conditionalFormatting sqref="CX81:CX85">
    <cfRule type="beginsWith" dxfId="9896" priority="10828" operator="beginsWith" text="Lancement Projet fil rouge">
      <formula>LEFT(CX81,LEN("Lancement Projet fil rouge"))="Lancement Projet fil rouge"</formula>
    </cfRule>
    <cfRule type="beginsWith" dxfId="9895" priority="10829" operator="beginsWith" text="Vacances">
      <formula>LEFT(CX81,LEN("Vacances"))="Vacances"</formula>
    </cfRule>
    <cfRule type="beginsWith" dxfId="9894" priority="10830" operator="beginsWith" text="Séminaire d'intégration">
      <formula>LEFT(CX81,LEN("Séminaire d'intégration"))="Séminaire d'intégration"</formula>
    </cfRule>
    <cfRule type="beginsWith" dxfId="9893" priority="10831" operator="beginsWith" text="Accueil">
      <formula>LEFT(CX81,LEN("Accueil"))="Accueil"</formula>
    </cfRule>
    <cfRule type="beginsWith" dxfId="9892" priority="10832" operator="beginsWith" text="TOPHYC">
      <formula>LEFT(CX81,LEN("TOPHYC"))="TOPHYC"</formula>
    </cfRule>
    <cfRule type="beginsWith" dxfId="9891" priority="10833" operator="beginsWith" text="Global Exam">
      <formula>LEFT(CX81,LEN("Global Exam"))="Global Exam"</formula>
    </cfRule>
    <cfRule type="beginsWith" dxfId="9890" priority="10834" operator="beginsWith" text="Stage">
      <formula>LEFT(CX81,LEN("Stage"))="Stage"</formula>
    </cfRule>
    <cfRule type="beginsWith" dxfId="9889" priority="10835" operator="beginsWith" text="Entreprise">
      <formula>LEFT(CX81,LEN("Entreprise"))="Entreprise"</formula>
    </cfRule>
    <cfRule type="beginsWith" dxfId="9888" priority="10836" operator="beginsWith" text="TOMIC">
      <formula>LEFT(CX81,LEN("TOMIC"))="TOMIC"</formula>
    </cfRule>
    <cfRule type="beginsWith" dxfId="9887" priority="10837" operator="beginsWith" text="Voltaire">
      <formula>LEFT(CX81,LEN("Voltaire"))="Voltaire"</formula>
    </cfRule>
  </conditionalFormatting>
  <conditionalFormatting sqref="CX121:CX125">
    <cfRule type="beginsWith" dxfId="9886" priority="15472" operator="beginsWith" text="Lancement Projet fil rouge">
      <formula>LEFT(CX121,LEN("Lancement Projet fil rouge"))="Lancement Projet fil rouge"</formula>
    </cfRule>
    <cfRule type="beginsWith" dxfId="9885" priority="15473" operator="beginsWith" text="Vacances">
      <formula>LEFT(CX121,LEN("Vacances"))="Vacances"</formula>
    </cfRule>
    <cfRule type="beginsWith" dxfId="9884" priority="15474" operator="beginsWith" text="Séminaire d'intégration">
      <formula>LEFT(CX121,LEN("Séminaire d'intégration"))="Séminaire d'intégration"</formula>
    </cfRule>
    <cfRule type="beginsWith" dxfId="9883" priority="15475" operator="beginsWith" text="Accueil">
      <formula>LEFT(CX121,LEN("Accueil"))="Accueil"</formula>
    </cfRule>
    <cfRule type="beginsWith" dxfId="9882" priority="15476" operator="beginsWith" text="TOPHYC">
      <formula>LEFT(CX121,LEN("TOPHYC"))="TOPHYC"</formula>
    </cfRule>
    <cfRule type="beginsWith" dxfId="9881" priority="15477" operator="beginsWith" text="Global Exam">
      <formula>LEFT(CX121,LEN("Global Exam"))="Global Exam"</formula>
    </cfRule>
    <cfRule type="beginsWith" dxfId="9880" priority="15478" operator="beginsWith" text="Stage">
      <formula>LEFT(CX121,LEN("Stage"))="Stage"</formula>
    </cfRule>
    <cfRule type="beginsWith" dxfId="9879" priority="15479" operator="beginsWith" text="Entreprise">
      <formula>LEFT(CX121,LEN("Entreprise"))="Entreprise"</formula>
    </cfRule>
    <cfRule type="beginsWith" dxfId="9878" priority="15480" operator="beginsWith" text="TOMIC">
      <formula>LEFT(CX121,LEN("TOMIC"))="TOMIC"</formula>
    </cfRule>
    <cfRule type="beginsWith" dxfId="9877" priority="15481" operator="beginsWith" text="Voltaire">
      <formula>LEFT(CX121,LEN("Voltaire"))="Voltaire"</formula>
    </cfRule>
  </conditionalFormatting>
  <conditionalFormatting sqref="CX146:CX150">
    <cfRule type="beginsWith" dxfId="9876" priority="12641" operator="beginsWith" text="Lancement Projet fil rouge">
      <formula>LEFT(CX146,LEN("Lancement Projet fil rouge"))="Lancement Projet fil rouge"</formula>
    </cfRule>
    <cfRule type="beginsWith" dxfId="9875" priority="12642" operator="beginsWith" text="Vacances">
      <formula>LEFT(CX146,LEN("Vacances"))="Vacances"</formula>
    </cfRule>
    <cfRule type="beginsWith" dxfId="9874" priority="12643" operator="beginsWith" text="Séminaire d'intégration">
      <formula>LEFT(CX146,LEN("Séminaire d'intégration"))="Séminaire d'intégration"</formula>
    </cfRule>
    <cfRule type="beginsWith" dxfId="9873" priority="12644" operator="beginsWith" text="Accueil">
      <formula>LEFT(CX146,LEN("Accueil"))="Accueil"</formula>
    </cfRule>
    <cfRule type="beginsWith" dxfId="9872" priority="12645" operator="beginsWith" text="TOPHYC">
      <formula>LEFT(CX146,LEN("TOPHYC"))="TOPHYC"</formula>
    </cfRule>
    <cfRule type="beginsWith" dxfId="9871" priority="12646" operator="beginsWith" text="Global Exam">
      <formula>LEFT(CX146,LEN("Global Exam"))="Global Exam"</formula>
    </cfRule>
    <cfRule type="beginsWith" dxfId="9870" priority="12647" operator="beginsWith" text="Stage">
      <formula>LEFT(CX146,LEN("Stage"))="Stage"</formula>
    </cfRule>
    <cfRule type="beginsWith" dxfId="9869" priority="12648" operator="beginsWith" text="Entreprise">
      <formula>LEFT(CX146,LEN("Entreprise"))="Entreprise"</formula>
    </cfRule>
    <cfRule type="beginsWith" dxfId="9868" priority="12649" operator="beginsWith" text="TOMIC">
      <formula>LEFT(CX146,LEN("TOMIC"))="TOMIC"</formula>
    </cfRule>
    <cfRule type="beginsWith" dxfId="9867" priority="12650" operator="beginsWith" text="Voltaire">
      <formula>LEFT(CX146,LEN("Voltaire"))="Voltaire"</formula>
    </cfRule>
  </conditionalFormatting>
  <conditionalFormatting sqref="CX71:CY80 CY81:CY85">
    <cfRule type="beginsWith" dxfId="9866" priority="21375" operator="beginsWith" text="Lancement Projet fil rouge">
      <formula>LEFT(CX71,LEN("Lancement Projet fil rouge"))="Lancement Projet fil rouge"</formula>
    </cfRule>
    <cfRule type="beginsWith" dxfId="9865" priority="21376" operator="beginsWith" text="Vacances">
      <formula>LEFT(CX71,LEN("Vacances"))="Vacances"</formula>
    </cfRule>
    <cfRule type="beginsWith" dxfId="9864" priority="21377" operator="beginsWith" text="Séminaire d'intégration">
      <formula>LEFT(CX71,LEN("Séminaire d'intégration"))="Séminaire d'intégration"</formula>
    </cfRule>
    <cfRule type="beginsWith" dxfId="9863" priority="21378" operator="beginsWith" text="Accueil">
      <formula>LEFT(CX71,LEN("Accueil"))="Accueil"</formula>
    </cfRule>
    <cfRule type="beginsWith" dxfId="9862" priority="21379" operator="beginsWith" text="TOPHYC">
      <formula>LEFT(CX71,LEN("TOPHYC"))="TOPHYC"</formula>
    </cfRule>
    <cfRule type="beginsWith" dxfId="9861" priority="21380" operator="beginsWith" text="Global Exam">
      <formula>LEFT(CX71,LEN("Global Exam"))="Global Exam"</formula>
    </cfRule>
    <cfRule type="beginsWith" dxfId="9860" priority="21381" operator="beginsWith" text="Stage">
      <formula>LEFT(CX71,LEN("Stage"))="Stage"</formula>
    </cfRule>
    <cfRule type="beginsWith" dxfId="9859" priority="21382" operator="beginsWith" text="Entreprise">
      <formula>LEFT(CX71,LEN("Entreprise"))="Entreprise"</formula>
    </cfRule>
    <cfRule type="beginsWith" dxfId="9858" priority="21383" operator="beginsWith" text="TOMIC">
      <formula>LEFT(CX71,LEN("TOMIC"))="TOMIC"</formula>
    </cfRule>
    <cfRule type="beginsWith" dxfId="9857" priority="21384" operator="beginsWith" text="Voltaire">
      <formula>LEFT(CX71,LEN("Voltaire"))="Voltaire"</formula>
    </cfRule>
  </conditionalFormatting>
  <conditionalFormatting sqref="CY121">
    <cfRule type="beginsWith" dxfId="9856" priority="19123" operator="beginsWith" text="Lancement Projet fil rouge">
      <formula>LEFT(CY121,LEN("Lancement Projet fil rouge"))="Lancement Projet fil rouge"</formula>
    </cfRule>
    <cfRule type="beginsWith" dxfId="9855" priority="19124" operator="beginsWith" text="Vacances">
      <formula>LEFT(CY121,LEN("Vacances"))="Vacances"</formula>
    </cfRule>
    <cfRule type="beginsWith" dxfId="9854" priority="19125" operator="beginsWith" text="Séminaire d'intégration">
      <formula>LEFT(CY121,LEN("Séminaire d'intégration"))="Séminaire d'intégration"</formula>
    </cfRule>
    <cfRule type="beginsWith" dxfId="9853" priority="19126" operator="beginsWith" text="Accueil">
      <formula>LEFT(CY121,LEN("Accueil"))="Accueil"</formula>
    </cfRule>
    <cfRule type="beginsWith" dxfId="9852" priority="19127" operator="beginsWith" text="TOPHYC">
      <formula>LEFT(CY121,LEN("TOPHYC"))="TOPHYC"</formula>
    </cfRule>
    <cfRule type="beginsWith" dxfId="9851" priority="19128" operator="beginsWith" text="Global Exam">
      <formula>LEFT(CY121,LEN("Global Exam"))="Global Exam"</formula>
    </cfRule>
    <cfRule type="beginsWith" dxfId="9850" priority="19129" operator="beginsWith" text="Stage">
      <formula>LEFT(CY121,LEN("Stage"))="Stage"</formula>
    </cfRule>
    <cfRule type="beginsWith" dxfId="9849" priority="19130" operator="beginsWith" text="Entreprise">
      <formula>LEFT(CY121,LEN("Entreprise"))="Entreprise"</formula>
    </cfRule>
    <cfRule type="beginsWith" dxfId="9848" priority="19131" operator="beginsWith" text="TOMIC">
      <formula>LEFT(CY121,LEN("TOMIC"))="TOMIC"</formula>
    </cfRule>
    <cfRule type="beginsWith" dxfId="9847" priority="19132" operator="beginsWith" text="Voltaire">
      <formula>LEFT(CY121,LEN("Voltaire"))="Voltaire"</formula>
    </cfRule>
  </conditionalFormatting>
  <conditionalFormatting sqref="CY126">
    <cfRule type="beginsWith" dxfId="9846" priority="18826" operator="beginsWith" text="Lancement Projet fil rouge">
      <formula>LEFT(CY126,LEN("Lancement Projet fil rouge"))="Lancement Projet fil rouge"</formula>
    </cfRule>
    <cfRule type="beginsWith" dxfId="9845" priority="18827" operator="beginsWith" text="Vacances">
      <formula>LEFT(CY126,LEN("Vacances"))="Vacances"</formula>
    </cfRule>
    <cfRule type="beginsWith" dxfId="9844" priority="18828" operator="beginsWith" text="Séminaire d'intégration">
      <formula>LEFT(CY126,LEN("Séminaire d'intégration"))="Séminaire d'intégration"</formula>
    </cfRule>
    <cfRule type="beginsWith" dxfId="9843" priority="18829" operator="beginsWith" text="Accueil">
      <formula>LEFT(CY126,LEN("Accueil"))="Accueil"</formula>
    </cfRule>
    <cfRule type="beginsWith" dxfId="9842" priority="18830" operator="beginsWith" text="TOPHYC">
      <formula>LEFT(CY126,LEN("TOPHYC"))="TOPHYC"</formula>
    </cfRule>
    <cfRule type="beginsWith" dxfId="9841" priority="18831" operator="beginsWith" text="Global Exam">
      <formula>LEFT(CY126,LEN("Global Exam"))="Global Exam"</formula>
    </cfRule>
    <cfRule type="beginsWith" dxfId="9840" priority="18832" operator="beginsWith" text="Stage">
      <formula>LEFT(CY126,LEN("Stage"))="Stage"</formula>
    </cfRule>
    <cfRule type="beginsWith" dxfId="9839" priority="18833" operator="beginsWith" text="Entreprise">
      <formula>LEFT(CY126,LEN("Entreprise"))="Entreprise"</formula>
    </cfRule>
    <cfRule type="beginsWith" dxfId="9838" priority="18834" operator="beginsWith" text="TOMIC">
      <formula>LEFT(CY126,LEN("TOMIC"))="TOMIC"</formula>
    </cfRule>
    <cfRule type="beginsWith" dxfId="9837" priority="18835" operator="beginsWith" text="Voltaire">
      <formula>LEFT(CY126,LEN("Voltaire"))="Voltaire"</formula>
    </cfRule>
  </conditionalFormatting>
  <conditionalFormatting sqref="CY146:CY150">
    <cfRule type="beginsWith" dxfId="9836" priority="18929" operator="beginsWith" text="Lancement Projet fil rouge">
      <formula>LEFT(CY146,LEN("Lancement Projet fil rouge"))="Lancement Projet fil rouge"</formula>
    </cfRule>
    <cfRule type="beginsWith" dxfId="9835" priority="18930" operator="beginsWith" text="Vacances">
      <formula>LEFT(CY146,LEN("Vacances"))="Vacances"</formula>
    </cfRule>
    <cfRule type="beginsWith" dxfId="9834" priority="18931" operator="beginsWith" text="Séminaire d'intégration">
      <formula>LEFT(CY146,LEN("Séminaire d'intégration"))="Séminaire d'intégration"</formula>
    </cfRule>
    <cfRule type="beginsWith" dxfId="9833" priority="18932" operator="beginsWith" text="Accueil">
      <formula>LEFT(CY146,LEN("Accueil"))="Accueil"</formula>
    </cfRule>
    <cfRule type="beginsWith" dxfId="9832" priority="18933" operator="beginsWith" text="TOPHYC">
      <formula>LEFT(CY146,LEN("TOPHYC"))="TOPHYC"</formula>
    </cfRule>
    <cfRule type="beginsWith" dxfId="9831" priority="18934" operator="beginsWith" text="Global Exam">
      <formula>LEFT(CY146,LEN("Global Exam"))="Global Exam"</formula>
    </cfRule>
    <cfRule type="beginsWith" dxfId="9830" priority="18935" operator="beginsWith" text="Stage">
      <formula>LEFT(CY146,LEN("Stage"))="Stage"</formula>
    </cfRule>
    <cfRule type="beginsWith" dxfId="9829" priority="18936" operator="beginsWith" text="Entreprise">
      <formula>LEFT(CY146,LEN("Entreprise"))="Entreprise"</formula>
    </cfRule>
    <cfRule type="beginsWith" dxfId="9828" priority="18937" operator="beginsWith" text="TOMIC">
      <formula>LEFT(CY146,LEN("TOMIC"))="TOMIC"</formula>
    </cfRule>
    <cfRule type="beginsWith" dxfId="9827" priority="18938" operator="beginsWith" text="Voltaire">
      <formula>LEFT(CY146,LEN("Voltaire"))="Voltaire"</formula>
    </cfRule>
  </conditionalFormatting>
  <conditionalFormatting sqref="CZ5 CZ86 CZ1:CZ2">
    <cfRule type="beginsWith" dxfId="9826" priority="15859" operator="beginsWith" text="Lancement Projet fil rouge">
      <formula>LEFT(CZ1,LEN("Lancement Projet fil rouge"))="Lancement Projet fil rouge"</formula>
    </cfRule>
    <cfRule type="beginsWith" dxfId="9825" priority="15860" operator="beginsWith" text="Vacances">
      <formula>LEFT(CZ1,LEN("Vacances"))="Vacances"</formula>
    </cfRule>
    <cfRule type="beginsWith" dxfId="9824" priority="15861" operator="beginsWith" text="Séminaire d'intégration">
      <formula>LEFT(CZ1,LEN("Séminaire d'intégration"))="Séminaire d'intégration"</formula>
    </cfRule>
    <cfRule type="beginsWith" dxfId="9823" priority="15862" operator="beginsWith" text="Accueil">
      <formula>LEFT(CZ1,LEN("Accueil"))="Accueil"</formula>
    </cfRule>
    <cfRule type="beginsWith" dxfId="9822" priority="15863" operator="beginsWith" text="Stage">
      <formula>LEFT(CZ1,LEN("Stage"))="Stage"</formula>
    </cfRule>
    <cfRule type="beginsWith" dxfId="9821" priority="15864" operator="beginsWith" text="Entreprise">
      <formula>LEFT(CZ1,LEN("Entreprise"))="Entreprise"</formula>
    </cfRule>
    <cfRule type="beginsWith" dxfId="9820" priority="15865" operator="beginsWith" text="Voltaire">
      <formula>LEFT(CZ1,LEN("Voltaire"))="Voltaire"</formula>
    </cfRule>
  </conditionalFormatting>
  <conditionalFormatting sqref="CZ61">
    <cfRule type="beginsWith" dxfId="9819" priority="15782" operator="beginsWith" text="Lancement Projet fil rouge">
      <formula>LEFT(CZ61,LEN("Lancement Projet fil rouge"))="Lancement Projet fil rouge"</formula>
    </cfRule>
    <cfRule type="beginsWith" dxfId="9818" priority="15783" operator="beginsWith" text="Vacances">
      <formula>LEFT(CZ61,LEN("Vacances"))="Vacances"</formula>
    </cfRule>
    <cfRule type="beginsWith" dxfId="9817" priority="15784" operator="beginsWith" text="Séminaire d'intégration">
      <formula>LEFT(CZ61,LEN("Séminaire d'intégration"))="Séminaire d'intégration"</formula>
    </cfRule>
    <cfRule type="beginsWith" dxfId="9816" priority="15785" operator="beginsWith" text="Accueil">
      <formula>LEFT(CZ61,LEN("Accueil"))="Accueil"</formula>
    </cfRule>
    <cfRule type="beginsWith" dxfId="9815" priority="15786" operator="beginsWith" text="Stage">
      <formula>LEFT(CZ61,LEN("Stage"))="Stage"</formula>
    </cfRule>
    <cfRule type="beginsWith" dxfId="9814" priority="15787" operator="beginsWith" text="Entreprise">
      <formula>LEFT(CZ61,LEN("Entreprise"))="Entreprise"</formula>
    </cfRule>
    <cfRule type="beginsWith" dxfId="9813" priority="15788" operator="beginsWith" text="Voltaire">
      <formula>LEFT(CZ61,LEN("Voltaire"))="Voltaire"</formula>
    </cfRule>
  </conditionalFormatting>
  <conditionalFormatting sqref="CZ66">
    <cfRule type="beginsWith" dxfId="9812" priority="15775" operator="beginsWith" text="Lancement Projet fil rouge">
      <formula>LEFT(CZ66,LEN("Lancement Projet fil rouge"))="Lancement Projet fil rouge"</formula>
    </cfRule>
    <cfRule type="beginsWith" dxfId="9811" priority="15776" operator="beginsWith" text="Vacances">
      <formula>LEFT(CZ66,LEN("Vacances"))="Vacances"</formula>
    </cfRule>
    <cfRule type="beginsWith" dxfId="9810" priority="15777" operator="beginsWith" text="Séminaire d'intégration">
      <formula>LEFT(CZ66,LEN("Séminaire d'intégration"))="Séminaire d'intégration"</formula>
    </cfRule>
    <cfRule type="beginsWith" dxfId="9809" priority="15778" operator="beginsWith" text="Accueil">
      <formula>LEFT(CZ66,LEN("Accueil"))="Accueil"</formula>
    </cfRule>
    <cfRule type="beginsWith" dxfId="9808" priority="15779" operator="beginsWith" text="Stage">
      <formula>LEFT(CZ66,LEN("Stage"))="Stage"</formula>
    </cfRule>
    <cfRule type="beginsWith" dxfId="9807" priority="15780" operator="beginsWith" text="Entreprise">
      <formula>LEFT(CZ66,LEN("Entreprise"))="Entreprise"</formula>
    </cfRule>
    <cfRule type="beginsWith" dxfId="9806" priority="15781" operator="beginsWith" text="Voltaire">
      <formula>LEFT(CZ66,LEN("Voltaire"))="Voltaire"</formula>
    </cfRule>
  </conditionalFormatting>
  <conditionalFormatting sqref="CZ71">
    <cfRule type="beginsWith" dxfId="9805" priority="15852" operator="beginsWith" text="Lancement Projet fil rouge">
      <formula>LEFT(CZ71,LEN("Lancement Projet fil rouge"))="Lancement Projet fil rouge"</formula>
    </cfRule>
    <cfRule type="beginsWith" dxfId="9804" priority="15853" operator="beginsWith" text="Vacances">
      <formula>LEFT(CZ71,LEN("Vacances"))="Vacances"</formula>
    </cfRule>
    <cfRule type="beginsWith" dxfId="9803" priority="15854" operator="beginsWith" text="Séminaire d'intégration">
      <formula>LEFT(CZ71,LEN("Séminaire d'intégration"))="Séminaire d'intégration"</formula>
    </cfRule>
    <cfRule type="beginsWith" dxfId="9802" priority="15855" operator="beginsWith" text="Accueil">
      <formula>LEFT(CZ71,LEN("Accueil"))="Accueil"</formula>
    </cfRule>
    <cfRule type="beginsWith" dxfId="9801" priority="15856" operator="beginsWith" text="Stage">
      <formula>LEFT(CZ71,LEN("Stage"))="Stage"</formula>
    </cfRule>
    <cfRule type="beginsWith" dxfId="9800" priority="15857" operator="beginsWith" text="Entreprise">
      <formula>LEFT(CZ71,LEN("Entreprise"))="Entreprise"</formula>
    </cfRule>
    <cfRule type="beginsWith" dxfId="9799" priority="15858" operator="beginsWith" text="Voltaire">
      <formula>LEFT(CZ71,LEN("Voltaire"))="Voltaire"</formula>
    </cfRule>
  </conditionalFormatting>
  <conditionalFormatting sqref="CZ126">
    <cfRule type="beginsWith" dxfId="9798" priority="15768" operator="beginsWith" text="Lancement Projet fil rouge">
      <formula>LEFT(CZ126,LEN("Lancement Projet fil rouge"))="Lancement Projet fil rouge"</formula>
    </cfRule>
    <cfRule type="beginsWith" dxfId="9797" priority="15769" operator="beginsWith" text="Vacances">
      <formula>LEFT(CZ126,LEN("Vacances"))="Vacances"</formula>
    </cfRule>
    <cfRule type="beginsWith" dxfId="9796" priority="15770" operator="beginsWith" text="Séminaire d'intégration">
      <formula>LEFT(CZ126,LEN("Séminaire d'intégration"))="Séminaire d'intégration"</formula>
    </cfRule>
    <cfRule type="beginsWith" dxfId="9795" priority="15771" operator="beginsWith" text="Accueil">
      <formula>LEFT(CZ126,LEN("Accueil"))="Accueil"</formula>
    </cfRule>
    <cfRule type="beginsWith" dxfId="9794" priority="15772" operator="beginsWith" text="Stage">
      <formula>LEFT(CZ126,LEN("Stage"))="Stage"</formula>
    </cfRule>
    <cfRule type="beginsWith" dxfId="9793" priority="15773" operator="beginsWith" text="Entreprise">
      <formula>LEFT(CZ126,LEN("Entreprise"))="Entreprise"</formula>
    </cfRule>
    <cfRule type="beginsWith" dxfId="9792" priority="15774" operator="beginsWith" text="Voltaire">
      <formula>LEFT(CZ126,LEN("Voltaire"))="Voltaire"</formula>
    </cfRule>
  </conditionalFormatting>
  <conditionalFormatting sqref="CZ131">
    <cfRule type="beginsWith" dxfId="9791" priority="15796" operator="beginsWith" text="Lancement Projet fil rouge">
      <formula>LEFT(CZ131,LEN("Lancement Projet fil rouge"))="Lancement Projet fil rouge"</formula>
    </cfRule>
    <cfRule type="beginsWith" dxfId="9790" priority="15797" operator="beginsWith" text="Vacances">
      <formula>LEFT(CZ131,LEN("Vacances"))="Vacances"</formula>
    </cfRule>
    <cfRule type="beginsWith" dxfId="9789" priority="15798" operator="beginsWith" text="Séminaire d'intégration">
      <formula>LEFT(CZ131,LEN("Séminaire d'intégration"))="Séminaire d'intégration"</formula>
    </cfRule>
    <cfRule type="beginsWith" dxfId="9788" priority="15799" operator="beginsWith" text="Accueil">
      <formula>LEFT(CZ131,LEN("Accueil"))="Accueil"</formula>
    </cfRule>
    <cfRule type="beginsWith" dxfId="9787" priority="15800" operator="beginsWith" text="Stage">
      <formula>LEFT(CZ131,LEN("Stage"))="Stage"</formula>
    </cfRule>
    <cfRule type="beginsWith" dxfId="9786" priority="15801" operator="beginsWith" text="Entreprise">
      <formula>LEFT(CZ131,LEN("Entreprise"))="Entreprise"</formula>
    </cfRule>
    <cfRule type="beginsWith" dxfId="9785" priority="15802" operator="beginsWith" text="Voltaire">
      <formula>LEFT(CZ131,LEN("Voltaire"))="Voltaire"</formula>
    </cfRule>
  </conditionalFormatting>
  <conditionalFormatting sqref="CZ141:CZ145">
    <cfRule type="beginsWith" dxfId="9784" priority="15761" operator="beginsWith" text="Lancement Projet fil rouge">
      <formula>LEFT(CZ141,LEN("Lancement Projet fil rouge"))="Lancement Projet fil rouge"</formula>
    </cfRule>
    <cfRule type="beginsWith" dxfId="9783" priority="15762" operator="beginsWith" text="Vacances">
      <formula>LEFT(CZ141,LEN("Vacances"))="Vacances"</formula>
    </cfRule>
    <cfRule type="beginsWith" dxfId="9782" priority="15763" operator="beginsWith" text="Séminaire d'intégration">
      <formula>LEFT(CZ141,LEN("Séminaire d'intégration"))="Séminaire d'intégration"</formula>
    </cfRule>
    <cfRule type="beginsWith" dxfId="9781" priority="15764" operator="beginsWith" text="Accueil">
      <formula>LEFT(CZ141,LEN("Accueil"))="Accueil"</formula>
    </cfRule>
    <cfRule type="beginsWith" dxfId="9780" priority="15765" operator="beginsWith" text="Stage">
      <formula>LEFT(CZ141,LEN("Stage"))="Stage"</formula>
    </cfRule>
    <cfRule type="beginsWith" dxfId="9779" priority="15766" operator="beginsWith" text="Entreprise">
      <formula>LEFT(CZ141,LEN("Entreprise"))="Entreprise"</formula>
    </cfRule>
    <cfRule type="beginsWith" dxfId="9778" priority="15767" operator="beginsWith" text="Voltaire">
      <formula>LEFT(CZ141,LEN("Voltaire"))="Voltaire"</formula>
    </cfRule>
  </conditionalFormatting>
  <conditionalFormatting sqref="CZ146">
    <cfRule type="beginsWith" dxfId="9777" priority="15754" operator="beginsWith" text="Lancement Projet fil rouge">
      <formula>LEFT(CZ146,LEN("Lancement Projet fil rouge"))="Lancement Projet fil rouge"</formula>
    </cfRule>
    <cfRule type="beginsWith" dxfId="9776" priority="15755" operator="beginsWith" text="Vacances">
      <formula>LEFT(CZ146,LEN("Vacances"))="Vacances"</formula>
    </cfRule>
    <cfRule type="beginsWith" dxfId="9775" priority="15756" operator="beginsWith" text="Séminaire d'intégration">
      <formula>LEFT(CZ146,LEN("Séminaire d'intégration"))="Séminaire d'intégration"</formula>
    </cfRule>
    <cfRule type="beginsWith" dxfId="9774" priority="15757" operator="beginsWith" text="Accueil">
      <formula>LEFT(CZ146,LEN("Accueil"))="Accueil"</formula>
    </cfRule>
    <cfRule type="beginsWith" dxfId="9773" priority="15758" operator="beginsWith" text="Stage">
      <formula>LEFT(CZ146,LEN("Stage"))="Stage"</formula>
    </cfRule>
    <cfRule type="beginsWith" dxfId="9772" priority="15759" operator="beginsWith" text="Entreprise">
      <formula>LEFT(CZ146,LEN("Entreprise"))="Entreprise"</formula>
    </cfRule>
    <cfRule type="beginsWith" dxfId="9771" priority="15760" operator="beginsWith" text="Voltaire">
      <formula>LEFT(CZ146,LEN("Voltaire"))="Voltaire"</formula>
    </cfRule>
  </conditionalFormatting>
  <conditionalFormatting sqref="CZ206">
    <cfRule type="beginsWith" dxfId="9770" priority="15747" operator="beginsWith" text="Lancement Projet fil rouge">
      <formula>LEFT(CZ206,LEN("Lancement Projet fil rouge"))="Lancement Projet fil rouge"</formula>
    </cfRule>
    <cfRule type="beginsWith" dxfId="9769" priority="15748" operator="beginsWith" text="Vacances">
      <formula>LEFT(CZ206,LEN("Vacances"))="Vacances"</formula>
    </cfRule>
    <cfRule type="beginsWith" dxfId="9768" priority="15749" operator="beginsWith" text="Séminaire d'intégration">
      <formula>LEFT(CZ206,LEN("Séminaire d'intégration"))="Séminaire d'intégration"</formula>
    </cfRule>
    <cfRule type="beginsWith" dxfId="9767" priority="15750" operator="beginsWith" text="Accueil">
      <formula>LEFT(CZ206,LEN("Accueil"))="Accueil"</formula>
    </cfRule>
    <cfRule type="beginsWith" dxfId="9766" priority="15751" operator="beginsWith" text="Stage">
      <formula>LEFT(CZ206,LEN("Stage"))="Stage"</formula>
    </cfRule>
    <cfRule type="beginsWith" dxfId="9765" priority="15752" operator="beginsWith" text="Entreprise">
      <formula>LEFT(CZ206,LEN("Entreprise"))="Entreprise"</formula>
    </cfRule>
    <cfRule type="beginsWith" dxfId="9764" priority="15753" operator="beginsWith" text="Voltaire">
      <formula>LEFT(CZ206,LEN("Voltaire"))="Voltaire"</formula>
    </cfRule>
  </conditionalFormatting>
  <conditionalFormatting sqref="DB1:DB2 DB5 DB311:DB1048576">
    <cfRule type="beginsWith" dxfId="9763" priority="27562" operator="beginsWith" text="Projet professionnel : Séminaire PFI">
      <formula>LEFT(DB1,LEN("Projet professionnel : Séminaire PFI"))="Projet professionnel : Séminaire PFI"</formula>
    </cfRule>
    <cfRule type="beginsWith" dxfId="9762" priority="27563" operator="beginsWith" text="Lancement Projet fil rouge">
      <formula>LEFT(DB1,LEN("Lancement Projet fil rouge"))="Lancement Projet fil rouge"</formula>
    </cfRule>
    <cfRule type="beginsWith" dxfId="9761" priority="27564" operator="beginsWith" text="Vacances">
      <formula>LEFT(DB1,LEN("Vacances"))="Vacances"</formula>
    </cfRule>
    <cfRule type="beginsWith" dxfId="9760" priority="27565" operator="beginsWith" text="Séminaire d'intégration">
      <formula>LEFT(DB1,LEN("Séminaire d'intégration"))="Séminaire d'intégration"</formula>
    </cfRule>
    <cfRule type="beginsWith" dxfId="9759" priority="27566" operator="beginsWith" text="Accueil">
      <formula>LEFT(DB1,LEN("Accueil"))="Accueil"</formula>
    </cfRule>
    <cfRule type="beginsWith" dxfId="9758" priority="27567" operator="beginsWith" text="Stage">
      <formula>LEFT(DB1,LEN("Stage"))="Stage"</formula>
    </cfRule>
    <cfRule type="beginsWith" dxfId="9757" priority="27568" operator="beginsWith" text="Entreprise">
      <formula>LEFT(DB1,LEN("Entreprise"))="Entreprise"</formula>
    </cfRule>
    <cfRule type="beginsWith" dxfId="9756" priority="27569" operator="beginsWith" text="Voltaire">
      <formula>LEFT(DB1,LEN("Voltaire"))="Voltaire"</formula>
    </cfRule>
  </conditionalFormatting>
  <conditionalFormatting sqref="DB3">
    <cfRule type="beginsWith" dxfId="9755" priority="27219" operator="beginsWith" text="Lancement Projet fil rouge">
      <formula>LEFT(DB3,LEN("Lancement Projet fil rouge"))="Lancement Projet fil rouge"</formula>
    </cfRule>
    <cfRule type="beginsWith" dxfId="9754" priority="27220" operator="beginsWith" text="Vacances">
      <formula>LEFT(DB3,LEN("Vacances"))="Vacances"</formula>
    </cfRule>
    <cfRule type="beginsWith" dxfId="9753" priority="27221" operator="beginsWith" text="Séminaire d'intégration">
      <formula>LEFT(DB3,LEN("Séminaire d'intégration"))="Séminaire d'intégration"</formula>
    </cfRule>
    <cfRule type="beginsWith" dxfId="9752" priority="27222" operator="beginsWith" text="Accueil">
      <formula>LEFT(DB3,LEN("Accueil"))="Accueil"</formula>
    </cfRule>
    <cfRule type="beginsWith" dxfId="9751" priority="27223" operator="beginsWith" text="Stage">
      <formula>LEFT(DB3,LEN("Stage"))="Stage"</formula>
    </cfRule>
    <cfRule type="beginsWith" dxfId="9750" priority="27224" operator="beginsWith" text="Entreprise">
      <formula>LEFT(DB3,LEN("Entreprise"))="Entreprise"</formula>
    </cfRule>
    <cfRule type="beginsWith" dxfId="9749" priority="27225" operator="beginsWith" text="Voltaire">
      <formula>LEFT(DB3,LEN("Voltaire"))="Voltaire"</formula>
    </cfRule>
  </conditionalFormatting>
  <conditionalFormatting sqref="DB6">
    <cfRule type="beginsWith" dxfId="9748" priority="18164" operator="beginsWith" text="Projet professionnel : Séminaire PFI">
      <formula>LEFT(DB6,LEN("Projet professionnel : Séminaire PFI"))="Projet professionnel : Séminaire PFI"</formula>
    </cfRule>
    <cfRule type="beginsWith" dxfId="9747" priority="18165" operator="beginsWith" text="Lancement Projet fil rouge">
      <formula>LEFT(DB6,LEN("Lancement Projet fil rouge"))="Lancement Projet fil rouge"</formula>
    </cfRule>
    <cfRule type="beginsWith" dxfId="9746" priority="18166" operator="beginsWith" text="Vacances">
      <formula>LEFT(DB6,LEN("Vacances"))="Vacances"</formula>
    </cfRule>
    <cfRule type="beginsWith" dxfId="9745" priority="18167" operator="beginsWith" text="Séminaire d'intégration">
      <formula>LEFT(DB6,LEN("Séminaire d'intégration"))="Séminaire d'intégration"</formula>
    </cfRule>
    <cfRule type="beginsWith" dxfId="9744" priority="18168" operator="beginsWith" text="Accueil">
      <formula>LEFT(DB6,LEN("Accueil"))="Accueil"</formula>
    </cfRule>
    <cfRule type="beginsWith" dxfId="9743" priority="18169" operator="beginsWith" text="Stage">
      <formula>LEFT(DB6,LEN("Stage"))="Stage"</formula>
    </cfRule>
    <cfRule type="beginsWith" dxfId="9742" priority="18170" operator="beginsWith" text="Entreprise">
      <formula>LEFT(DB6,LEN("Entreprise"))="Entreprise"</formula>
    </cfRule>
    <cfRule type="beginsWith" dxfId="9741" priority="18171" operator="beginsWith" text="Voltaire">
      <formula>LEFT(DB6,LEN("Voltaire"))="Voltaire"</formula>
    </cfRule>
  </conditionalFormatting>
  <conditionalFormatting sqref="DB21">
    <cfRule type="beginsWith" dxfId="9740" priority="27450" operator="beginsWith" text="Projet professionnel : Séminaire PFI">
      <formula>LEFT(DB21,LEN("Projet professionnel : Séminaire PFI"))="Projet professionnel : Séminaire PFI"</formula>
    </cfRule>
    <cfRule type="beginsWith" dxfId="9739" priority="27451" operator="beginsWith" text="Lancement Projet fil rouge">
      <formula>LEFT(DB21,LEN("Lancement Projet fil rouge"))="Lancement Projet fil rouge"</formula>
    </cfRule>
    <cfRule type="beginsWith" dxfId="9738" priority="27452" operator="beginsWith" text="Vacances">
      <formula>LEFT(DB21,LEN("Vacances"))="Vacances"</formula>
    </cfRule>
    <cfRule type="beginsWith" dxfId="9737" priority="27453" operator="beginsWith" text="Séminaire d'intégration">
      <formula>LEFT(DB21,LEN("Séminaire d'intégration"))="Séminaire d'intégration"</formula>
    </cfRule>
    <cfRule type="beginsWith" dxfId="9736" priority="27454" operator="beginsWith" text="Accueil">
      <formula>LEFT(DB21,LEN("Accueil"))="Accueil"</formula>
    </cfRule>
    <cfRule type="beginsWith" dxfId="9735" priority="27455" operator="beginsWith" text="Stage">
      <formula>LEFT(DB21,LEN("Stage"))="Stage"</formula>
    </cfRule>
    <cfRule type="beginsWith" dxfId="9734" priority="27456" operator="beginsWith" text="Entreprise">
      <formula>LEFT(DB21,LEN("Entreprise"))="Entreprise"</formula>
    </cfRule>
    <cfRule type="beginsWith" dxfId="9733" priority="27457" operator="beginsWith" text="Voltaire">
      <formula>LEFT(DB21,LEN("Voltaire"))="Voltaire"</formula>
    </cfRule>
  </conditionalFormatting>
  <conditionalFormatting sqref="DB26">
    <cfRule type="beginsWith" dxfId="9732" priority="15313" operator="beginsWith" text="Projet professionnel : Séminaire PFI">
      <formula>LEFT(DB26,LEN("Projet professionnel : Séminaire PFI"))="Projet professionnel : Séminaire PFI"</formula>
    </cfRule>
    <cfRule type="beginsWith" dxfId="9731" priority="15314" operator="beginsWith" text="Lancement Projet fil rouge">
      <formula>LEFT(DB26,LEN("Lancement Projet fil rouge"))="Lancement Projet fil rouge"</formula>
    </cfRule>
    <cfRule type="beginsWith" dxfId="9730" priority="15315" operator="beginsWith" text="Vacances">
      <formula>LEFT(DB26,LEN("Vacances"))="Vacances"</formula>
    </cfRule>
    <cfRule type="beginsWith" dxfId="9729" priority="15316" operator="beginsWith" text="Séminaire d'intégration">
      <formula>LEFT(DB26,LEN("Séminaire d'intégration"))="Séminaire d'intégration"</formula>
    </cfRule>
    <cfRule type="beginsWith" dxfId="9728" priority="15317" operator="beginsWith" text="Accueil">
      <formula>LEFT(DB26,LEN("Accueil"))="Accueil"</formula>
    </cfRule>
    <cfRule type="beginsWith" dxfId="9727" priority="15318" operator="beginsWith" text="Stage">
      <formula>LEFT(DB26,LEN("Stage"))="Stage"</formula>
    </cfRule>
    <cfRule type="beginsWith" dxfId="9726" priority="15319" operator="beginsWith" text="Entreprise">
      <formula>LEFT(DB26,LEN("Entreprise"))="Entreprise"</formula>
    </cfRule>
    <cfRule type="beginsWith" dxfId="9725" priority="15320" operator="beginsWith" text="Voltaire">
      <formula>LEFT(DB26,LEN("Voltaire"))="Voltaire"</formula>
    </cfRule>
  </conditionalFormatting>
  <conditionalFormatting sqref="DB31">
    <cfRule type="beginsWith" dxfId="9724" priority="15321" operator="beginsWith" text="Projet professionnel : Séminaire PFI">
      <formula>LEFT(DB31,LEN("Projet professionnel : Séminaire PFI"))="Projet professionnel : Séminaire PFI"</formula>
    </cfRule>
    <cfRule type="beginsWith" dxfId="9723" priority="15322" operator="beginsWith" text="Lancement Projet fil rouge">
      <formula>LEFT(DB31,LEN("Lancement Projet fil rouge"))="Lancement Projet fil rouge"</formula>
    </cfRule>
    <cfRule type="beginsWith" dxfId="9722" priority="15323" operator="beginsWith" text="Vacances">
      <formula>LEFT(DB31,LEN("Vacances"))="Vacances"</formula>
    </cfRule>
    <cfRule type="beginsWith" dxfId="9721" priority="15324" operator="beginsWith" text="Séminaire d'intégration">
      <formula>LEFT(DB31,LEN("Séminaire d'intégration"))="Séminaire d'intégration"</formula>
    </cfRule>
    <cfRule type="beginsWith" dxfId="9720" priority="15325" operator="beginsWith" text="Accueil">
      <formula>LEFT(DB31,LEN("Accueil"))="Accueil"</formula>
    </cfRule>
    <cfRule type="beginsWith" dxfId="9719" priority="15326" operator="beginsWith" text="Stage">
      <formula>LEFT(DB31,LEN("Stage"))="Stage"</formula>
    </cfRule>
    <cfRule type="beginsWith" dxfId="9718" priority="15327" operator="beginsWith" text="Entreprise">
      <formula>LEFT(DB31,LEN("Entreprise"))="Entreprise"</formula>
    </cfRule>
    <cfRule type="beginsWith" dxfId="9717" priority="15328" operator="beginsWith" text="Voltaire">
      <formula>LEFT(DB31,LEN("Voltaire"))="Voltaire"</formula>
    </cfRule>
  </conditionalFormatting>
  <conditionalFormatting sqref="DB41">
    <cfRule type="beginsWith" dxfId="9716" priority="15329" operator="beginsWith" text="Projet professionnel : Séminaire PFI">
      <formula>LEFT(DB41,LEN("Projet professionnel : Séminaire PFI"))="Projet professionnel : Séminaire PFI"</formula>
    </cfRule>
    <cfRule type="beginsWith" dxfId="9715" priority="15330" operator="beginsWith" text="Lancement Projet fil rouge">
      <formula>LEFT(DB41,LEN("Lancement Projet fil rouge"))="Lancement Projet fil rouge"</formula>
    </cfRule>
    <cfRule type="beginsWith" dxfId="9714" priority="15331" operator="beginsWith" text="Vacances">
      <formula>LEFT(DB41,LEN("Vacances"))="Vacances"</formula>
    </cfRule>
    <cfRule type="beginsWith" dxfId="9713" priority="15332" operator="beginsWith" text="Séminaire d'intégration">
      <formula>LEFT(DB41,LEN("Séminaire d'intégration"))="Séminaire d'intégration"</formula>
    </cfRule>
    <cfRule type="beginsWith" dxfId="9712" priority="15333" operator="beginsWith" text="Accueil">
      <formula>LEFT(DB41,LEN("Accueil"))="Accueil"</formula>
    </cfRule>
    <cfRule type="beginsWith" dxfId="9711" priority="15334" operator="beginsWith" text="Stage">
      <formula>LEFT(DB41,LEN("Stage"))="Stage"</formula>
    </cfRule>
    <cfRule type="beginsWith" dxfId="9710" priority="15335" operator="beginsWith" text="Entreprise">
      <formula>LEFT(DB41,LEN("Entreprise"))="Entreprise"</formula>
    </cfRule>
    <cfRule type="beginsWith" dxfId="9709" priority="15336" operator="beginsWith" text="Voltaire">
      <formula>LEFT(DB41,LEN("Voltaire"))="Voltaire"</formula>
    </cfRule>
  </conditionalFormatting>
  <conditionalFormatting sqref="DB51:DB52">
    <cfRule type="beginsWith" dxfId="9708" priority="15366" operator="beginsWith" text="Projet professionnel : Séminaire PFI">
      <formula>LEFT(DB51,LEN("Projet professionnel : Séminaire PFI"))="Projet professionnel : Séminaire PFI"</formula>
    </cfRule>
    <cfRule type="beginsWith" dxfId="9707" priority="15367" operator="beginsWith" text="Lancement Projet fil rouge">
      <formula>LEFT(DB51,LEN("Lancement Projet fil rouge"))="Lancement Projet fil rouge"</formula>
    </cfRule>
    <cfRule type="beginsWith" dxfId="9706" priority="15368" operator="beginsWith" text="Vacances">
      <formula>LEFT(DB51,LEN("Vacances"))="Vacances"</formula>
    </cfRule>
    <cfRule type="beginsWith" dxfId="9705" priority="15369" operator="beginsWith" text="Séminaire d'intégration">
      <formula>LEFT(DB51,LEN("Séminaire d'intégration"))="Séminaire d'intégration"</formula>
    </cfRule>
    <cfRule type="beginsWith" dxfId="9704" priority="15370" operator="beginsWith" text="Accueil">
      <formula>LEFT(DB51,LEN("Accueil"))="Accueil"</formula>
    </cfRule>
    <cfRule type="beginsWith" dxfId="9703" priority="15371" operator="beginsWith" text="Stage">
      <formula>LEFT(DB51,LEN("Stage"))="Stage"</formula>
    </cfRule>
    <cfRule type="beginsWith" dxfId="9702" priority="15372" operator="beginsWith" text="Entreprise">
      <formula>LEFT(DB51,LEN("Entreprise"))="Entreprise"</formula>
    </cfRule>
    <cfRule type="beginsWith" dxfId="9701" priority="15373" operator="beginsWith" text="Voltaire">
      <formula>LEFT(DB51,LEN("Voltaire"))="Voltaire"</formula>
    </cfRule>
  </conditionalFormatting>
  <conditionalFormatting sqref="DB53:DB55">
    <cfRule type="beginsWith" dxfId="9700" priority="27226" operator="beginsWith" text="Projet professionnel : Séminaire PFI">
      <formula>LEFT(DB53,LEN("Projet professionnel : Séminaire PFI"))="Projet professionnel : Séminaire PFI"</formula>
    </cfRule>
    <cfRule type="beginsWith" dxfId="9699" priority="27227" operator="beginsWith" text="Lancement Projet fil rouge">
      <formula>LEFT(DB53,LEN("Lancement Projet fil rouge"))="Lancement Projet fil rouge"</formula>
    </cfRule>
    <cfRule type="beginsWith" dxfId="9698" priority="27228" operator="beginsWith" text="Vacances">
      <formula>LEFT(DB53,LEN("Vacances"))="Vacances"</formula>
    </cfRule>
    <cfRule type="beginsWith" dxfId="9697" priority="27229" operator="beginsWith" text="Séminaire d'intégration">
      <formula>LEFT(DB53,LEN("Séminaire d'intégration"))="Séminaire d'intégration"</formula>
    </cfRule>
    <cfRule type="beginsWith" dxfId="9696" priority="27230" operator="beginsWith" text="Accueil">
      <formula>LEFT(DB53,LEN("Accueil"))="Accueil"</formula>
    </cfRule>
    <cfRule type="beginsWith" dxfId="9695" priority="27231" operator="beginsWith" text="Stage">
      <formula>LEFT(DB53,LEN("Stage"))="Stage"</formula>
    </cfRule>
    <cfRule type="beginsWith" dxfId="9694" priority="27232" operator="beginsWith" text="Entreprise">
      <formula>LEFT(DB53,LEN("Entreprise"))="Entreprise"</formula>
    </cfRule>
    <cfRule type="beginsWith" dxfId="9693" priority="27233" operator="beginsWith" text="Voltaire">
      <formula>LEFT(DB53,LEN("Voltaire"))="Voltaire"</formula>
    </cfRule>
  </conditionalFormatting>
  <conditionalFormatting sqref="DB56">
    <cfRule type="beginsWith" dxfId="9692" priority="15374" operator="beginsWith" text="Projet professionnel : Séminaire PFI">
      <formula>LEFT(DB56,LEN("Projet professionnel : Séminaire PFI"))="Projet professionnel : Séminaire PFI"</formula>
    </cfRule>
    <cfRule type="beginsWith" dxfId="9691" priority="15375" operator="beginsWith" text="Lancement Projet fil rouge">
      <formula>LEFT(DB56,LEN("Lancement Projet fil rouge"))="Lancement Projet fil rouge"</formula>
    </cfRule>
    <cfRule type="beginsWith" dxfId="9690" priority="15376" operator="beginsWith" text="Vacances">
      <formula>LEFT(DB56,LEN("Vacances"))="Vacances"</formula>
    </cfRule>
    <cfRule type="beginsWith" dxfId="9689" priority="15377" operator="beginsWith" text="Séminaire d'intégration">
      <formula>LEFT(DB56,LEN("Séminaire d'intégration"))="Séminaire d'intégration"</formula>
    </cfRule>
    <cfRule type="beginsWith" dxfId="9688" priority="15378" operator="beginsWith" text="Accueil">
      <formula>LEFT(DB56,LEN("Accueil"))="Accueil"</formula>
    </cfRule>
    <cfRule type="beginsWith" dxfId="9687" priority="15379" operator="beginsWith" text="Stage">
      <formula>LEFT(DB56,LEN("Stage"))="Stage"</formula>
    </cfRule>
    <cfRule type="beginsWith" dxfId="9686" priority="15380" operator="beginsWith" text="Entreprise">
      <formula>LEFT(DB56,LEN("Entreprise"))="Entreprise"</formula>
    </cfRule>
    <cfRule type="beginsWith" dxfId="9685" priority="15381" operator="beginsWith" text="Voltaire">
      <formula>LEFT(DB56,LEN("Voltaire"))="Voltaire"</formula>
    </cfRule>
  </conditionalFormatting>
  <conditionalFormatting sqref="DB61">
    <cfRule type="beginsWith" dxfId="9684" priority="15382" operator="beginsWith" text="Projet professionnel : Séminaire PFI">
      <formula>LEFT(DB61,LEN("Projet professionnel : Séminaire PFI"))="Projet professionnel : Séminaire PFI"</formula>
    </cfRule>
    <cfRule type="beginsWith" dxfId="9683" priority="15383" operator="beginsWith" text="Lancement Projet fil rouge">
      <formula>LEFT(DB61,LEN("Lancement Projet fil rouge"))="Lancement Projet fil rouge"</formula>
    </cfRule>
    <cfRule type="beginsWith" dxfId="9682" priority="15384" operator="beginsWith" text="Vacances">
      <formula>LEFT(DB61,LEN("Vacances"))="Vacances"</formula>
    </cfRule>
    <cfRule type="beginsWith" dxfId="9681" priority="15385" operator="beginsWith" text="Séminaire d'intégration">
      <formula>LEFT(DB61,LEN("Séminaire d'intégration"))="Séminaire d'intégration"</formula>
    </cfRule>
    <cfRule type="beginsWith" dxfId="9680" priority="15386" operator="beginsWith" text="Accueil">
      <formula>LEFT(DB61,LEN("Accueil"))="Accueil"</formula>
    </cfRule>
    <cfRule type="beginsWith" dxfId="9679" priority="15387" operator="beginsWith" text="Stage">
      <formula>LEFT(DB61,LEN("Stage"))="Stage"</formula>
    </cfRule>
    <cfRule type="beginsWith" dxfId="9678" priority="15388" operator="beginsWith" text="Entreprise">
      <formula>LEFT(DB61,LEN("Entreprise"))="Entreprise"</formula>
    </cfRule>
    <cfRule type="beginsWith" dxfId="9677" priority="15389" operator="beginsWith" text="Voltaire">
      <formula>LEFT(DB61,LEN("Voltaire"))="Voltaire"</formula>
    </cfRule>
  </conditionalFormatting>
  <conditionalFormatting sqref="DB72:DB74">
    <cfRule type="beginsWith" dxfId="9676" priority="27314" operator="beginsWith" text="Projet professionnel : Séminaire PFI">
      <formula>LEFT(DB72,LEN("Projet professionnel : Séminaire PFI"))="Projet professionnel : Séminaire PFI"</formula>
    </cfRule>
    <cfRule type="beginsWith" dxfId="9675" priority="27315" operator="beginsWith" text="Lancement Projet fil rouge">
      <formula>LEFT(DB72,LEN("Lancement Projet fil rouge"))="Lancement Projet fil rouge"</formula>
    </cfRule>
    <cfRule type="beginsWith" dxfId="9674" priority="27316" operator="beginsWith" text="Vacances">
      <formula>LEFT(DB72,LEN("Vacances"))="Vacances"</formula>
    </cfRule>
    <cfRule type="beginsWith" dxfId="9673" priority="27317" operator="beginsWith" text="Séminaire d'intégration">
      <formula>LEFT(DB72,LEN("Séminaire d'intégration"))="Séminaire d'intégration"</formula>
    </cfRule>
    <cfRule type="beginsWith" dxfId="9672" priority="27318" operator="beginsWith" text="Accueil">
      <formula>LEFT(DB72,LEN("Accueil"))="Accueil"</formula>
    </cfRule>
    <cfRule type="beginsWith" dxfId="9671" priority="27319" operator="beginsWith" text="Stage">
      <formula>LEFT(DB72,LEN("Stage"))="Stage"</formula>
    </cfRule>
    <cfRule type="beginsWith" dxfId="9670" priority="27320" operator="beginsWith" text="Entreprise">
      <formula>LEFT(DB72,LEN("Entreprise"))="Entreprise"</formula>
    </cfRule>
    <cfRule type="beginsWith" dxfId="9669" priority="27321" operator="beginsWith" text="Voltaire">
      <formula>LEFT(DB72,LEN("Voltaire"))="Voltaire"</formula>
    </cfRule>
  </conditionalFormatting>
  <conditionalFormatting sqref="DB75">
    <cfRule type="beginsWith" dxfId="9668" priority="27282" operator="beginsWith" text="Projet professionnel : Séminaire PFI">
      <formula>LEFT(DB75,LEN("Projet professionnel : Séminaire PFI"))="Projet professionnel : Séminaire PFI"</formula>
    </cfRule>
    <cfRule type="beginsWith" dxfId="9667" priority="27283" operator="beginsWith" text="Lancement Projet fil rouge">
      <formula>LEFT(DB75,LEN("Lancement Projet fil rouge"))="Lancement Projet fil rouge"</formula>
    </cfRule>
    <cfRule type="beginsWith" dxfId="9666" priority="27284" operator="beginsWith" text="Vacances">
      <formula>LEFT(DB75,LEN("Vacances"))="Vacances"</formula>
    </cfRule>
    <cfRule type="beginsWith" dxfId="9665" priority="27285" operator="beginsWith" text="Séminaire d'intégration">
      <formula>LEFT(DB75,LEN("Séminaire d'intégration"))="Séminaire d'intégration"</formula>
    </cfRule>
    <cfRule type="beginsWith" dxfId="9664" priority="27286" operator="beginsWith" text="Accueil">
      <formula>LEFT(DB75,LEN("Accueil"))="Accueil"</formula>
    </cfRule>
    <cfRule type="beginsWith" dxfId="9663" priority="27287" operator="beginsWith" text="Stage">
      <formula>LEFT(DB75,LEN("Stage"))="Stage"</formula>
    </cfRule>
    <cfRule type="beginsWith" dxfId="9662" priority="27288" operator="beginsWith" text="Entreprise">
      <formula>LEFT(DB75,LEN("Entreprise"))="Entreprise"</formula>
    </cfRule>
    <cfRule type="beginsWith" dxfId="9661" priority="27289" operator="beginsWith" text="Voltaire">
      <formula>LEFT(DB75,LEN("Voltaire"))="Voltaire"</formula>
    </cfRule>
  </conditionalFormatting>
  <conditionalFormatting sqref="DB81">
    <cfRule type="beginsWith" dxfId="9660" priority="27290" operator="beginsWith" text="Projet professionnel : Séminaire PFI">
      <formula>LEFT(DB81,LEN("Projet professionnel : Séminaire PFI"))="Projet professionnel : Séminaire PFI"</formula>
    </cfRule>
    <cfRule type="beginsWith" dxfId="9659" priority="27291" operator="beginsWith" text="Lancement Projet fil rouge">
      <formula>LEFT(DB81,LEN("Lancement Projet fil rouge"))="Lancement Projet fil rouge"</formula>
    </cfRule>
    <cfRule type="beginsWith" dxfId="9658" priority="27292" operator="beginsWith" text="Vacances">
      <formula>LEFT(DB81,LEN("Vacances"))="Vacances"</formula>
    </cfRule>
    <cfRule type="beginsWith" dxfId="9657" priority="27293" operator="beginsWith" text="Séminaire d'intégration">
      <formula>LEFT(DB81,LEN("Séminaire d'intégration"))="Séminaire d'intégration"</formula>
    </cfRule>
    <cfRule type="beginsWith" dxfId="9656" priority="27294" operator="beginsWith" text="Accueil">
      <formula>LEFT(DB81,LEN("Accueil"))="Accueil"</formula>
    </cfRule>
    <cfRule type="beginsWith" dxfId="9655" priority="27295" operator="beginsWith" text="Stage">
      <formula>LEFT(DB81,LEN("Stage"))="Stage"</formula>
    </cfRule>
    <cfRule type="beginsWith" dxfId="9654" priority="27296" operator="beginsWith" text="Entreprise">
      <formula>LEFT(DB81,LEN("Entreprise"))="Entreprise"</formula>
    </cfRule>
    <cfRule type="beginsWith" dxfId="9653" priority="27297" operator="beginsWith" text="Voltaire">
      <formula>LEFT(DB81,LEN("Voltaire"))="Voltaire"</formula>
    </cfRule>
  </conditionalFormatting>
  <conditionalFormatting sqref="DB86">
    <cfRule type="beginsWith" dxfId="9652" priority="27298" operator="beginsWith" text="Projet professionnel : Séminaire PFI">
      <formula>LEFT(DB86,LEN("Projet professionnel : Séminaire PFI"))="Projet professionnel : Séminaire PFI"</formula>
    </cfRule>
    <cfRule type="beginsWith" dxfId="9651" priority="27299" operator="beginsWith" text="Lancement Projet fil rouge">
      <formula>LEFT(DB86,LEN("Lancement Projet fil rouge"))="Lancement Projet fil rouge"</formula>
    </cfRule>
    <cfRule type="beginsWith" dxfId="9650" priority="27300" operator="beginsWith" text="Vacances">
      <formula>LEFT(DB86,LEN("Vacances"))="Vacances"</formula>
    </cfRule>
    <cfRule type="beginsWith" dxfId="9649" priority="27301" operator="beginsWith" text="Séminaire d'intégration">
      <formula>LEFT(DB86,LEN("Séminaire d'intégration"))="Séminaire d'intégration"</formula>
    </cfRule>
    <cfRule type="beginsWith" dxfId="9648" priority="27302" operator="beginsWith" text="Accueil">
      <formula>LEFT(DB86,LEN("Accueil"))="Accueil"</formula>
    </cfRule>
    <cfRule type="beginsWith" dxfId="9647" priority="27303" operator="beginsWith" text="Stage">
      <formula>LEFT(DB86,LEN("Stage"))="Stage"</formula>
    </cfRule>
    <cfRule type="beginsWith" dxfId="9646" priority="27304" operator="beginsWith" text="Entreprise">
      <formula>LEFT(DB86,LEN("Entreprise"))="Entreprise"</formula>
    </cfRule>
    <cfRule type="beginsWith" dxfId="9645" priority="27305" operator="beginsWith" text="Voltaire">
      <formula>LEFT(DB86,LEN("Voltaire"))="Voltaire"</formula>
    </cfRule>
  </conditionalFormatting>
  <conditionalFormatting sqref="DB91">
    <cfRule type="beginsWith" dxfId="9644" priority="27442" operator="beginsWith" text="Projet professionnel : Séminaire PFI">
      <formula>LEFT(DB91,LEN("Projet professionnel : Séminaire PFI"))="Projet professionnel : Séminaire PFI"</formula>
    </cfRule>
    <cfRule type="beginsWith" dxfId="9643" priority="27443" operator="beginsWith" text="Lancement Projet fil rouge">
      <formula>LEFT(DB91,LEN("Lancement Projet fil rouge"))="Lancement Projet fil rouge"</formula>
    </cfRule>
    <cfRule type="beginsWith" dxfId="9642" priority="27444" operator="beginsWith" text="Vacances">
      <formula>LEFT(DB91,LEN("Vacances"))="Vacances"</formula>
    </cfRule>
    <cfRule type="beginsWith" dxfId="9641" priority="27445" operator="beginsWith" text="Séminaire d'intégration">
      <formula>LEFT(DB91,LEN("Séminaire d'intégration"))="Séminaire d'intégration"</formula>
    </cfRule>
    <cfRule type="beginsWith" dxfId="9640" priority="27446" operator="beginsWith" text="Accueil">
      <formula>LEFT(DB91,LEN("Accueil"))="Accueil"</formula>
    </cfRule>
    <cfRule type="beginsWith" dxfId="9639" priority="27447" operator="beginsWith" text="Stage">
      <formula>LEFT(DB91,LEN("Stage"))="Stage"</formula>
    </cfRule>
    <cfRule type="beginsWith" dxfId="9638" priority="27448" operator="beginsWith" text="Entreprise">
      <formula>LEFT(DB91,LEN("Entreprise"))="Entreprise"</formula>
    </cfRule>
    <cfRule type="beginsWith" dxfId="9637" priority="27449" operator="beginsWith" text="Voltaire">
      <formula>LEFT(DB91,LEN("Voltaire"))="Voltaire"</formula>
    </cfRule>
  </conditionalFormatting>
  <conditionalFormatting sqref="DB96">
    <cfRule type="beginsWith" dxfId="9636" priority="27306" operator="beginsWith" text="Projet professionnel : Séminaire PFI">
      <formula>LEFT(DB96,LEN("Projet professionnel : Séminaire PFI"))="Projet professionnel : Séminaire PFI"</formula>
    </cfRule>
    <cfRule type="beginsWith" dxfId="9635" priority="27307" operator="beginsWith" text="Lancement Projet fil rouge">
      <formula>LEFT(DB96,LEN("Lancement Projet fil rouge"))="Lancement Projet fil rouge"</formula>
    </cfRule>
    <cfRule type="beginsWith" dxfId="9634" priority="27308" operator="beginsWith" text="Vacances">
      <formula>LEFT(DB96,LEN("Vacances"))="Vacances"</formula>
    </cfRule>
    <cfRule type="beginsWith" dxfId="9633" priority="27309" operator="beginsWith" text="Séminaire d'intégration">
      <formula>LEFT(DB96,LEN("Séminaire d'intégration"))="Séminaire d'intégration"</formula>
    </cfRule>
    <cfRule type="beginsWith" dxfId="9632" priority="27310" operator="beginsWith" text="Accueil">
      <formula>LEFT(DB96,LEN("Accueil"))="Accueil"</formula>
    </cfRule>
    <cfRule type="beginsWith" dxfId="9631" priority="27311" operator="beginsWith" text="Stage">
      <formula>LEFT(DB96,LEN("Stage"))="Stage"</formula>
    </cfRule>
    <cfRule type="beginsWith" dxfId="9630" priority="27312" operator="beginsWith" text="Entreprise">
      <formula>LEFT(DB96,LEN("Entreprise"))="Entreprise"</formula>
    </cfRule>
    <cfRule type="beginsWith" dxfId="9629" priority="27313" operator="beginsWith" text="Voltaire">
      <formula>LEFT(DB96,LEN("Voltaire"))="Voltaire"</formula>
    </cfRule>
  </conditionalFormatting>
  <conditionalFormatting sqref="DB108">
    <cfRule type="beginsWith" dxfId="9628" priority="27266" operator="beginsWith" text="Projet professionnel : Séminaire PFI">
      <formula>LEFT(DB108,LEN("Projet professionnel : Séminaire PFI"))="Projet professionnel : Séminaire PFI"</formula>
    </cfRule>
    <cfRule type="beginsWith" dxfId="9627" priority="27267" operator="beginsWith" text="Lancement Projet fil rouge">
      <formula>LEFT(DB108,LEN("Lancement Projet fil rouge"))="Lancement Projet fil rouge"</formula>
    </cfRule>
    <cfRule type="beginsWith" dxfId="9626" priority="27268" operator="beginsWith" text="Vacances">
      <formula>LEFT(DB108,LEN("Vacances"))="Vacances"</formula>
    </cfRule>
    <cfRule type="beginsWith" dxfId="9625" priority="27269" operator="beginsWith" text="Séminaire d'intégration">
      <formula>LEFT(DB108,LEN("Séminaire d'intégration"))="Séminaire d'intégration"</formula>
    </cfRule>
    <cfRule type="beginsWith" dxfId="9624" priority="27270" operator="beginsWith" text="Accueil">
      <formula>LEFT(DB108,LEN("Accueil"))="Accueil"</formula>
    </cfRule>
    <cfRule type="beginsWith" dxfId="9623" priority="27271" operator="beginsWith" text="Stage">
      <formula>LEFT(DB108,LEN("Stage"))="Stage"</formula>
    </cfRule>
    <cfRule type="beginsWith" dxfId="9622" priority="27272" operator="beginsWith" text="Entreprise">
      <formula>LEFT(DB108,LEN("Entreprise"))="Entreprise"</formula>
    </cfRule>
    <cfRule type="beginsWith" dxfId="9621" priority="27273" operator="beginsWith" text="Voltaire">
      <formula>LEFT(DB108,LEN("Voltaire"))="Voltaire"</formula>
    </cfRule>
  </conditionalFormatting>
  <conditionalFormatting sqref="DB109:DB115">
    <cfRule type="beginsWith" dxfId="9620" priority="15289" operator="beginsWith" text="Projet professionnel : Séminaire PFI">
      <formula>LEFT(DB109,LEN("Projet professionnel : Séminaire PFI"))="Projet professionnel : Séminaire PFI"</formula>
    </cfRule>
    <cfRule type="beginsWith" dxfId="9619" priority="15290" operator="beginsWith" text="Lancement Projet fil rouge">
      <formula>LEFT(DB109,LEN("Lancement Projet fil rouge"))="Lancement Projet fil rouge"</formula>
    </cfRule>
    <cfRule type="beginsWith" dxfId="9618" priority="15291" operator="beginsWith" text="Vacances">
      <formula>LEFT(DB109,LEN("Vacances"))="Vacances"</formula>
    </cfRule>
    <cfRule type="beginsWith" dxfId="9617" priority="15292" operator="beginsWith" text="Séminaire d'intégration">
      <formula>LEFT(DB109,LEN("Séminaire d'intégration"))="Séminaire d'intégration"</formula>
    </cfRule>
    <cfRule type="beginsWith" dxfId="9616" priority="15293" operator="beginsWith" text="Accueil">
      <formula>LEFT(DB109,LEN("Accueil"))="Accueil"</formula>
    </cfRule>
    <cfRule type="beginsWith" dxfId="9615" priority="15294" operator="beginsWith" text="Stage">
      <formula>LEFT(DB109,LEN("Stage"))="Stage"</formula>
    </cfRule>
    <cfRule type="beginsWith" dxfId="9614" priority="15295" operator="beginsWith" text="Entreprise">
      <formula>LEFT(DB109,LEN("Entreprise"))="Entreprise"</formula>
    </cfRule>
    <cfRule type="beginsWith" dxfId="9613" priority="15296" operator="beginsWith" text="Voltaire">
      <formula>LEFT(DB109,LEN("Voltaire"))="Voltaire"</formula>
    </cfRule>
  </conditionalFormatting>
  <conditionalFormatting sqref="DB125:DB135">
    <cfRule type="beginsWith" dxfId="9612" priority="15281" operator="beginsWith" text="Projet professionnel : Séminaire PFI">
      <formula>LEFT(DB125,LEN("Projet professionnel : Séminaire PFI"))="Projet professionnel : Séminaire PFI"</formula>
    </cfRule>
    <cfRule type="beginsWith" dxfId="9611" priority="15282" operator="beginsWith" text="Lancement Projet fil rouge">
      <formula>LEFT(DB125,LEN("Lancement Projet fil rouge"))="Lancement Projet fil rouge"</formula>
    </cfRule>
    <cfRule type="beginsWith" dxfId="9610" priority="15283" operator="beginsWith" text="Vacances">
      <formula>LEFT(DB125,LEN("Vacances"))="Vacances"</formula>
    </cfRule>
    <cfRule type="beginsWith" dxfId="9609" priority="15284" operator="beginsWith" text="Séminaire d'intégration">
      <formula>LEFT(DB125,LEN("Séminaire d'intégration"))="Séminaire d'intégration"</formula>
    </cfRule>
    <cfRule type="beginsWith" dxfId="9608" priority="15285" operator="beginsWith" text="Accueil">
      <formula>LEFT(DB125,LEN("Accueil"))="Accueil"</formula>
    </cfRule>
    <cfRule type="beginsWith" dxfId="9607" priority="15286" operator="beginsWith" text="Stage">
      <formula>LEFT(DB125,LEN("Stage"))="Stage"</formula>
    </cfRule>
    <cfRule type="beginsWith" dxfId="9606" priority="15287" operator="beginsWith" text="Entreprise">
      <formula>LEFT(DB125,LEN("Entreprise"))="Entreprise"</formula>
    </cfRule>
    <cfRule type="beginsWith" dxfId="9605" priority="15288" operator="beginsWith" text="Voltaire">
      <formula>LEFT(DB125,LEN("Voltaire"))="Voltaire"</formula>
    </cfRule>
  </conditionalFormatting>
  <conditionalFormatting sqref="DB136">
    <cfRule type="beginsWith" dxfId="9604" priority="27402" operator="beginsWith" text="Projet professionnel : Séminaire PFI">
      <formula>LEFT(DB136,LEN("Projet professionnel : Séminaire PFI"))="Projet professionnel : Séminaire PFI"</formula>
    </cfRule>
    <cfRule type="beginsWith" dxfId="9603" priority="27403" operator="beginsWith" text="Lancement Projet fil rouge">
      <formula>LEFT(DB136,LEN("Lancement Projet fil rouge"))="Lancement Projet fil rouge"</formula>
    </cfRule>
    <cfRule type="beginsWith" dxfId="9602" priority="27404" operator="beginsWith" text="Vacances">
      <formula>LEFT(DB136,LEN("Vacances"))="Vacances"</formula>
    </cfRule>
    <cfRule type="beginsWith" dxfId="9601" priority="27405" operator="beginsWith" text="Séminaire d'intégration">
      <formula>LEFT(DB136,LEN("Séminaire d'intégration"))="Séminaire d'intégration"</formula>
    </cfRule>
    <cfRule type="beginsWith" dxfId="9600" priority="27406" operator="beginsWith" text="Accueil">
      <formula>LEFT(DB136,LEN("Accueil"))="Accueil"</formula>
    </cfRule>
    <cfRule type="beginsWith" dxfId="9599" priority="27407" operator="beginsWith" text="Stage">
      <formula>LEFT(DB136,LEN("Stage"))="Stage"</formula>
    </cfRule>
    <cfRule type="beginsWith" dxfId="9598" priority="27408" operator="beginsWith" text="Entreprise">
      <formula>LEFT(DB136,LEN("Entreprise"))="Entreprise"</formula>
    </cfRule>
    <cfRule type="beginsWith" dxfId="9597" priority="27409" operator="beginsWith" text="Voltaire">
      <formula>LEFT(DB136,LEN("Voltaire"))="Voltaire"</formula>
    </cfRule>
  </conditionalFormatting>
  <conditionalFormatting sqref="DB141">
    <cfRule type="beginsWith" dxfId="9596" priority="27394" operator="beginsWith" text="Projet professionnel : Séminaire PFI">
      <formula>LEFT(DB141,LEN("Projet professionnel : Séminaire PFI"))="Projet professionnel : Séminaire PFI"</formula>
    </cfRule>
    <cfRule type="beginsWith" dxfId="9595" priority="27395" operator="beginsWith" text="Lancement Projet fil rouge">
      <formula>LEFT(DB141,LEN("Lancement Projet fil rouge"))="Lancement Projet fil rouge"</formula>
    </cfRule>
    <cfRule type="beginsWith" dxfId="9594" priority="27396" operator="beginsWith" text="Vacances">
      <formula>LEFT(DB141,LEN("Vacances"))="Vacances"</formula>
    </cfRule>
    <cfRule type="beginsWith" dxfId="9593" priority="27397" operator="beginsWith" text="Séminaire d'intégration">
      <formula>LEFT(DB141,LEN("Séminaire d'intégration"))="Séminaire d'intégration"</formula>
    </cfRule>
    <cfRule type="beginsWith" dxfId="9592" priority="27398" operator="beginsWith" text="Accueil">
      <formula>LEFT(DB141,LEN("Accueil"))="Accueil"</formula>
    </cfRule>
    <cfRule type="beginsWith" dxfId="9591" priority="27399" operator="beginsWith" text="Stage">
      <formula>LEFT(DB141,LEN("Stage"))="Stage"</formula>
    </cfRule>
    <cfRule type="beginsWith" dxfId="9590" priority="27400" operator="beginsWith" text="Entreprise">
      <formula>LEFT(DB141,LEN("Entreprise"))="Entreprise"</formula>
    </cfRule>
    <cfRule type="beginsWith" dxfId="9589" priority="27401" operator="beginsWith" text="Voltaire">
      <formula>LEFT(DB141,LEN("Voltaire"))="Voltaire"</formula>
    </cfRule>
  </conditionalFormatting>
  <conditionalFormatting sqref="DB146">
    <cfRule type="beginsWith" dxfId="9588" priority="15273" operator="beginsWith" text="Projet professionnel : Séminaire PFI">
      <formula>LEFT(DB146,LEN("Projet professionnel : Séminaire PFI"))="Projet professionnel : Séminaire PFI"</formula>
    </cfRule>
    <cfRule type="beginsWith" dxfId="9587" priority="15274" operator="beginsWith" text="Lancement Projet fil rouge">
      <formula>LEFT(DB146,LEN("Lancement Projet fil rouge"))="Lancement Projet fil rouge"</formula>
    </cfRule>
    <cfRule type="beginsWith" dxfId="9586" priority="15275" operator="beginsWith" text="Vacances">
      <formula>LEFT(DB146,LEN("Vacances"))="Vacances"</formula>
    </cfRule>
    <cfRule type="beginsWith" dxfId="9585" priority="15276" operator="beginsWith" text="Séminaire d'intégration">
      <formula>LEFT(DB146,LEN("Séminaire d'intégration"))="Séminaire d'intégration"</formula>
    </cfRule>
    <cfRule type="beginsWith" dxfId="9584" priority="15277" operator="beginsWith" text="Accueil">
      <formula>LEFT(DB146,LEN("Accueil"))="Accueil"</formula>
    </cfRule>
    <cfRule type="beginsWith" dxfId="9583" priority="15278" operator="beginsWith" text="Stage">
      <formula>LEFT(DB146,LEN("Stage"))="Stage"</formula>
    </cfRule>
    <cfRule type="beginsWith" dxfId="9582" priority="15279" operator="beginsWith" text="Entreprise">
      <formula>LEFT(DB146,LEN("Entreprise"))="Entreprise"</formula>
    </cfRule>
    <cfRule type="beginsWith" dxfId="9581" priority="15280" operator="beginsWith" text="Voltaire">
      <formula>LEFT(DB146,LEN("Voltaire"))="Voltaire"</formula>
    </cfRule>
  </conditionalFormatting>
  <conditionalFormatting sqref="DB166:DB180">
    <cfRule type="beginsWith" dxfId="9580" priority="27386" operator="beginsWith" text="Projet professionnel : Séminaire PFI">
      <formula>LEFT(DB166,LEN("Projet professionnel : Séminaire PFI"))="Projet professionnel : Séminaire PFI"</formula>
    </cfRule>
    <cfRule type="beginsWith" dxfId="9579" priority="27387" operator="beginsWith" text="Lancement Projet fil rouge">
      <formula>LEFT(DB166,LEN("Lancement Projet fil rouge"))="Lancement Projet fil rouge"</formula>
    </cfRule>
    <cfRule type="beginsWith" dxfId="9578" priority="27388" operator="beginsWith" text="Vacances">
      <formula>LEFT(DB166,LEN("Vacances"))="Vacances"</formula>
    </cfRule>
    <cfRule type="beginsWith" dxfId="9577" priority="27389" operator="beginsWith" text="Séminaire d'intégration">
      <formula>LEFT(DB166,LEN("Séminaire d'intégration"))="Séminaire d'intégration"</formula>
    </cfRule>
    <cfRule type="beginsWith" dxfId="9576" priority="27390" operator="beginsWith" text="Accueil">
      <formula>LEFT(DB166,LEN("Accueil"))="Accueil"</formula>
    </cfRule>
    <cfRule type="beginsWith" dxfId="9575" priority="27391" operator="beginsWith" text="Stage">
      <formula>LEFT(DB166,LEN("Stage"))="Stage"</formula>
    </cfRule>
    <cfRule type="beginsWith" dxfId="9574" priority="27392" operator="beginsWith" text="Entreprise">
      <formula>LEFT(DB166,LEN("Entreprise"))="Entreprise"</formula>
    </cfRule>
    <cfRule type="beginsWith" dxfId="9573" priority="27393" operator="beginsWith" text="Voltaire">
      <formula>LEFT(DB166,LEN("Voltaire"))="Voltaire"</formula>
    </cfRule>
  </conditionalFormatting>
  <conditionalFormatting sqref="DB181">
    <cfRule type="beginsWith" dxfId="9572" priority="27378" operator="beginsWith" text="Projet professionnel : Séminaire PFI">
      <formula>LEFT(DB181,LEN("Projet professionnel : Séminaire PFI"))="Projet professionnel : Séminaire PFI"</formula>
    </cfRule>
    <cfRule type="beginsWith" dxfId="9571" priority="27379" operator="beginsWith" text="Lancement Projet fil rouge">
      <formula>LEFT(DB181,LEN("Lancement Projet fil rouge"))="Lancement Projet fil rouge"</formula>
    </cfRule>
    <cfRule type="beginsWith" dxfId="9570" priority="27380" operator="beginsWith" text="Vacances">
      <formula>LEFT(DB181,LEN("Vacances"))="Vacances"</formula>
    </cfRule>
    <cfRule type="beginsWith" dxfId="9569" priority="27381" operator="beginsWith" text="Séminaire d'intégration">
      <formula>LEFT(DB181,LEN("Séminaire d'intégration"))="Séminaire d'intégration"</formula>
    </cfRule>
    <cfRule type="beginsWith" dxfId="9568" priority="27382" operator="beginsWith" text="Accueil">
      <formula>LEFT(DB181,LEN("Accueil"))="Accueil"</formula>
    </cfRule>
    <cfRule type="beginsWith" dxfId="9567" priority="27383" operator="beginsWith" text="Stage">
      <formula>LEFT(DB181,LEN("Stage"))="Stage"</formula>
    </cfRule>
    <cfRule type="beginsWith" dxfId="9566" priority="27384" operator="beginsWith" text="Entreprise">
      <formula>LEFT(DB181,LEN("Entreprise"))="Entreprise"</formula>
    </cfRule>
    <cfRule type="beginsWith" dxfId="9565" priority="27385" operator="beginsWith" text="Voltaire">
      <formula>LEFT(DB181,LEN("Voltaire"))="Voltaire"</formula>
    </cfRule>
  </conditionalFormatting>
  <conditionalFormatting sqref="DB186">
    <cfRule type="beginsWith" dxfId="9564" priority="27370" operator="beginsWith" text="Projet professionnel : Séminaire PFI">
      <formula>LEFT(DB186,LEN("Projet professionnel : Séminaire PFI"))="Projet professionnel : Séminaire PFI"</formula>
    </cfRule>
    <cfRule type="beginsWith" dxfId="9563" priority="27371" operator="beginsWith" text="Lancement Projet fil rouge">
      <formula>LEFT(DB186,LEN("Lancement Projet fil rouge"))="Lancement Projet fil rouge"</formula>
    </cfRule>
    <cfRule type="beginsWith" dxfId="9562" priority="27372" operator="beginsWith" text="Vacances">
      <formula>LEFT(DB186,LEN("Vacances"))="Vacances"</formula>
    </cfRule>
    <cfRule type="beginsWith" dxfId="9561" priority="27373" operator="beginsWith" text="Séminaire d'intégration">
      <formula>LEFT(DB186,LEN("Séminaire d'intégration"))="Séminaire d'intégration"</formula>
    </cfRule>
    <cfRule type="beginsWith" dxfId="9560" priority="27374" operator="beginsWith" text="Accueil">
      <formula>LEFT(DB186,LEN("Accueil"))="Accueil"</formula>
    </cfRule>
    <cfRule type="beginsWith" dxfId="9559" priority="27375" operator="beginsWith" text="Stage">
      <formula>LEFT(DB186,LEN("Stage"))="Stage"</formula>
    </cfRule>
    <cfRule type="beginsWith" dxfId="9558" priority="27376" operator="beginsWith" text="Entreprise">
      <formula>LEFT(DB186,LEN("Entreprise"))="Entreprise"</formula>
    </cfRule>
    <cfRule type="beginsWith" dxfId="9557" priority="27377" operator="beginsWith" text="Voltaire">
      <formula>LEFT(DB186,LEN("Voltaire"))="Voltaire"</formula>
    </cfRule>
  </conditionalFormatting>
  <conditionalFormatting sqref="DB197">
    <cfRule type="beginsWith" dxfId="9556" priority="27506" operator="beginsWith" text="Projet professionnel : Séminaire PFI">
      <formula>LEFT(DB197,LEN("Projet professionnel : Séminaire PFI"))="Projet professionnel : Séminaire PFI"</formula>
    </cfRule>
    <cfRule type="beginsWith" dxfId="9555" priority="27507" operator="beginsWith" text="Lancement Projet fil rouge">
      <formula>LEFT(DB197,LEN("Lancement Projet fil rouge"))="Lancement Projet fil rouge"</formula>
    </cfRule>
    <cfRule type="beginsWith" dxfId="9554" priority="27508" operator="beginsWith" text="Vacances">
      <formula>LEFT(DB197,LEN("Vacances"))="Vacances"</formula>
    </cfRule>
    <cfRule type="beginsWith" dxfId="9553" priority="27509" operator="beginsWith" text="Séminaire d'intégration">
      <formula>LEFT(DB197,LEN("Séminaire d'intégration"))="Séminaire d'intégration"</formula>
    </cfRule>
    <cfRule type="beginsWith" dxfId="9552" priority="27510" operator="beginsWith" text="Accueil">
      <formula>LEFT(DB197,LEN("Accueil"))="Accueil"</formula>
    </cfRule>
    <cfRule type="beginsWith" dxfId="9551" priority="27511" operator="beginsWith" text="Stage">
      <formula>LEFT(DB197,LEN("Stage"))="Stage"</formula>
    </cfRule>
    <cfRule type="beginsWith" dxfId="9550" priority="27512" operator="beginsWith" text="Entreprise">
      <formula>LEFT(DB197,LEN("Entreprise"))="Entreprise"</formula>
    </cfRule>
    <cfRule type="beginsWith" dxfId="9549" priority="27513" operator="beginsWith" text="Voltaire">
      <formula>LEFT(DB197,LEN("Voltaire"))="Voltaire"</formula>
    </cfRule>
  </conditionalFormatting>
  <conditionalFormatting sqref="DB198:DB200">
    <cfRule type="beginsWith" dxfId="9548" priority="27490" operator="beginsWith" text="Projet professionnel : Séminaire PFI">
      <formula>LEFT(DB198,LEN("Projet professionnel : Séminaire PFI"))="Projet professionnel : Séminaire PFI"</formula>
    </cfRule>
    <cfRule type="beginsWith" dxfId="9547" priority="27491" operator="beginsWith" text="Lancement Projet fil rouge">
      <formula>LEFT(DB198,LEN("Lancement Projet fil rouge"))="Lancement Projet fil rouge"</formula>
    </cfRule>
    <cfRule type="beginsWith" dxfId="9546" priority="27492" operator="beginsWith" text="Vacances">
      <formula>LEFT(DB198,LEN("Vacances"))="Vacances"</formula>
    </cfRule>
    <cfRule type="beginsWith" dxfId="9545" priority="27493" operator="beginsWith" text="Séminaire d'intégration">
      <formula>LEFT(DB198,LEN("Séminaire d'intégration"))="Séminaire d'intégration"</formula>
    </cfRule>
    <cfRule type="beginsWith" dxfId="9544" priority="27494" operator="beginsWith" text="Accueil">
      <formula>LEFT(DB198,LEN("Accueil"))="Accueil"</formula>
    </cfRule>
    <cfRule type="beginsWith" dxfId="9543" priority="27495" operator="beginsWith" text="Stage">
      <formula>LEFT(DB198,LEN("Stage"))="Stage"</formula>
    </cfRule>
    <cfRule type="beginsWith" dxfId="9542" priority="27496" operator="beginsWith" text="Entreprise">
      <formula>LEFT(DB198,LEN("Entreprise"))="Entreprise"</formula>
    </cfRule>
    <cfRule type="beginsWith" dxfId="9541" priority="27497" operator="beginsWith" text="Voltaire">
      <formula>LEFT(DB198,LEN("Voltaire"))="Voltaire"</formula>
    </cfRule>
  </conditionalFormatting>
  <conditionalFormatting sqref="DB206">
    <cfRule type="beginsWith" dxfId="9540" priority="27498" operator="beginsWith" text="Projet professionnel : Séminaire PFI">
      <formula>LEFT(DB206,LEN("Projet professionnel : Séminaire PFI"))="Projet professionnel : Séminaire PFI"</formula>
    </cfRule>
    <cfRule type="beginsWith" dxfId="9539" priority="27499" operator="beginsWith" text="Lancement Projet fil rouge">
      <formula>LEFT(DB206,LEN("Lancement Projet fil rouge"))="Lancement Projet fil rouge"</formula>
    </cfRule>
    <cfRule type="beginsWith" dxfId="9538" priority="27500" operator="beginsWith" text="Vacances">
      <formula>LEFT(DB206,LEN("Vacances"))="Vacances"</formula>
    </cfRule>
    <cfRule type="beginsWith" dxfId="9537" priority="27501" operator="beginsWith" text="Séminaire d'intégration">
      <formula>LEFT(DB206,LEN("Séminaire d'intégration"))="Séminaire d'intégration"</formula>
    </cfRule>
    <cfRule type="beginsWith" dxfId="9536" priority="27502" operator="beginsWith" text="Accueil">
      <formula>LEFT(DB206,LEN("Accueil"))="Accueil"</formula>
    </cfRule>
    <cfRule type="beginsWith" dxfId="9535" priority="27503" operator="beginsWith" text="Stage">
      <formula>LEFT(DB206,LEN("Stage"))="Stage"</formula>
    </cfRule>
    <cfRule type="beginsWith" dxfId="9534" priority="27504" operator="beginsWith" text="Entreprise">
      <formula>LEFT(DB206,LEN("Entreprise"))="Entreprise"</formula>
    </cfRule>
    <cfRule type="beginsWith" dxfId="9533" priority="27505" operator="beginsWith" text="Voltaire">
      <formula>LEFT(DB206,LEN("Voltaire"))="Voltaire"</formula>
    </cfRule>
  </conditionalFormatting>
  <conditionalFormatting sqref="DB231">
    <cfRule type="beginsWith" dxfId="9532" priority="27242" operator="beginsWith" text="Projet professionnel : Séminaire PFI">
      <formula>LEFT(DB231,LEN("Projet professionnel : Séminaire PFI"))="Projet professionnel : Séminaire PFI"</formula>
    </cfRule>
    <cfRule type="beginsWith" dxfId="9531" priority="27243" operator="beginsWith" text="Lancement Projet fil rouge">
      <formula>LEFT(DB231,LEN("Lancement Projet fil rouge"))="Lancement Projet fil rouge"</formula>
    </cfRule>
    <cfRule type="beginsWith" dxfId="9530" priority="27244" operator="beginsWith" text="Vacances">
      <formula>LEFT(DB231,LEN("Vacances"))="Vacances"</formula>
    </cfRule>
    <cfRule type="beginsWith" dxfId="9529" priority="27245" operator="beginsWith" text="Séminaire d'intégration">
      <formula>LEFT(DB231,LEN("Séminaire d'intégration"))="Séminaire d'intégration"</formula>
    </cfRule>
    <cfRule type="beginsWith" dxfId="9528" priority="27246" operator="beginsWith" text="Accueil">
      <formula>LEFT(DB231,LEN("Accueil"))="Accueil"</formula>
    </cfRule>
    <cfRule type="beginsWith" dxfId="9527" priority="27247" operator="beginsWith" text="Stage">
      <formula>LEFT(DB231,LEN("Stage"))="Stage"</formula>
    </cfRule>
    <cfRule type="beginsWith" dxfId="9526" priority="27248" operator="beginsWith" text="Entreprise">
      <formula>LEFT(DB231,LEN("Entreprise"))="Entreprise"</formula>
    </cfRule>
    <cfRule type="beginsWith" dxfId="9525" priority="27249" operator="beginsWith" text="Voltaire">
      <formula>LEFT(DB231,LEN("Voltaire"))="Voltaire"</formula>
    </cfRule>
  </conditionalFormatting>
  <conditionalFormatting sqref="DB236">
    <cfRule type="beginsWith" dxfId="9524" priority="27250" operator="beginsWith" text="Projet professionnel : Séminaire PFI">
      <formula>LEFT(DB236,LEN("Projet professionnel : Séminaire PFI"))="Projet professionnel : Séminaire PFI"</formula>
    </cfRule>
    <cfRule type="beginsWith" dxfId="9523" priority="27251" operator="beginsWith" text="Lancement Projet fil rouge">
      <formula>LEFT(DB236,LEN("Lancement Projet fil rouge"))="Lancement Projet fil rouge"</formula>
    </cfRule>
    <cfRule type="beginsWith" dxfId="9522" priority="27252" operator="beginsWith" text="Vacances">
      <formula>LEFT(DB236,LEN("Vacances"))="Vacances"</formula>
    </cfRule>
    <cfRule type="beginsWith" dxfId="9521" priority="27253" operator="beginsWith" text="Séminaire d'intégration">
      <formula>LEFT(DB236,LEN("Séminaire d'intégration"))="Séminaire d'intégration"</formula>
    </cfRule>
    <cfRule type="beginsWith" dxfId="9520" priority="27254" operator="beginsWith" text="Accueil">
      <formula>LEFT(DB236,LEN("Accueil"))="Accueil"</formula>
    </cfRule>
    <cfRule type="beginsWith" dxfId="9519" priority="27255" operator="beginsWith" text="Stage">
      <formula>LEFT(DB236,LEN("Stage"))="Stage"</formula>
    </cfRule>
    <cfRule type="beginsWith" dxfId="9518" priority="27256" operator="beginsWith" text="Entreprise">
      <formula>LEFT(DB236,LEN("Entreprise"))="Entreprise"</formula>
    </cfRule>
    <cfRule type="beginsWith" dxfId="9517" priority="27257" operator="beginsWith" text="Voltaire">
      <formula>LEFT(DB236,LEN("Voltaire"))="Voltaire"</formula>
    </cfRule>
  </conditionalFormatting>
  <conditionalFormatting sqref="DB241">
    <cfRule type="beginsWith" dxfId="9516" priority="27322" operator="beginsWith" text="Projet professionnel : Séminaire PFI">
      <formula>LEFT(DB241,LEN("Projet professionnel : Séminaire PFI"))="Projet professionnel : Séminaire PFI"</formula>
    </cfRule>
    <cfRule type="beginsWith" dxfId="9515" priority="27323" operator="beginsWith" text="Lancement Projet fil rouge">
      <formula>LEFT(DB241,LEN("Lancement Projet fil rouge"))="Lancement Projet fil rouge"</formula>
    </cfRule>
    <cfRule type="beginsWith" dxfId="9514" priority="27324" operator="beginsWith" text="Vacances">
      <formula>LEFT(DB241,LEN("Vacances"))="Vacances"</formula>
    </cfRule>
    <cfRule type="beginsWith" dxfId="9513" priority="27325" operator="beginsWith" text="Séminaire d'intégration">
      <formula>LEFT(DB241,LEN("Séminaire d'intégration"))="Séminaire d'intégration"</formula>
    </cfRule>
    <cfRule type="beginsWith" dxfId="9512" priority="27326" operator="beginsWith" text="Accueil">
      <formula>LEFT(DB241,LEN("Accueil"))="Accueil"</formula>
    </cfRule>
    <cfRule type="beginsWith" dxfId="9511" priority="27327" operator="beginsWith" text="Stage">
      <formula>LEFT(DB241,LEN("Stage"))="Stage"</formula>
    </cfRule>
    <cfRule type="beginsWith" dxfId="9510" priority="27328" operator="beginsWith" text="Entreprise">
      <formula>LEFT(DB241,LEN("Entreprise"))="Entreprise"</formula>
    </cfRule>
    <cfRule type="beginsWith" dxfId="9509" priority="27329" operator="beginsWith" text="Voltaire">
      <formula>LEFT(DB241,LEN("Voltaire"))="Voltaire"</formula>
    </cfRule>
    <cfRule type="beginsWith" dxfId="9508" priority="27330" operator="beginsWith" text="Projet professionnel : Séminaire PFI">
      <formula>LEFT(DB241,LEN("Projet professionnel : Séminaire PFI"))="Projet professionnel : Séminaire PFI"</formula>
    </cfRule>
    <cfRule type="beginsWith" dxfId="9507" priority="27331" operator="beginsWith" text="Lancement Projet fil rouge">
      <formula>LEFT(DB241,LEN("Lancement Projet fil rouge"))="Lancement Projet fil rouge"</formula>
    </cfRule>
    <cfRule type="beginsWith" dxfId="9506" priority="27332" operator="beginsWith" text="Vacances">
      <formula>LEFT(DB241,LEN("Vacances"))="Vacances"</formula>
    </cfRule>
    <cfRule type="beginsWith" dxfId="9505" priority="27333" operator="beginsWith" text="Séminaire d'intégration">
      <formula>LEFT(DB241,LEN("Séminaire d'intégration"))="Séminaire d'intégration"</formula>
    </cfRule>
    <cfRule type="beginsWith" dxfId="9504" priority="27334" operator="beginsWith" text="Accueil">
      <formula>LEFT(DB241,LEN("Accueil"))="Accueil"</formula>
    </cfRule>
    <cfRule type="beginsWith" dxfId="9503" priority="27335" operator="beginsWith" text="Stage">
      <formula>LEFT(DB241,LEN("Stage"))="Stage"</formula>
    </cfRule>
    <cfRule type="beginsWith" dxfId="9502" priority="27336" operator="beginsWith" text="Entreprise">
      <formula>LEFT(DB241,LEN("Entreprise"))="Entreprise"</formula>
    </cfRule>
    <cfRule type="beginsWith" dxfId="9501" priority="27337" operator="beginsWith" text="Voltaire">
      <formula>LEFT(DB241,LEN("Voltaire"))="Voltaire"</formula>
    </cfRule>
  </conditionalFormatting>
  <conditionalFormatting sqref="DB250:DB251">
    <cfRule type="beginsWith" dxfId="9500" priority="27474" operator="beginsWith" text="Projet professionnel : Séminaire PFI">
      <formula>LEFT(DB250,LEN("Projet professionnel : Séminaire PFI"))="Projet professionnel : Séminaire PFI"</formula>
    </cfRule>
    <cfRule type="beginsWith" dxfId="9499" priority="27475" operator="beginsWith" text="Lancement Projet fil rouge">
      <formula>LEFT(DB250,LEN("Lancement Projet fil rouge"))="Lancement Projet fil rouge"</formula>
    </cfRule>
    <cfRule type="beginsWith" dxfId="9498" priority="27476" operator="beginsWith" text="Vacances">
      <formula>LEFT(DB250,LEN("Vacances"))="Vacances"</formula>
    </cfRule>
    <cfRule type="beginsWith" dxfId="9497" priority="27477" operator="beginsWith" text="Séminaire d'intégration">
      <formula>LEFT(DB250,LEN("Séminaire d'intégration"))="Séminaire d'intégration"</formula>
    </cfRule>
    <cfRule type="beginsWith" dxfId="9496" priority="27478" operator="beginsWith" text="Accueil">
      <formula>LEFT(DB250,LEN("Accueil"))="Accueil"</formula>
    </cfRule>
    <cfRule type="beginsWith" dxfId="9495" priority="27479" operator="beginsWith" text="Stage">
      <formula>LEFT(DB250,LEN("Stage"))="Stage"</formula>
    </cfRule>
    <cfRule type="beginsWith" dxfId="9494" priority="27480" operator="beginsWith" text="Entreprise">
      <formula>LEFT(DB250,LEN("Entreprise"))="Entreprise"</formula>
    </cfRule>
    <cfRule type="beginsWith" dxfId="9493" priority="27481" operator="beginsWith" text="Voltaire">
      <formula>LEFT(DB250,LEN("Voltaire"))="Voltaire"</formula>
    </cfRule>
  </conditionalFormatting>
  <conditionalFormatting sqref="DC6:DC10">
    <cfRule type="beginsWith" dxfId="9492" priority="18019" operator="beginsWith" text="Lancement Projet fil rouge">
      <formula>LEFT(DC6,LEN("Lancement Projet fil rouge"))="Lancement Projet fil rouge"</formula>
    </cfRule>
    <cfRule type="beginsWith" dxfId="9491" priority="18020" operator="beginsWith" text="Vacances">
      <formula>LEFT(DC6,LEN("Vacances"))="Vacances"</formula>
    </cfRule>
    <cfRule type="beginsWith" dxfId="9490" priority="18021" operator="beginsWith" text="Séminaire d'intégration">
      <formula>LEFT(DC6,LEN("Séminaire d'intégration"))="Séminaire d'intégration"</formula>
    </cfRule>
    <cfRule type="beginsWith" dxfId="9489" priority="18022" operator="beginsWith" text="Accueil">
      <formula>LEFT(DC6,LEN("Accueil"))="Accueil"</formula>
    </cfRule>
    <cfRule type="beginsWith" dxfId="9488" priority="18023" operator="beginsWith" text="Stage">
      <formula>LEFT(DC6,LEN("Stage"))="Stage"</formula>
    </cfRule>
    <cfRule type="beginsWith" dxfId="9487" priority="18024" operator="beginsWith" text="Entreprise">
      <formula>LEFT(DC6,LEN("Entreprise"))="Entreprise"</formula>
    </cfRule>
    <cfRule type="beginsWith" dxfId="9486" priority="18025" operator="beginsWith" text="Voltaire">
      <formula>LEFT(DC6,LEN("Voltaire"))="Voltaire"</formula>
    </cfRule>
  </conditionalFormatting>
  <conditionalFormatting sqref="DC41:DC45">
    <cfRule type="beginsWith" dxfId="9485" priority="15359" operator="beginsWith" text="Lancement Projet fil rouge">
      <formula>LEFT(DC41,LEN("Lancement Projet fil rouge"))="Lancement Projet fil rouge"</formula>
    </cfRule>
    <cfRule type="beginsWith" dxfId="9484" priority="15360" operator="beginsWith" text="Vacances">
      <formula>LEFT(DC41,LEN("Vacances"))="Vacances"</formula>
    </cfRule>
    <cfRule type="beginsWith" dxfId="9483" priority="15361" operator="beginsWith" text="Séminaire d'intégration">
      <formula>LEFT(DC41,LEN("Séminaire d'intégration"))="Séminaire d'intégration"</formula>
    </cfRule>
    <cfRule type="beginsWith" dxfId="9482" priority="15362" operator="beginsWith" text="Accueil">
      <formula>LEFT(DC41,LEN("Accueil"))="Accueil"</formula>
    </cfRule>
    <cfRule type="beginsWith" dxfId="9481" priority="15363" operator="beginsWith" text="Stage">
      <formula>LEFT(DC41,LEN("Stage"))="Stage"</formula>
    </cfRule>
    <cfRule type="beginsWith" dxfId="9480" priority="15364" operator="beginsWith" text="Entreprise">
      <formula>LEFT(DC41,LEN("Entreprise"))="Entreprise"</formula>
    </cfRule>
    <cfRule type="beginsWith" dxfId="9479" priority="15365" operator="beginsWith" text="Voltaire">
      <formula>LEFT(DC41,LEN("Voltaire"))="Voltaire"</formula>
    </cfRule>
  </conditionalFormatting>
  <conditionalFormatting sqref="DC55">
    <cfRule type="beginsWith" dxfId="9478" priority="20418" operator="beginsWith" text="Lancement Projet fil rouge">
      <formula>LEFT(DC55,LEN("Lancement Projet fil rouge"))="Lancement Projet fil rouge"</formula>
    </cfRule>
    <cfRule type="beginsWith" dxfId="9477" priority="20419" operator="beginsWith" text="Vacances">
      <formula>LEFT(DC55,LEN("Vacances"))="Vacances"</formula>
    </cfRule>
    <cfRule type="beginsWith" dxfId="9476" priority="20420" operator="beginsWith" text="Séminaire d'intégration">
      <formula>LEFT(DC55,LEN("Séminaire d'intégration"))="Séminaire d'intégration"</formula>
    </cfRule>
    <cfRule type="beginsWith" dxfId="9475" priority="20421" operator="beginsWith" text="Accueil">
      <formula>LEFT(DC55,LEN("Accueil"))="Accueil"</formula>
    </cfRule>
    <cfRule type="beginsWith" dxfId="9474" priority="20422" operator="beginsWith" text="Stage">
      <formula>LEFT(DC55,LEN("Stage"))="Stage"</formula>
    </cfRule>
    <cfRule type="beginsWith" dxfId="9473" priority="20423" operator="beginsWith" text="Entreprise">
      <formula>LEFT(DC55,LEN("Entreprise"))="Entreprise"</formula>
    </cfRule>
    <cfRule type="beginsWith" dxfId="9472" priority="20424" operator="beginsWith" text="Voltaire">
      <formula>LEFT(DC55,LEN("Voltaire"))="Voltaire"</formula>
    </cfRule>
  </conditionalFormatting>
  <conditionalFormatting sqref="DC141">
    <cfRule type="beginsWith" dxfId="9471" priority="24168" operator="beginsWith" text="Lancement Projet fil rouge">
      <formula>LEFT(DC141,LEN("Lancement Projet fil rouge"))="Lancement Projet fil rouge"</formula>
    </cfRule>
    <cfRule type="beginsWith" dxfId="9470" priority="24169" operator="beginsWith" text="Vacances">
      <formula>LEFT(DC141,LEN("Vacances"))="Vacances"</formula>
    </cfRule>
    <cfRule type="beginsWith" dxfId="9469" priority="24170" operator="beginsWith" text="Séminaire d'intégration">
      <formula>LEFT(DC141,LEN("Séminaire d'intégration"))="Séminaire d'intégration"</formula>
    </cfRule>
    <cfRule type="beginsWith" dxfId="9468" priority="24171" operator="beginsWith" text="Accueil">
      <formula>LEFT(DC141,LEN("Accueil"))="Accueil"</formula>
    </cfRule>
    <cfRule type="beginsWith" dxfId="9467" priority="24172" operator="beginsWith" text="Stage">
      <formula>LEFT(DC141,LEN("Stage"))="Stage"</formula>
    </cfRule>
    <cfRule type="beginsWith" dxfId="9466" priority="24173" operator="beginsWith" text="Entreprise">
      <formula>LEFT(DC141,LEN("Entreprise"))="Entreprise"</formula>
    </cfRule>
    <cfRule type="beginsWith" dxfId="9465" priority="24174" operator="beginsWith" text="Voltaire">
      <formula>LEFT(DC141,LEN("Voltaire"))="Voltaire"</formula>
    </cfRule>
  </conditionalFormatting>
  <conditionalFormatting sqref="DC172">
    <cfRule type="beginsWith" dxfId="9464" priority="19755" operator="beginsWith" text="Lancement Projet fil rouge">
      <formula>LEFT(DC172,LEN("Lancement Projet fil rouge"))="Lancement Projet fil rouge"</formula>
    </cfRule>
    <cfRule type="beginsWith" dxfId="9463" priority="19756" operator="beginsWith" text="Vacances">
      <formula>LEFT(DC172,LEN("Vacances"))="Vacances"</formula>
    </cfRule>
    <cfRule type="beginsWith" dxfId="9462" priority="19757" operator="beginsWith" text="Séminaire d'intégration">
      <formula>LEFT(DC172,LEN("Séminaire d'intégration"))="Séminaire d'intégration"</formula>
    </cfRule>
    <cfRule type="beginsWith" dxfId="9461" priority="19758" operator="beginsWith" text="Accueil">
      <formula>LEFT(DC172,LEN("Accueil"))="Accueil"</formula>
    </cfRule>
    <cfRule type="beginsWith" dxfId="9460" priority="19759" operator="beginsWith" text="Stage">
      <formula>LEFT(DC172,LEN("Stage"))="Stage"</formula>
    </cfRule>
    <cfRule type="beginsWith" dxfId="9459" priority="19760" operator="beginsWith" text="Entreprise">
      <formula>LEFT(DC172,LEN("Entreprise"))="Entreprise"</formula>
    </cfRule>
    <cfRule type="beginsWith" dxfId="9458" priority="19761" operator="beginsWith" text="Voltaire">
      <formula>LEFT(DC172,LEN("Voltaire"))="Voltaire"</formula>
    </cfRule>
  </conditionalFormatting>
  <conditionalFormatting sqref="DC206">
    <cfRule type="beginsWith" dxfId="9457" priority="31933" operator="beginsWith" text="Projet professionnel : Séminaire PFI">
      <formula>LEFT(DC206,LEN("Projet professionnel : Séminaire PFI"))="Projet professionnel : Séminaire PFI"</formula>
    </cfRule>
    <cfRule type="beginsWith" dxfId="9456" priority="31935" operator="beginsWith" text="Vacances">
      <formula>LEFT(DC206,LEN("Vacances"))="Vacances"</formula>
    </cfRule>
    <cfRule type="beginsWith" dxfId="9455" priority="31936" operator="beginsWith" text="Séminaire d'intégration">
      <formula>LEFT(DC206,LEN("Séminaire d'intégration"))="Séminaire d'intégration"</formula>
    </cfRule>
    <cfRule type="beginsWith" dxfId="9454" priority="31937" operator="beginsWith" text="Accueil">
      <formula>LEFT(DC206,LEN("Accueil"))="Accueil"</formula>
    </cfRule>
    <cfRule type="beginsWith" dxfId="9453" priority="31938" operator="beginsWith" text="Stage">
      <formula>LEFT(DC206,LEN("Stage"))="Stage"</formula>
    </cfRule>
    <cfRule type="beginsWith" dxfId="9452" priority="31939" operator="beginsWith" text="Entreprise">
      <formula>LEFT(DC206,LEN("Entreprise"))="Entreprise"</formula>
    </cfRule>
    <cfRule type="beginsWith" dxfId="9451" priority="31940" operator="beginsWith" text="Voltaire">
      <formula>LEFT(DC206,LEN("Voltaire"))="Voltaire"</formula>
    </cfRule>
  </conditionalFormatting>
  <conditionalFormatting sqref="DC207">
    <cfRule type="beginsWith" dxfId="9450" priority="18712" operator="beginsWith" text="Projet professionnel : Séminaire PFI">
      <formula>LEFT(DC207,LEN("Projet professionnel : Séminaire PFI"))="Projet professionnel : Séminaire PFI"</formula>
    </cfRule>
    <cfRule type="beginsWith" dxfId="9449" priority="18713" operator="beginsWith" text="Lancement Projet fil rouge">
      <formula>LEFT(DC207,LEN("Lancement Projet fil rouge"))="Lancement Projet fil rouge"</formula>
    </cfRule>
    <cfRule type="beginsWith" dxfId="9448" priority="18714" operator="beginsWith" text="Vacances">
      <formula>LEFT(DC207,LEN("Vacances"))="Vacances"</formula>
    </cfRule>
    <cfRule type="beginsWith" dxfId="9447" priority="18715" operator="beginsWith" text="Séminaire d'intégration">
      <formula>LEFT(DC207,LEN("Séminaire d'intégration"))="Séminaire d'intégration"</formula>
    </cfRule>
    <cfRule type="beginsWith" dxfId="9446" priority="18716" operator="beginsWith" text="Accueil">
      <formula>LEFT(DC207,LEN("Accueil"))="Accueil"</formula>
    </cfRule>
    <cfRule type="beginsWith" dxfId="9445" priority="18717" operator="beginsWith" text="Stage">
      <formula>LEFT(DC207,LEN("Stage"))="Stage"</formula>
    </cfRule>
    <cfRule type="beginsWith" dxfId="9444" priority="18718" operator="beginsWith" text="Entreprise">
      <formula>LEFT(DC207,LEN("Entreprise"))="Entreprise"</formula>
    </cfRule>
    <cfRule type="beginsWith" dxfId="9443" priority="18719" operator="beginsWith" text="Voltaire">
      <formula>LEFT(DC207,LEN("Voltaire"))="Voltaire"</formula>
    </cfRule>
  </conditionalFormatting>
  <conditionalFormatting sqref="DC217">
    <cfRule type="beginsWith" dxfId="9442" priority="18698" operator="beginsWith" text="Lancement Projet fil rouge">
      <formula>LEFT(DC217,LEN("Lancement Projet fil rouge"))="Lancement Projet fil rouge"</formula>
    </cfRule>
    <cfRule type="beginsWith" dxfId="9441" priority="18699" operator="beginsWith" text="Vacances">
      <formula>LEFT(DC217,LEN("Vacances"))="Vacances"</formula>
    </cfRule>
    <cfRule type="beginsWith" dxfId="9440" priority="18700" operator="beginsWith" text="Séminaire d'intégration">
      <formula>LEFT(DC217,LEN("Séminaire d'intégration"))="Séminaire d'intégration"</formula>
    </cfRule>
    <cfRule type="beginsWith" dxfId="9439" priority="18701" operator="beginsWith" text="Accueil">
      <formula>LEFT(DC217,LEN("Accueil"))="Accueil"</formula>
    </cfRule>
    <cfRule type="beginsWith" dxfId="9438" priority="18702" operator="beginsWith" text="Stage">
      <formula>LEFT(DC217,LEN("Stage"))="Stage"</formula>
    </cfRule>
    <cfRule type="beginsWith" dxfId="9437" priority="18703" operator="beginsWith" text="Entreprise">
      <formula>LEFT(DC217,LEN("Entreprise"))="Entreprise"</formula>
    </cfRule>
    <cfRule type="beginsWith" dxfId="9436" priority="18704" operator="beginsWith" text="Voltaire">
      <formula>LEFT(DC217,LEN("Voltaire"))="Voltaire"</formula>
    </cfRule>
  </conditionalFormatting>
  <conditionalFormatting sqref="DC186:DH206">
    <cfRule type="beginsWith" dxfId="9435" priority="31934" operator="beginsWith" text="Lancement Projet fil rouge">
      <formula>LEFT(DC186,LEN("Lancement Projet fil rouge"))="Lancement Projet fil rouge"</formula>
    </cfRule>
  </conditionalFormatting>
  <conditionalFormatting sqref="DD36:DD40">
    <cfRule type="notContainsBlanks" dxfId="9434" priority="15358">
      <formula>LEN(TRIM(DD36))&gt;0</formula>
    </cfRule>
  </conditionalFormatting>
  <conditionalFormatting sqref="DD41:DD45">
    <cfRule type="notContainsBlanks" dxfId="9433" priority="15347">
      <formula>LEN(TRIM(DD41))&gt;0</formula>
    </cfRule>
  </conditionalFormatting>
  <conditionalFormatting sqref="DD96:DD105">
    <cfRule type="notContainsBlanks" dxfId="9432" priority="19926">
      <formula>LEN(TRIM(DD96))&gt;0</formula>
    </cfRule>
  </conditionalFormatting>
  <conditionalFormatting sqref="DD141:DD145">
    <cfRule type="notContainsBlanks" dxfId="9431" priority="24167">
      <formula>LEN(TRIM(DD141))&gt;0</formula>
    </cfRule>
  </conditionalFormatting>
  <conditionalFormatting sqref="DD207">
    <cfRule type="beginsWith" dxfId="9430" priority="20266" operator="beginsWith" text="Lancement Projet fil rouge">
      <formula>LEFT(DD207,LEN("Lancement Projet fil rouge"))="Lancement Projet fil rouge"</formula>
    </cfRule>
    <cfRule type="beginsWith" dxfId="9429" priority="20267" operator="beginsWith" text="Vacances">
      <formula>LEFT(DD207,LEN("Vacances"))="Vacances"</formula>
    </cfRule>
    <cfRule type="beginsWith" dxfId="9428" priority="20268" operator="beginsWith" text="Séminaire d'intégration">
      <formula>LEFT(DD207,LEN("Séminaire d'intégration"))="Séminaire d'intégration"</formula>
    </cfRule>
    <cfRule type="beginsWith" dxfId="9427" priority="20269" operator="beginsWith" text="Accueil">
      <formula>LEFT(DD207,LEN("Accueil"))="Accueil"</formula>
    </cfRule>
    <cfRule type="beginsWith" dxfId="9426" priority="20270" operator="beginsWith" text="Stage">
      <formula>LEFT(DD207,LEN("Stage"))="Stage"</formula>
    </cfRule>
    <cfRule type="beginsWith" dxfId="9425" priority="20271" operator="beginsWith" text="Entreprise">
      <formula>LEFT(DD207,LEN("Entreprise"))="Entreprise"</formula>
    </cfRule>
    <cfRule type="beginsWith" dxfId="9424" priority="20272" operator="beginsWith" text="Voltaire">
      <formula>LEFT(DD207,LEN("Voltaire"))="Voltaire"</formula>
    </cfRule>
    <cfRule type="notContainsBlanks" dxfId="9423" priority="20273">
      <formula>LEN(TRIM(DD207))&gt;0</formula>
    </cfRule>
  </conditionalFormatting>
  <conditionalFormatting sqref="DD208">
    <cfRule type="beginsWith" dxfId="9422" priority="20250" operator="beginsWith" text="Lancement Projet fil rouge">
      <formula>LEFT(DD208,LEN("Lancement Projet fil rouge"))="Lancement Projet fil rouge"</formula>
    </cfRule>
    <cfRule type="beginsWith" dxfId="9421" priority="20251" operator="beginsWith" text="Vacances">
      <formula>LEFT(DD208,LEN("Vacances"))="Vacances"</formula>
    </cfRule>
    <cfRule type="beginsWith" dxfId="9420" priority="20252" operator="beginsWith" text="Séminaire d'intégration">
      <formula>LEFT(DD208,LEN("Séminaire d'intégration"))="Séminaire d'intégration"</formula>
    </cfRule>
    <cfRule type="beginsWith" dxfId="9419" priority="20253" operator="beginsWith" text="Accueil">
      <formula>LEFT(DD208,LEN("Accueil"))="Accueil"</formula>
    </cfRule>
    <cfRule type="beginsWith" dxfId="9418" priority="20254" operator="beginsWith" text="Stage">
      <formula>LEFT(DD208,LEN("Stage"))="Stage"</formula>
    </cfRule>
    <cfRule type="beginsWith" dxfId="9417" priority="20255" operator="beginsWith" text="Entreprise">
      <formula>LEFT(DD208,LEN("Entreprise"))="Entreprise"</formula>
    </cfRule>
    <cfRule type="beginsWith" dxfId="9416" priority="20256" operator="beginsWith" text="Voltaire">
      <formula>LEFT(DD208,LEN("Voltaire"))="Voltaire"</formula>
    </cfRule>
    <cfRule type="notContainsBlanks" dxfId="9415" priority="20257">
      <formula>LEN(TRIM(DD208))&gt;0</formula>
    </cfRule>
  </conditionalFormatting>
  <conditionalFormatting sqref="DD217">
    <cfRule type="beginsWith" dxfId="9414" priority="20258" operator="beginsWith" text="Lancement Projet fil rouge">
      <formula>LEFT(DD217,LEN("Lancement Projet fil rouge"))="Lancement Projet fil rouge"</formula>
    </cfRule>
    <cfRule type="beginsWith" dxfId="9413" priority="20259" operator="beginsWith" text="Vacances">
      <formula>LEFT(DD217,LEN("Vacances"))="Vacances"</formula>
    </cfRule>
    <cfRule type="beginsWith" dxfId="9412" priority="20260" operator="beginsWith" text="Séminaire d'intégration">
      <formula>LEFT(DD217,LEN("Séminaire d'intégration"))="Séminaire d'intégration"</formula>
    </cfRule>
    <cfRule type="beginsWith" dxfId="9411" priority="20261" operator="beginsWith" text="Accueil">
      <formula>LEFT(DD217,LEN("Accueil"))="Accueil"</formula>
    </cfRule>
    <cfRule type="beginsWith" dxfId="9410" priority="20262" operator="beginsWith" text="Stage">
      <formula>LEFT(DD217,LEN("Stage"))="Stage"</formula>
    </cfRule>
    <cfRule type="beginsWith" dxfId="9409" priority="20263" operator="beginsWith" text="Entreprise">
      <formula>LEFT(DD217,LEN("Entreprise"))="Entreprise"</formula>
    </cfRule>
    <cfRule type="beginsWith" dxfId="9408" priority="20264" operator="beginsWith" text="Voltaire">
      <formula>LEFT(DD217,LEN("Voltaire"))="Voltaire"</formula>
    </cfRule>
    <cfRule type="notContainsBlanks" dxfId="9407" priority="20265">
      <formula>LEN(TRIM(DD217))&gt;0</formula>
    </cfRule>
  </conditionalFormatting>
  <conditionalFormatting sqref="DD218">
    <cfRule type="beginsWith" dxfId="9406" priority="20282" operator="beginsWith" text="Lancement Projet fil rouge">
      <formula>LEFT(DD218,LEN("Lancement Projet fil rouge"))="Lancement Projet fil rouge"</formula>
    </cfRule>
    <cfRule type="beginsWith" dxfId="9405" priority="20283" operator="beginsWith" text="Vacances">
      <formula>LEFT(DD218,LEN("Vacances"))="Vacances"</formula>
    </cfRule>
    <cfRule type="beginsWith" dxfId="9404" priority="20284" operator="beginsWith" text="Séminaire d'intégration">
      <formula>LEFT(DD218,LEN("Séminaire d'intégration"))="Séminaire d'intégration"</formula>
    </cfRule>
    <cfRule type="beginsWith" dxfId="9403" priority="20285" operator="beginsWith" text="Accueil">
      <formula>LEFT(DD218,LEN("Accueil"))="Accueil"</formula>
    </cfRule>
    <cfRule type="beginsWith" dxfId="9402" priority="20286" operator="beginsWith" text="Stage">
      <formula>LEFT(DD218,LEN("Stage"))="Stage"</formula>
    </cfRule>
    <cfRule type="beginsWith" dxfId="9401" priority="20287" operator="beginsWith" text="Entreprise">
      <formula>LEFT(DD218,LEN("Entreprise"))="Entreprise"</formula>
    </cfRule>
    <cfRule type="beginsWith" dxfId="9400" priority="20288" operator="beginsWith" text="Voltaire">
      <formula>LEFT(DD218,LEN("Voltaire"))="Voltaire"</formula>
    </cfRule>
    <cfRule type="notContainsBlanks" dxfId="9399" priority="20289">
      <formula>LEN(TRIM(DD218))&gt;0</formula>
    </cfRule>
  </conditionalFormatting>
  <conditionalFormatting sqref="DD219">
    <cfRule type="beginsWith" dxfId="9398" priority="20274" operator="beginsWith" text="Lancement Projet fil rouge">
      <formula>LEFT(DD219,LEN("Lancement Projet fil rouge"))="Lancement Projet fil rouge"</formula>
    </cfRule>
    <cfRule type="beginsWith" dxfId="9397" priority="20275" operator="beginsWith" text="Vacances">
      <formula>LEFT(DD219,LEN("Vacances"))="Vacances"</formula>
    </cfRule>
    <cfRule type="beginsWith" dxfId="9396" priority="20276" operator="beginsWith" text="Séminaire d'intégration">
      <formula>LEFT(DD219,LEN("Séminaire d'intégration"))="Séminaire d'intégration"</formula>
    </cfRule>
    <cfRule type="beginsWith" dxfId="9395" priority="20277" operator="beginsWith" text="Accueil">
      <formula>LEFT(DD219,LEN("Accueil"))="Accueil"</formula>
    </cfRule>
    <cfRule type="beginsWith" dxfId="9394" priority="20278" operator="beginsWith" text="Stage">
      <formula>LEFT(DD219,LEN("Stage"))="Stage"</formula>
    </cfRule>
    <cfRule type="beginsWith" dxfId="9393" priority="20279" operator="beginsWith" text="Entreprise">
      <formula>LEFT(DD219,LEN("Entreprise"))="Entreprise"</formula>
    </cfRule>
    <cfRule type="beginsWith" dxfId="9392" priority="20280" operator="beginsWith" text="Voltaire">
      <formula>LEFT(DD219,LEN("Voltaire"))="Voltaire"</formula>
    </cfRule>
    <cfRule type="notContainsBlanks" dxfId="9391" priority="20281">
      <formula>LEN(TRIM(DD219))&gt;0</formula>
    </cfRule>
  </conditionalFormatting>
  <conditionalFormatting sqref="DD220">
    <cfRule type="beginsWith" dxfId="9390" priority="20290" operator="beginsWith" text="Lancement Projet fil rouge">
      <formula>LEFT(DD220,LEN("Lancement Projet fil rouge"))="Lancement Projet fil rouge"</formula>
    </cfRule>
    <cfRule type="beginsWith" dxfId="9389" priority="20291" operator="beginsWith" text="Vacances">
      <formula>LEFT(DD220,LEN("Vacances"))="Vacances"</formula>
    </cfRule>
    <cfRule type="beginsWith" dxfId="9388" priority="20292" operator="beginsWith" text="Séminaire d'intégration">
      <formula>LEFT(DD220,LEN("Séminaire d'intégration"))="Séminaire d'intégration"</formula>
    </cfRule>
    <cfRule type="beginsWith" dxfId="9387" priority="20293" operator="beginsWith" text="Accueil">
      <formula>LEFT(DD220,LEN("Accueil"))="Accueil"</formula>
    </cfRule>
    <cfRule type="beginsWith" dxfId="9386" priority="20294" operator="beginsWith" text="Stage">
      <formula>LEFT(DD220,LEN("Stage"))="Stage"</formula>
    </cfRule>
    <cfRule type="beginsWith" dxfId="9385" priority="20295" operator="beginsWith" text="Entreprise">
      <formula>LEFT(DD220,LEN("Entreprise"))="Entreprise"</formula>
    </cfRule>
    <cfRule type="beginsWith" dxfId="9384" priority="20296" operator="beginsWith" text="Voltaire">
      <formula>LEFT(DD220,LEN("Voltaire"))="Voltaire"</formula>
    </cfRule>
    <cfRule type="notContainsBlanks" dxfId="9383" priority="20297">
      <formula>LEN(TRIM(DD220))&gt;0</formula>
    </cfRule>
  </conditionalFormatting>
  <conditionalFormatting sqref="DD41:DF45">
    <cfRule type="beginsWith" dxfId="9382" priority="15337" operator="beginsWith" text="Lancement Projet fil rouge">
      <formula>LEFT(DD41,LEN("Lancement Projet fil rouge"))="Lancement Projet fil rouge"</formula>
    </cfRule>
    <cfRule type="beginsWith" dxfId="9381" priority="15338" operator="beginsWith" text="Vacances">
      <formula>LEFT(DD41,LEN("Vacances"))="Vacances"</formula>
    </cfRule>
    <cfRule type="beginsWith" dxfId="9380" priority="15339" operator="beginsWith" text="Séminaire d'intégration">
      <formula>LEFT(DD41,LEN("Séminaire d'intégration"))="Séminaire d'intégration"</formula>
    </cfRule>
    <cfRule type="beginsWith" dxfId="9379" priority="15340" operator="beginsWith" text="Accueil">
      <formula>LEFT(DD41,LEN("Accueil"))="Accueil"</formula>
    </cfRule>
    <cfRule type="beginsWith" dxfId="9378" priority="15343" operator="beginsWith" text="Stage">
      <formula>LEFT(DD41,LEN("Stage"))="Stage"</formula>
    </cfRule>
    <cfRule type="beginsWith" dxfId="9377" priority="15344" operator="beginsWith" text="Entreprise">
      <formula>LEFT(DD41,LEN("Entreprise"))="Entreprise"</formula>
    </cfRule>
    <cfRule type="beginsWith" dxfId="9376" priority="15346" operator="beginsWith" text="Voltaire">
      <formula>LEFT(DD41,LEN("Voltaire"))="Voltaire"</formula>
    </cfRule>
  </conditionalFormatting>
  <conditionalFormatting sqref="DD36:DG40">
    <cfRule type="beginsWith" dxfId="9375" priority="15348" operator="beginsWith" text="Lancement Projet fil rouge">
      <formula>LEFT(DD36,LEN("Lancement Projet fil rouge"))="Lancement Projet fil rouge"</formula>
    </cfRule>
    <cfRule type="beginsWith" dxfId="9374" priority="15349" operator="beginsWith" text="Vacances">
      <formula>LEFT(DD36,LEN("Vacances"))="Vacances"</formula>
    </cfRule>
    <cfRule type="beginsWith" dxfId="9373" priority="15350" operator="beginsWith" text="Séminaire d'intégration">
      <formula>LEFT(DD36,LEN("Séminaire d'intégration"))="Séminaire d'intégration"</formula>
    </cfRule>
    <cfRule type="beginsWith" dxfId="9372" priority="15351" operator="beginsWith" text="Accueil">
      <formula>LEFT(DD36,LEN("Accueil"))="Accueil"</formula>
    </cfRule>
    <cfRule type="beginsWith" dxfId="9371" priority="15354" operator="beginsWith" text="Stage">
      <formula>LEFT(DD36,LEN("Stage"))="Stage"</formula>
    </cfRule>
    <cfRule type="beginsWith" dxfId="9370" priority="15355" operator="beginsWith" text="Entreprise">
      <formula>LEFT(DD36,LEN("Entreprise"))="Entreprise"</formula>
    </cfRule>
    <cfRule type="beginsWith" dxfId="9369" priority="15357" operator="beginsWith" text="Voltaire">
      <formula>LEFT(DD36,LEN("Voltaire"))="Voltaire"</formula>
    </cfRule>
  </conditionalFormatting>
  <conditionalFormatting sqref="DD96:DG105">
    <cfRule type="beginsWith" dxfId="9368" priority="19916" operator="beginsWith" text="Lancement Projet fil rouge">
      <formula>LEFT(DD96,LEN("Lancement Projet fil rouge"))="Lancement Projet fil rouge"</formula>
    </cfRule>
    <cfRule type="beginsWith" dxfId="9367" priority="19917" operator="beginsWith" text="Vacances">
      <formula>LEFT(DD96,LEN("Vacances"))="Vacances"</formula>
    </cfRule>
    <cfRule type="beginsWith" dxfId="9366" priority="19918" operator="beginsWith" text="Séminaire d'intégration">
      <formula>LEFT(DD96,LEN("Séminaire d'intégration"))="Séminaire d'intégration"</formula>
    </cfRule>
    <cfRule type="beginsWith" dxfId="9365" priority="19919" operator="beginsWith" text="Accueil">
      <formula>LEFT(DD96,LEN("Accueil"))="Accueil"</formula>
    </cfRule>
    <cfRule type="beginsWith" dxfId="9364" priority="19922" operator="beginsWith" text="Stage">
      <formula>LEFT(DD96,LEN("Stage"))="Stage"</formula>
    </cfRule>
    <cfRule type="beginsWith" dxfId="9363" priority="19923" operator="beginsWith" text="Entreprise">
      <formula>LEFT(DD96,LEN("Entreprise"))="Entreprise"</formula>
    </cfRule>
    <cfRule type="beginsWith" dxfId="9362" priority="19925" operator="beginsWith" text="Voltaire">
      <formula>LEFT(DD96,LEN("Voltaire"))="Voltaire"</formula>
    </cfRule>
  </conditionalFormatting>
  <conditionalFormatting sqref="DD141:DG145">
    <cfRule type="beginsWith" dxfId="9361" priority="24157" operator="beginsWith" text="Lancement Projet fil rouge">
      <formula>LEFT(DD141,LEN("Lancement Projet fil rouge"))="Lancement Projet fil rouge"</formula>
    </cfRule>
    <cfRule type="beginsWith" dxfId="9360" priority="24158" operator="beginsWith" text="Vacances">
      <formula>LEFT(DD141,LEN("Vacances"))="Vacances"</formula>
    </cfRule>
    <cfRule type="beginsWith" dxfId="9359" priority="24159" operator="beginsWith" text="Séminaire d'intégration">
      <formula>LEFT(DD141,LEN("Séminaire d'intégration"))="Séminaire d'intégration"</formula>
    </cfRule>
    <cfRule type="beginsWith" dxfId="9358" priority="24160" operator="beginsWith" text="Accueil">
      <formula>LEFT(DD141,LEN("Accueil"))="Accueil"</formula>
    </cfRule>
    <cfRule type="beginsWith" dxfId="9357" priority="24163" operator="beginsWith" text="Stage">
      <formula>LEFT(DD141,LEN("Stage"))="Stage"</formula>
    </cfRule>
    <cfRule type="beginsWith" dxfId="9356" priority="24164" operator="beginsWith" text="Entreprise">
      <formula>LEFT(DD141,LEN("Entreprise"))="Entreprise"</formula>
    </cfRule>
    <cfRule type="beginsWith" dxfId="9355" priority="24166" operator="beginsWith" text="Voltaire">
      <formula>LEFT(DD141,LEN("Voltaire"))="Voltaire"</formula>
    </cfRule>
  </conditionalFormatting>
  <conditionalFormatting sqref="DE207">
    <cfRule type="beginsWith" dxfId="9354" priority="18705" operator="beginsWith" text="Lancement Projet fil rouge">
      <formula>LEFT(DE207,LEN("Lancement Projet fil rouge"))="Lancement Projet fil rouge"</formula>
    </cfRule>
    <cfRule type="beginsWith" dxfId="9353" priority="18706" operator="beginsWith" text="Vacances">
      <formula>LEFT(DE207,LEN("Vacances"))="Vacances"</formula>
    </cfRule>
    <cfRule type="beginsWith" dxfId="9352" priority="18707" operator="beginsWith" text="Séminaire d'intégration">
      <formula>LEFT(DE207,LEN("Séminaire d'intégration"))="Séminaire d'intégration"</formula>
    </cfRule>
    <cfRule type="beginsWith" dxfId="9351" priority="18708" operator="beginsWith" text="Accueil">
      <formula>LEFT(DE207,LEN("Accueil"))="Accueil"</formula>
    </cfRule>
    <cfRule type="beginsWith" dxfId="9350" priority="18709" operator="beginsWith" text="Stage">
      <formula>LEFT(DE207,LEN("Stage"))="Stage"</formula>
    </cfRule>
    <cfRule type="beginsWith" dxfId="9349" priority="18710" operator="beginsWith" text="Entreprise">
      <formula>LEFT(DE207,LEN("Entreprise"))="Entreprise"</formula>
    </cfRule>
    <cfRule type="beginsWith" dxfId="9348" priority="18711" operator="beginsWith" text="Voltaire">
      <formula>LEFT(DE207,LEN("Voltaire"))="Voltaire"</formula>
    </cfRule>
  </conditionalFormatting>
  <conditionalFormatting sqref="DF41:DF45">
    <cfRule type="beginsWith" dxfId="9347" priority="15341" operator="beginsWith" text="TOPHYC">
      <formula>LEFT(DF41,LEN("TOPHYC"))="TOPHYC"</formula>
    </cfRule>
    <cfRule type="beginsWith" dxfId="9346" priority="15342" operator="beginsWith" text="Global Exam">
      <formula>LEFT(DF41,LEN("Global Exam"))="Global Exam"</formula>
    </cfRule>
    <cfRule type="beginsWith" dxfId="9345" priority="15345" operator="beginsWith" text="TOMIC">
      <formula>LEFT(DF41,LEN("TOMIC"))="TOMIC"</formula>
    </cfRule>
  </conditionalFormatting>
  <conditionalFormatting sqref="DF36:DG40">
    <cfRule type="beginsWith" dxfId="9344" priority="15352" operator="beginsWith" text="TOPHYC">
      <formula>LEFT(DF36,LEN("TOPHYC"))="TOPHYC"</formula>
    </cfRule>
    <cfRule type="beginsWith" dxfId="9343" priority="15353" operator="beginsWith" text="Global Exam">
      <formula>LEFT(DF36,LEN("Global Exam"))="Global Exam"</formula>
    </cfRule>
    <cfRule type="beginsWith" dxfId="9342" priority="15356" operator="beginsWith" text="TOMIC">
      <formula>LEFT(DF36,LEN("TOMIC"))="TOMIC"</formula>
    </cfRule>
  </conditionalFormatting>
  <conditionalFormatting sqref="DF96:DG105">
    <cfRule type="beginsWith" dxfId="9341" priority="19920" operator="beginsWith" text="TOPHYC">
      <formula>LEFT(DF96,LEN("TOPHYC"))="TOPHYC"</formula>
    </cfRule>
    <cfRule type="beginsWith" dxfId="9340" priority="19921" operator="beginsWith" text="Global Exam">
      <formula>LEFT(DF96,LEN("Global Exam"))="Global Exam"</formula>
    </cfRule>
    <cfRule type="beginsWith" dxfId="9339" priority="19924" operator="beginsWith" text="TOMIC">
      <formula>LEFT(DF96,LEN("TOMIC"))="TOMIC"</formula>
    </cfRule>
  </conditionalFormatting>
  <conditionalFormatting sqref="DF141:DG145">
    <cfRule type="beginsWith" dxfId="9338" priority="24161" operator="beginsWith" text="TOPHYC">
      <formula>LEFT(DF141,LEN("TOPHYC"))="TOPHYC"</formula>
    </cfRule>
    <cfRule type="beginsWith" dxfId="9337" priority="24162" operator="beginsWith" text="Global Exam">
      <formula>LEFT(DF141,LEN("Global Exam"))="Global Exam"</formula>
    </cfRule>
    <cfRule type="beginsWith" dxfId="9336" priority="24165" operator="beginsWith" text="TOMIC">
      <formula>LEFT(DF141,LEN("TOMIC"))="TOMIC"</formula>
    </cfRule>
  </conditionalFormatting>
  <conditionalFormatting sqref="DG41:DG45">
    <cfRule type="beginsWith" dxfId="9335" priority="9824" operator="beginsWith" text="Lancement Projet fil rouge">
      <formula>LEFT(DG41,LEN("Lancement Projet fil rouge"))="Lancement Projet fil rouge"</formula>
    </cfRule>
    <cfRule type="beginsWith" dxfId="9334" priority="9825" operator="beginsWith" text="Vacances">
      <formula>LEFT(DG41,LEN("Vacances"))="Vacances"</formula>
    </cfRule>
    <cfRule type="beginsWith" dxfId="9333" priority="9826" operator="beginsWith" text="Séminaire d'intégration">
      <formula>LEFT(DG41,LEN("Séminaire d'intégration"))="Séminaire d'intégration"</formula>
    </cfRule>
    <cfRule type="beginsWith" dxfId="9332" priority="9827" operator="beginsWith" text="Accueil">
      <formula>LEFT(DG41,LEN("Accueil"))="Accueil"</formula>
    </cfRule>
    <cfRule type="beginsWith" dxfId="9331" priority="9828" operator="beginsWith" text="TOPHYC">
      <formula>LEFT(DG41,LEN("TOPHYC"))="TOPHYC"</formula>
    </cfRule>
    <cfRule type="beginsWith" dxfId="9330" priority="9829" operator="beginsWith" text="Global Exam">
      <formula>LEFT(DG41,LEN("Global Exam"))="Global Exam"</formula>
    </cfRule>
    <cfRule type="beginsWith" dxfId="9329" priority="9830" operator="beginsWith" text="Stage">
      <formula>LEFT(DG41,LEN("Stage"))="Stage"</formula>
    </cfRule>
    <cfRule type="beginsWith" dxfId="9328" priority="9831" operator="beginsWith" text="Entreprise">
      <formula>LEFT(DG41,LEN("Entreprise"))="Entreprise"</formula>
    </cfRule>
    <cfRule type="beginsWith" dxfId="9327" priority="9832" operator="beginsWith" text="TOMIC">
      <formula>LEFT(DG41,LEN("TOMIC"))="TOMIC"</formula>
    </cfRule>
    <cfRule type="beginsWith" dxfId="9326" priority="9833" operator="beginsWith" text="Voltaire">
      <formula>LEFT(DG41,LEN("Voltaire"))="Voltaire"</formula>
    </cfRule>
  </conditionalFormatting>
  <conditionalFormatting sqref="DG46:DG50">
    <cfRule type="beginsWith" dxfId="9325" priority="21250" operator="beginsWith" text="Lancement Projet fil rouge">
      <formula>LEFT(DG46,LEN("Lancement Projet fil rouge"))="Lancement Projet fil rouge"</formula>
    </cfRule>
    <cfRule type="beginsWith" dxfId="9324" priority="21251" operator="beginsWith" text="Vacances">
      <formula>LEFT(DG46,LEN("Vacances"))="Vacances"</formula>
    </cfRule>
    <cfRule type="beginsWith" dxfId="9323" priority="21252" operator="beginsWith" text="Séminaire d'intégration">
      <formula>LEFT(DG46,LEN("Séminaire d'intégration"))="Séminaire d'intégration"</formula>
    </cfRule>
    <cfRule type="beginsWith" dxfId="9322" priority="21253" operator="beginsWith" text="Accueil">
      <formula>LEFT(DG46,LEN("Accueil"))="Accueil"</formula>
    </cfRule>
    <cfRule type="beginsWith" dxfId="9321" priority="21254" operator="beginsWith" text="TOPHYC">
      <formula>LEFT(DG46,LEN("TOPHYC"))="TOPHYC"</formula>
    </cfRule>
    <cfRule type="beginsWith" dxfId="9320" priority="21255" operator="beginsWith" text="Global Exam">
      <formula>LEFT(DG46,LEN("Global Exam"))="Global Exam"</formula>
    </cfRule>
    <cfRule type="beginsWith" dxfId="9319" priority="21256" operator="beginsWith" text="Stage">
      <formula>LEFT(DG46,LEN("Stage"))="Stage"</formula>
    </cfRule>
    <cfRule type="beginsWith" dxfId="9318" priority="21257" operator="beginsWith" text="Entreprise">
      <formula>LEFT(DG46,LEN("Entreprise"))="Entreprise"</formula>
    </cfRule>
    <cfRule type="beginsWith" dxfId="9317" priority="21258" operator="beginsWith" text="TOMIC">
      <formula>LEFT(DG46,LEN("TOMIC"))="TOMIC"</formula>
    </cfRule>
    <cfRule type="beginsWith" dxfId="9316" priority="21259" operator="beginsWith" text="Voltaire">
      <formula>LEFT(DG46,LEN("Voltaire"))="Voltaire"</formula>
    </cfRule>
  </conditionalFormatting>
  <conditionalFormatting sqref="DG166">
    <cfRule type="beginsWith" dxfId="9315" priority="12354" operator="beginsWith" text="Lancement Projet fil rouge">
      <formula>LEFT(DG166,LEN("Lancement Projet fil rouge"))="Lancement Projet fil rouge"</formula>
    </cfRule>
    <cfRule type="beginsWith" dxfId="9314" priority="12355" operator="beginsWith" text="Vacances">
      <formula>LEFT(DG166,LEN("Vacances"))="Vacances"</formula>
    </cfRule>
    <cfRule type="beginsWith" dxfId="9313" priority="12356" operator="beginsWith" text="Séminaire d'intégration">
      <formula>LEFT(DG166,LEN("Séminaire d'intégration"))="Séminaire d'intégration"</formula>
    </cfRule>
    <cfRule type="beginsWith" dxfId="9312" priority="12357" operator="beginsWith" text="Accueil">
      <formula>LEFT(DG166,LEN("Accueil"))="Accueil"</formula>
    </cfRule>
    <cfRule type="beginsWith" dxfId="9311" priority="12358" operator="beginsWith" text="TOPHYC">
      <formula>LEFT(DG166,LEN("TOPHYC"))="TOPHYC"</formula>
    </cfRule>
    <cfRule type="beginsWith" dxfId="9310" priority="12359" operator="beginsWith" text="Global Exam">
      <formula>LEFT(DG166,LEN("Global Exam"))="Global Exam"</formula>
    </cfRule>
    <cfRule type="beginsWith" dxfId="9309" priority="12360" operator="beginsWith" text="Stage">
      <formula>LEFT(DG166,LEN("Stage"))="Stage"</formula>
    </cfRule>
    <cfRule type="beginsWith" dxfId="9308" priority="12361" operator="beginsWith" text="Entreprise">
      <formula>LEFT(DG166,LEN("Entreprise"))="Entreprise"</formula>
    </cfRule>
    <cfRule type="beginsWith" dxfId="9307" priority="12362" operator="beginsWith" text="TOMIC">
      <formula>LEFT(DG166,LEN("TOMIC"))="TOMIC"</formula>
    </cfRule>
    <cfRule type="beginsWith" dxfId="9306" priority="12363" operator="beginsWith" text="Voltaire">
      <formula>LEFT(DG166,LEN("Voltaire"))="Voltaire"</formula>
    </cfRule>
  </conditionalFormatting>
  <conditionalFormatting sqref="DI3">
    <cfRule type="beginsWith" dxfId="9305" priority="26900" operator="beginsWith" text="Lancement Projet fil rouge">
      <formula>LEFT(DI3,LEN("Lancement Projet fil rouge"))="Lancement Projet fil rouge"</formula>
    </cfRule>
    <cfRule type="beginsWith" dxfId="9304" priority="26901" operator="beginsWith" text="Vacances">
      <formula>LEFT(DI3,LEN("Vacances"))="Vacances"</formula>
    </cfRule>
    <cfRule type="beginsWith" dxfId="9303" priority="26902" operator="beginsWith" text="Séminaire d'intégration">
      <formula>LEFT(DI3,LEN("Séminaire d'intégration"))="Séminaire d'intégration"</formula>
    </cfRule>
    <cfRule type="beginsWith" dxfId="9302" priority="26903" operator="beginsWith" text="Accueil">
      <formula>LEFT(DI3,LEN("Accueil"))="Accueil"</formula>
    </cfRule>
    <cfRule type="beginsWith" dxfId="9301" priority="26904" operator="beginsWith" text="Stage">
      <formula>LEFT(DI3,LEN("Stage"))="Stage"</formula>
    </cfRule>
    <cfRule type="beginsWith" dxfId="9300" priority="26905" operator="beginsWith" text="Entreprise">
      <formula>LEFT(DI3,LEN("Entreprise"))="Entreprise"</formula>
    </cfRule>
    <cfRule type="beginsWith" dxfId="9299" priority="26906" operator="beginsWith" text="Voltaire">
      <formula>LEFT(DI3,LEN("Voltaire"))="Voltaire"</formula>
    </cfRule>
  </conditionalFormatting>
  <conditionalFormatting sqref="DI6">
    <cfRule type="beginsWith" dxfId="9298" priority="18156" operator="beginsWith" text="Projet professionnel : Séminaire PFI">
      <formula>LEFT(DI6,LEN("Projet professionnel : Séminaire PFI"))="Projet professionnel : Séminaire PFI"</formula>
    </cfRule>
    <cfRule type="beginsWith" dxfId="9297" priority="18157" operator="beginsWith" text="Lancement Projet fil rouge">
      <formula>LEFT(DI6,LEN("Lancement Projet fil rouge"))="Lancement Projet fil rouge"</formula>
    </cfRule>
    <cfRule type="beginsWith" dxfId="9296" priority="18158" operator="beginsWith" text="Vacances">
      <formula>LEFT(DI6,LEN("Vacances"))="Vacances"</formula>
    </cfRule>
    <cfRule type="beginsWith" dxfId="9295" priority="18159" operator="beginsWith" text="Séminaire d'intégration">
      <formula>LEFT(DI6,LEN("Séminaire d'intégration"))="Séminaire d'intégration"</formula>
    </cfRule>
    <cfRule type="beginsWith" dxfId="9294" priority="18160" operator="beginsWith" text="Accueil">
      <formula>LEFT(DI6,LEN("Accueil"))="Accueil"</formula>
    </cfRule>
    <cfRule type="beginsWith" dxfId="9293" priority="18161" operator="beginsWith" text="Stage">
      <formula>LEFT(DI6,LEN("Stage"))="Stage"</formula>
    </cfRule>
    <cfRule type="beginsWith" dxfId="9292" priority="18162" operator="beginsWith" text="Entreprise">
      <formula>LEFT(DI6,LEN("Entreprise"))="Entreprise"</formula>
    </cfRule>
    <cfRule type="beginsWith" dxfId="9291" priority="18163" operator="beginsWith" text="Voltaire">
      <formula>LEFT(DI6,LEN("Voltaire"))="Voltaire"</formula>
    </cfRule>
  </conditionalFormatting>
  <conditionalFormatting sqref="DI26">
    <cfRule type="beginsWith" dxfId="9290" priority="27139" operator="beginsWith" text="Projet professionnel : Séminaire PFI">
      <formula>LEFT(DI26,LEN("Projet professionnel : Séminaire PFI"))="Projet professionnel : Séminaire PFI"</formula>
    </cfRule>
    <cfRule type="beginsWith" dxfId="9289" priority="27140" operator="beginsWith" text="Lancement Projet fil rouge">
      <formula>LEFT(DI26,LEN("Lancement Projet fil rouge"))="Lancement Projet fil rouge"</formula>
    </cfRule>
    <cfRule type="beginsWith" dxfId="9288" priority="27141" operator="beginsWith" text="Vacances">
      <formula>LEFT(DI26,LEN("Vacances"))="Vacances"</formula>
    </cfRule>
    <cfRule type="beginsWith" dxfId="9287" priority="27142" operator="beginsWith" text="Séminaire d'intégration">
      <formula>LEFT(DI26,LEN("Séminaire d'intégration"))="Séminaire d'intégration"</formula>
    </cfRule>
    <cfRule type="beginsWith" dxfId="9286" priority="27143" operator="beginsWith" text="Accueil">
      <formula>LEFT(DI26,LEN("Accueil"))="Accueil"</formula>
    </cfRule>
    <cfRule type="beginsWith" dxfId="9285" priority="27144" operator="beginsWith" text="Stage">
      <formula>LEFT(DI26,LEN("Stage"))="Stage"</formula>
    </cfRule>
    <cfRule type="beginsWith" dxfId="9284" priority="27145" operator="beginsWith" text="Entreprise">
      <formula>LEFT(DI26,LEN("Entreprise"))="Entreprise"</formula>
    </cfRule>
    <cfRule type="beginsWith" dxfId="9283" priority="27146" operator="beginsWith" text="Voltaire">
      <formula>LEFT(DI26,LEN("Voltaire"))="Voltaire"</formula>
    </cfRule>
  </conditionalFormatting>
  <conditionalFormatting sqref="DI36:DI46">
    <cfRule type="beginsWith" dxfId="9282" priority="27067" operator="beginsWith" text="Projet professionnel : Séminaire PFI">
      <formula>LEFT(DI36,LEN("Projet professionnel : Séminaire PFI"))="Projet professionnel : Séminaire PFI"</formula>
    </cfRule>
    <cfRule type="beginsWith" dxfId="9281" priority="27068" operator="beginsWith" text="Lancement Projet fil rouge">
      <formula>LEFT(DI36,LEN("Lancement Projet fil rouge"))="Lancement Projet fil rouge"</formula>
    </cfRule>
    <cfRule type="beginsWith" dxfId="9280" priority="27069" operator="beginsWith" text="Vacances">
      <formula>LEFT(DI36,LEN("Vacances"))="Vacances"</formula>
    </cfRule>
    <cfRule type="beginsWith" dxfId="9279" priority="27070" operator="beginsWith" text="Séminaire d'intégration">
      <formula>LEFT(DI36,LEN("Séminaire d'intégration"))="Séminaire d'intégration"</formula>
    </cfRule>
    <cfRule type="beginsWith" dxfId="9278" priority="27071" operator="beginsWith" text="Accueil">
      <formula>LEFT(DI36,LEN("Accueil"))="Accueil"</formula>
    </cfRule>
    <cfRule type="beginsWith" dxfId="9277" priority="27072" operator="beginsWith" text="Stage">
      <formula>LEFT(DI36,LEN("Stage"))="Stage"</formula>
    </cfRule>
    <cfRule type="beginsWith" dxfId="9276" priority="27073" operator="beginsWith" text="Entreprise">
      <formula>LEFT(DI36,LEN("Entreprise"))="Entreprise"</formula>
    </cfRule>
    <cfRule type="beginsWith" dxfId="9275" priority="27074" operator="beginsWith" text="Voltaire">
      <formula>LEFT(DI36,LEN("Voltaire"))="Voltaire"</formula>
    </cfRule>
  </conditionalFormatting>
  <conditionalFormatting sqref="DI57:DI61">
    <cfRule type="beginsWith" dxfId="9274" priority="27131" operator="beginsWith" text="Projet professionnel : Séminaire PFI">
      <formula>LEFT(DI57,LEN("Projet professionnel : Séminaire PFI"))="Projet professionnel : Séminaire PFI"</formula>
    </cfRule>
    <cfRule type="beginsWith" dxfId="9273" priority="27132" operator="beginsWith" text="Lancement Projet fil rouge">
      <formula>LEFT(DI57,LEN("Lancement Projet fil rouge"))="Lancement Projet fil rouge"</formula>
    </cfRule>
    <cfRule type="beginsWith" dxfId="9272" priority="27133" operator="beginsWith" text="Vacances">
      <formula>LEFT(DI57,LEN("Vacances"))="Vacances"</formula>
    </cfRule>
    <cfRule type="beginsWith" dxfId="9271" priority="27134" operator="beginsWith" text="Séminaire d'intégration">
      <formula>LEFT(DI57,LEN("Séminaire d'intégration"))="Séminaire d'intégration"</formula>
    </cfRule>
    <cfRule type="beginsWith" dxfId="9270" priority="27135" operator="beginsWith" text="Accueil">
      <formula>LEFT(DI57,LEN("Accueil"))="Accueil"</formula>
    </cfRule>
    <cfRule type="beginsWith" dxfId="9269" priority="27136" operator="beginsWith" text="Stage">
      <formula>LEFT(DI57,LEN("Stage"))="Stage"</formula>
    </cfRule>
    <cfRule type="beginsWith" dxfId="9268" priority="27137" operator="beginsWith" text="Entreprise">
      <formula>LEFT(DI57,LEN("Entreprise"))="Entreprise"</formula>
    </cfRule>
    <cfRule type="beginsWith" dxfId="9267" priority="27138" operator="beginsWith" text="Voltaire">
      <formula>LEFT(DI57,LEN("Voltaire"))="Voltaire"</formula>
    </cfRule>
  </conditionalFormatting>
  <conditionalFormatting sqref="DI62:DI67">
    <cfRule type="beginsWith" dxfId="9266" priority="27123" operator="beginsWith" text="Projet professionnel : Séminaire PFI">
      <formula>LEFT(DI62,LEN("Projet professionnel : Séminaire PFI"))="Projet professionnel : Séminaire PFI"</formula>
    </cfRule>
    <cfRule type="beginsWith" dxfId="9265" priority="27124" operator="beginsWith" text="Lancement Projet fil rouge">
      <formula>LEFT(DI62,LEN("Lancement Projet fil rouge"))="Lancement Projet fil rouge"</formula>
    </cfRule>
    <cfRule type="beginsWith" dxfId="9264" priority="27125" operator="beginsWith" text="Vacances">
      <formula>LEFT(DI62,LEN("Vacances"))="Vacances"</formula>
    </cfRule>
    <cfRule type="beginsWith" dxfId="9263" priority="27126" operator="beginsWith" text="Séminaire d'intégration">
      <formula>LEFT(DI62,LEN("Séminaire d'intégration"))="Séminaire d'intégration"</formula>
    </cfRule>
    <cfRule type="beginsWith" dxfId="9262" priority="27127" operator="beginsWith" text="Accueil">
      <formula>LEFT(DI62,LEN("Accueil"))="Accueil"</formula>
    </cfRule>
    <cfRule type="beginsWith" dxfId="9261" priority="27128" operator="beginsWith" text="Stage">
      <formula>LEFT(DI62,LEN("Stage"))="Stage"</formula>
    </cfRule>
    <cfRule type="beginsWith" dxfId="9260" priority="27129" operator="beginsWith" text="Entreprise">
      <formula>LEFT(DI62,LEN("Entreprise"))="Entreprise"</formula>
    </cfRule>
    <cfRule type="beginsWith" dxfId="9259" priority="27130" operator="beginsWith" text="Voltaire">
      <formula>LEFT(DI62,LEN("Voltaire"))="Voltaire"</formula>
    </cfRule>
  </conditionalFormatting>
  <conditionalFormatting sqref="DI68:DI75">
    <cfRule type="beginsWith" dxfId="9258" priority="27075" operator="beginsWith" text="Projet professionnel : Séminaire PFI">
      <formula>LEFT(DI68,LEN("Projet professionnel : Séminaire PFI"))="Projet professionnel : Séminaire PFI"</formula>
    </cfRule>
    <cfRule type="beginsWith" dxfId="9257" priority="27076" operator="beginsWith" text="Lancement Projet fil rouge">
      <formula>LEFT(DI68,LEN("Lancement Projet fil rouge"))="Lancement Projet fil rouge"</formula>
    </cfRule>
    <cfRule type="beginsWith" dxfId="9256" priority="27077" operator="beginsWith" text="Vacances">
      <formula>LEFT(DI68,LEN("Vacances"))="Vacances"</formula>
    </cfRule>
    <cfRule type="beginsWith" dxfId="9255" priority="27078" operator="beginsWith" text="Séminaire d'intégration">
      <formula>LEFT(DI68,LEN("Séminaire d'intégration"))="Séminaire d'intégration"</formula>
    </cfRule>
    <cfRule type="beginsWith" dxfId="9254" priority="27079" operator="beginsWith" text="Accueil">
      <formula>LEFT(DI68,LEN("Accueil"))="Accueil"</formula>
    </cfRule>
    <cfRule type="beginsWith" dxfId="9253" priority="27080" operator="beginsWith" text="Stage">
      <formula>LEFT(DI68,LEN("Stage"))="Stage"</formula>
    </cfRule>
    <cfRule type="beginsWith" dxfId="9252" priority="27081" operator="beginsWith" text="Entreprise">
      <formula>LEFT(DI68,LEN("Entreprise"))="Entreprise"</formula>
    </cfRule>
    <cfRule type="beginsWith" dxfId="9251" priority="27082" operator="beginsWith" text="Voltaire">
      <formula>LEFT(DI68,LEN("Voltaire"))="Voltaire"</formula>
    </cfRule>
  </conditionalFormatting>
  <conditionalFormatting sqref="DI76">
    <cfRule type="beginsWith" dxfId="9250" priority="27003" operator="beginsWith" text="Projet professionnel : Séminaire PFI">
      <formula>LEFT(DI76,LEN("Projet professionnel : Séminaire PFI"))="Projet professionnel : Séminaire PFI"</formula>
    </cfRule>
    <cfRule type="beginsWith" dxfId="9249" priority="27004" operator="beginsWith" text="Lancement Projet fil rouge">
      <formula>LEFT(DI76,LEN("Lancement Projet fil rouge"))="Lancement Projet fil rouge"</formula>
    </cfRule>
    <cfRule type="beginsWith" dxfId="9248" priority="27005" operator="beginsWith" text="Vacances">
      <formula>LEFT(DI76,LEN("Vacances"))="Vacances"</formula>
    </cfRule>
    <cfRule type="beginsWith" dxfId="9247" priority="27006" operator="beginsWith" text="Séminaire d'intégration">
      <formula>LEFT(DI76,LEN("Séminaire d'intégration"))="Séminaire d'intégration"</formula>
    </cfRule>
    <cfRule type="beginsWith" dxfId="9246" priority="27007" operator="beginsWith" text="Accueil">
      <formula>LEFT(DI76,LEN("Accueil"))="Accueil"</formula>
    </cfRule>
    <cfRule type="beginsWith" dxfId="9245" priority="27008" operator="beginsWith" text="Stage">
      <formula>LEFT(DI76,LEN("Stage"))="Stage"</formula>
    </cfRule>
    <cfRule type="beginsWith" dxfId="9244" priority="27009" operator="beginsWith" text="Entreprise">
      <formula>LEFT(DI76,LEN("Entreprise"))="Entreprise"</formula>
    </cfRule>
    <cfRule type="beginsWith" dxfId="9243" priority="27010" operator="beginsWith" text="Voltaire">
      <formula>LEFT(DI76,LEN("Voltaire"))="Voltaire"</formula>
    </cfRule>
  </conditionalFormatting>
  <conditionalFormatting sqref="DI81">
    <cfRule type="beginsWith" dxfId="9242" priority="27011" operator="beginsWith" text="Projet professionnel : Séminaire PFI">
      <formula>LEFT(DI81,LEN("Projet professionnel : Séminaire PFI"))="Projet professionnel : Séminaire PFI"</formula>
    </cfRule>
    <cfRule type="beginsWith" dxfId="9241" priority="27012" operator="beginsWith" text="Lancement Projet fil rouge">
      <formula>LEFT(DI81,LEN("Lancement Projet fil rouge"))="Lancement Projet fil rouge"</formula>
    </cfRule>
    <cfRule type="beginsWith" dxfId="9240" priority="27013" operator="beginsWith" text="Vacances">
      <formula>LEFT(DI81,LEN("Vacances"))="Vacances"</formula>
    </cfRule>
    <cfRule type="beginsWith" dxfId="9239" priority="27014" operator="beginsWith" text="Séminaire d'intégration">
      <formula>LEFT(DI81,LEN("Séminaire d'intégration"))="Séminaire d'intégration"</formula>
    </cfRule>
    <cfRule type="beginsWith" dxfId="9238" priority="27015" operator="beginsWith" text="Accueil">
      <formula>LEFT(DI81,LEN("Accueil"))="Accueil"</formula>
    </cfRule>
    <cfRule type="beginsWith" dxfId="9237" priority="27016" operator="beginsWith" text="Stage">
      <formula>LEFT(DI81,LEN("Stage"))="Stage"</formula>
    </cfRule>
    <cfRule type="beginsWith" dxfId="9236" priority="27017" operator="beginsWith" text="Entreprise">
      <formula>LEFT(DI81,LEN("Entreprise"))="Entreprise"</formula>
    </cfRule>
    <cfRule type="beginsWith" dxfId="9235" priority="27018" operator="beginsWith" text="Voltaire">
      <formula>LEFT(DI81,LEN("Voltaire"))="Voltaire"</formula>
    </cfRule>
  </conditionalFormatting>
  <conditionalFormatting sqref="DI94">
    <cfRule type="beginsWith" dxfId="9234" priority="27091" operator="beginsWith" text="Projet professionnel : Séminaire PFI">
      <formula>LEFT(DI94,LEN("Projet professionnel : Séminaire PFI"))="Projet professionnel : Séminaire PFI"</formula>
    </cfRule>
    <cfRule type="beginsWith" dxfId="9233" priority="27092" operator="beginsWith" text="Lancement Projet fil rouge">
      <formula>LEFT(DI94,LEN("Lancement Projet fil rouge"))="Lancement Projet fil rouge"</formula>
    </cfRule>
    <cfRule type="beginsWith" dxfId="9232" priority="27093" operator="beginsWith" text="Vacances">
      <formula>LEFT(DI94,LEN("Vacances"))="Vacances"</formula>
    </cfRule>
    <cfRule type="beginsWith" dxfId="9231" priority="27094" operator="beginsWith" text="Séminaire d'intégration">
      <formula>LEFT(DI94,LEN("Séminaire d'intégration"))="Séminaire d'intégration"</formula>
    </cfRule>
    <cfRule type="beginsWith" dxfId="9230" priority="27095" operator="beginsWith" text="Accueil">
      <formula>LEFT(DI94,LEN("Accueil"))="Accueil"</formula>
    </cfRule>
    <cfRule type="beginsWith" dxfId="9229" priority="27096" operator="beginsWith" text="Stage">
      <formula>LEFT(DI94,LEN("Stage"))="Stage"</formula>
    </cfRule>
    <cfRule type="beginsWith" dxfId="9228" priority="27097" operator="beginsWith" text="Entreprise">
      <formula>LEFT(DI94,LEN("Entreprise"))="Entreprise"</formula>
    </cfRule>
    <cfRule type="beginsWith" dxfId="9227" priority="27098" operator="beginsWith" text="Voltaire">
      <formula>LEFT(DI94,LEN("Voltaire"))="Voltaire"</formula>
    </cfRule>
  </conditionalFormatting>
  <conditionalFormatting sqref="DI95:DI110">
    <cfRule type="beginsWith" dxfId="9226" priority="27059" operator="beginsWith" text="Projet professionnel : Séminaire PFI">
      <formula>LEFT(DI95,LEN("Projet professionnel : Séminaire PFI"))="Projet professionnel : Séminaire PFI"</formula>
    </cfRule>
    <cfRule type="beginsWith" dxfId="9225" priority="27060" operator="beginsWith" text="Lancement Projet fil rouge">
      <formula>LEFT(DI95,LEN("Lancement Projet fil rouge"))="Lancement Projet fil rouge"</formula>
    </cfRule>
    <cfRule type="beginsWith" dxfId="9224" priority="27061" operator="beginsWith" text="Vacances">
      <formula>LEFT(DI95,LEN("Vacances"))="Vacances"</formula>
    </cfRule>
    <cfRule type="beginsWith" dxfId="9223" priority="27062" operator="beginsWith" text="Séminaire d'intégration">
      <formula>LEFT(DI95,LEN("Séminaire d'intégration"))="Séminaire d'intégration"</formula>
    </cfRule>
    <cfRule type="beginsWith" dxfId="9222" priority="27063" operator="beginsWith" text="Accueil">
      <formula>LEFT(DI95,LEN("Accueil"))="Accueil"</formula>
    </cfRule>
    <cfRule type="beginsWith" dxfId="9221" priority="27064" operator="beginsWith" text="Stage">
      <formula>LEFT(DI95,LEN("Stage"))="Stage"</formula>
    </cfRule>
    <cfRule type="beginsWith" dxfId="9220" priority="27065" operator="beginsWith" text="Entreprise">
      <formula>LEFT(DI95,LEN("Entreprise"))="Entreprise"</formula>
    </cfRule>
    <cfRule type="beginsWith" dxfId="9219" priority="27066" operator="beginsWith" text="Voltaire">
      <formula>LEFT(DI95,LEN("Voltaire"))="Voltaire"</formula>
    </cfRule>
  </conditionalFormatting>
  <conditionalFormatting sqref="DI101">
    <cfRule type="beginsWith" dxfId="9218" priority="26995" operator="beginsWith" text="Projet professionnel : Séminaire PFI">
      <formula>LEFT(DI101,LEN("Projet professionnel : Séminaire PFI"))="Projet professionnel : Séminaire PFI"</formula>
    </cfRule>
    <cfRule type="beginsWith" dxfId="9217" priority="26996" operator="beginsWith" text="Lancement Projet fil rouge">
      <formula>LEFT(DI101,LEN("Lancement Projet fil rouge"))="Lancement Projet fil rouge"</formula>
    </cfRule>
    <cfRule type="beginsWith" dxfId="9216" priority="26997" operator="beginsWith" text="Vacances">
      <formula>LEFT(DI101,LEN("Vacances"))="Vacances"</formula>
    </cfRule>
    <cfRule type="beginsWith" dxfId="9215" priority="26998" operator="beginsWith" text="Séminaire d'intégration">
      <formula>LEFT(DI101,LEN("Séminaire d'intégration"))="Séminaire d'intégration"</formula>
    </cfRule>
    <cfRule type="beginsWith" dxfId="9214" priority="26999" operator="beginsWith" text="Accueil">
      <formula>LEFT(DI101,LEN("Accueil"))="Accueil"</formula>
    </cfRule>
    <cfRule type="beginsWith" dxfId="9213" priority="27000" operator="beginsWith" text="Stage">
      <formula>LEFT(DI101,LEN("Stage"))="Stage"</formula>
    </cfRule>
    <cfRule type="beginsWith" dxfId="9212" priority="27001" operator="beginsWith" text="Entreprise">
      <formula>LEFT(DI101,LEN("Entreprise"))="Entreprise"</formula>
    </cfRule>
    <cfRule type="beginsWith" dxfId="9211" priority="27002" operator="beginsWith" text="Voltaire">
      <formula>LEFT(DI101,LEN("Voltaire"))="Voltaire"</formula>
    </cfRule>
  </conditionalFormatting>
  <conditionalFormatting sqref="DI106:DI110">
    <cfRule type="beginsWith" dxfId="9210" priority="27043" operator="beginsWith" text="Projet professionnel : Séminaire PFI">
      <formula>LEFT(DI106,LEN("Projet professionnel : Séminaire PFI"))="Projet professionnel : Séminaire PFI"</formula>
    </cfRule>
    <cfRule type="beginsWith" dxfId="9209" priority="27044" operator="beginsWith" text="Lancement Projet fil rouge">
      <formula>LEFT(DI106,LEN("Lancement Projet fil rouge"))="Lancement Projet fil rouge"</formula>
    </cfRule>
    <cfRule type="beginsWith" dxfId="9208" priority="27045" operator="beginsWith" text="Vacances">
      <formula>LEFT(DI106,LEN("Vacances"))="Vacances"</formula>
    </cfRule>
    <cfRule type="beginsWith" dxfId="9207" priority="27046" operator="beginsWith" text="Séminaire d'intégration">
      <formula>LEFT(DI106,LEN("Séminaire d'intégration"))="Séminaire d'intégration"</formula>
    </cfRule>
    <cfRule type="beginsWith" dxfId="9206" priority="27047" operator="beginsWith" text="Accueil">
      <formula>LEFT(DI106,LEN("Accueil"))="Accueil"</formula>
    </cfRule>
    <cfRule type="beginsWith" dxfId="9205" priority="27048" operator="beginsWith" text="Stage">
      <formula>LEFT(DI106,LEN("Stage"))="Stage"</formula>
    </cfRule>
    <cfRule type="beginsWith" dxfId="9204" priority="27049" operator="beginsWith" text="Entreprise">
      <formula>LEFT(DI106,LEN("Entreprise"))="Entreprise"</formula>
    </cfRule>
    <cfRule type="beginsWith" dxfId="9203" priority="27050" operator="beginsWith" text="Voltaire">
      <formula>LEFT(DI106,LEN("Voltaire"))="Voltaire"</formula>
    </cfRule>
  </conditionalFormatting>
  <conditionalFormatting sqref="DU186">
    <cfRule type="beginsWith" dxfId="9202" priority="26253" operator="beginsWith" text="Projet professionnel : Séminaire PFI">
      <formula>LEFT(DU186,LEN("Projet professionnel : Séminaire PFI"))="Projet professionnel : Séminaire PFI"</formula>
    </cfRule>
    <cfRule type="beginsWith" dxfId="9201" priority="26254" operator="beginsWith" text="Lancement Projet fil rouge">
      <formula>LEFT(DU186,LEN("Lancement Projet fil rouge"))="Lancement Projet fil rouge"</formula>
    </cfRule>
    <cfRule type="beginsWith" dxfId="9200" priority="26255" operator="beginsWith" text="Vacances">
      <formula>LEFT(DU186,LEN("Vacances"))="Vacances"</formula>
    </cfRule>
    <cfRule type="beginsWith" dxfId="9199" priority="26256" operator="beginsWith" text="Séminaire d'intégration">
      <formula>LEFT(DU186,LEN("Séminaire d'intégration"))="Séminaire d'intégration"</formula>
    </cfRule>
    <cfRule type="beginsWith" dxfId="9198" priority="26257" operator="beginsWith" text="Accueil">
      <formula>LEFT(DU186,LEN("Accueil"))="Accueil"</formula>
    </cfRule>
    <cfRule type="beginsWith" dxfId="9197" priority="26258" operator="beginsWith" text="Stage">
      <formula>LEFT(DU186,LEN("Stage"))="Stage"</formula>
    </cfRule>
    <cfRule type="beginsWith" dxfId="9196" priority="26259" operator="beginsWith" text="Entreprise">
      <formula>LEFT(DU186,LEN("Entreprise"))="Entreprise"</formula>
    </cfRule>
    <cfRule type="beginsWith" dxfId="9195" priority="26260" operator="beginsWith" text="Voltaire">
      <formula>LEFT(DU186,LEN("Voltaire"))="Voltaire"</formula>
    </cfRule>
  </conditionalFormatting>
  <conditionalFormatting sqref="DI116:DI120">
    <cfRule type="beginsWith" dxfId="9194" priority="27115" operator="beginsWith" text="Projet professionnel : Séminaire PFI">
      <formula>LEFT(DI116,LEN("Projet professionnel : Séminaire PFI"))="Projet professionnel : Séminaire PFI"</formula>
    </cfRule>
    <cfRule type="beginsWith" dxfId="9193" priority="27116" operator="beginsWith" text="Lancement Projet fil rouge">
      <formula>LEFT(DI116,LEN("Lancement Projet fil rouge"))="Lancement Projet fil rouge"</formula>
    </cfRule>
    <cfRule type="beginsWith" dxfId="9192" priority="27117" operator="beginsWith" text="Vacances">
      <formula>LEFT(DI116,LEN("Vacances"))="Vacances"</formula>
    </cfRule>
    <cfRule type="beginsWith" dxfId="9191" priority="27118" operator="beginsWith" text="Séminaire d'intégration">
      <formula>LEFT(DI116,LEN("Séminaire d'intégration"))="Séminaire d'intégration"</formula>
    </cfRule>
    <cfRule type="beginsWith" dxfId="9190" priority="27119" operator="beginsWith" text="Accueil">
      <formula>LEFT(DI116,LEN("Accueil"))="Accueil"</formula>
    </cfRule>
    <cfRule type="beginsWith" dxfId="9189" priority="27120" operator="beginsWith" text="Stage">
      <formula>LEFT(DI116,LEN("Stage"))="Stage"</formula>
    </cfRule>
    <cfRule type="beginsWith" dxfId="9188" priority="27121" operator="beginsWith" text="Entreprise">
      <formula>LEFT(DI116,LEN("Entreprise"))="Entreprise"</formula>
    </cfRule>
    <cfRule type="beginsWith" dxfId="9187" priority="27122" operator="beginsWith" text="Voltaire">
      <formula>LEFT(DI116,LEN("Voltaire"))="Voltaire"</formula>
    </cfRule>
  </conditionalFormatting>
  <conditionalFormatting sqref="DI121:DI124 DI1:DI2 DI5 DI47:DI56">
    <cfRule type="beginsWith" dxfId="9186" priority="27211" operator="beginsWith" text="Projet professionnel : Séminaire PFI">
      <formula>LEFT(DI1,LEN("Projet professionnel : Séminaire PFI"))="Projet professionnel : Séminaire PFI"</formula>
    </cfRule>
    <cfRule type="beginsWith" dxfId="9185" priority="27212" operator="beginsWith" text="Lancement Projet fil rouge">
      <formula>LEFT(DI1,LEN("Lancement Projet fil rouge"))="Lancement Projet fil rouge"</formula>
    </cfRule>
    <cfRule type="beginsWith" dxfId="9184" priority="27213" operator="beginsWith" text="Vacances">
      <formula>LEFT(DI1,LEN("Vacances"))="Vacances"</formula>
    </cfRule>
    <cfRule type="beginsWith" dxfId="9183" priority="27214" operator="beginsWith" text="Séminaire d'intégration">
      <formula>LEFT(DI1,LEN("Séminaire d'intégration"))="Séminaire d'intégration"</formula>
    </cfRule>
    <cfRule type="beginsWith" dxfId="9182" priority="27215" operator="beginsWith" text="Accueil">
      <formula>LEFT(DI1,LEN("Accueil"))="Accueil"</formula>
    </cfRule>
    <cfRule type="beginsWith" dxfId="9181" priority="27216" operator="beginsWith" text="Stage">
      <formula>LEFT(DI1,LEN("Stage"))="Stage"</formula>
    </cfRule>
    <cfRule type="beginsWith" dxfId="9180" priority="27217" operator="beginsWith" text="Entreprise">
      <formula>LEFT(DI1,LEN("Entreprise"))="Entreprise"</formula>
    </cfRule>
    <cfRule type="beginsWith" dxfId="9179" priority="27218" operator="beginsWith" text="Voltaire">
      <formula>LEFT(DI1,LEN("Voltaire"))="Voltaire"</formula>
    </cfRule>
  </conditionalFormatting>
  <conditionalFormatting sqref="DI125:DI128">
    <cfRule type="beginsWith" dxfId="9178" priority="27171" operator="beginsWith" text="Projet professionnel : Séminaire PFI">
      <formula>LEFT(DI125,LEN("Projet professionnel : Séminaire PFI"))="Projet professionnel : Séminaire PFI"</formula>
    </cfRule>
    <cfRule type="beginsWith" dxfId="9177" priority="27172" operator="beginsWith" text="Lancement Projet fil rouge">
      <formula>LEFT(DI125,LEN("Lancement Projet fil rouge"))="Lancement Projet fil rouge"</formula>
    </cfRule>
    <cfRule type="beginsWith" dxfId="9176" priority="27173" operator="beginsWith" text="Vacances">
      <formula>LEFT(DI125,LEN("Vacances"))="Vacances"</formula>
    </cfRule>
    <cfRule type="beginsWith" dxfId="9175" priority="27174" operator="beginsWith" text="Séminaire d'intégration">
      <formula>LEFT(DI125,LEN("Séminaire d'intégration"))="Séminaire d'intégration"</formula>
    </cfRule>
    <cfRule type="beginsWith" dxfId="9174" priority="27175" operator="beginsWith" text="Accueil">
      <formula>LEFT(DI125,LEN("Accueil"))="Accueil"</formula>
    </cfRule>
    <cfRule type="beginsWith" dxfId="9173" priority="27176" operator="beginsWith" text="Stage">
      <formula>LEFT(DI125,LEN("Stage"))="Stage"</formula>
    </cfRule>
    <cfRule type="beginsWith" dxfId="9172" priority="27177" operator="beginsWith" text="Entreprise">
      <formula>LEFT(DI125,LEN("Entreprise"))="Entreprise"</formula>
    </cfRule>
    <cfRule type="beginsWith" dxfId="9171" priority="27178" operator="beginsWith" text="Voltaire">
      <formula>LEFT(DI125,LEN("Voltaire"))="Voltaire"</formula>
    </cfRule>
  </conditionalFormatting>
  <conditionalFormatting sqref="DI129">
    <cfRule type="beginsWith" dxfId="9170" priority="26907" operator="beginsWith" text="Projet professionnel : Séminaire PFI">
      <formula>LEFT(DI129,LEN("Projet professionnel : Séminaire PFI"))="Projet professionnel : Séminaire PFI"</formula>
    </cfRule>
    <cfRule type="beginsWith" dxfId="9169" priority="26908" operator="beginsWith" text="Lancement Projet fil rouge">
      <formula>LEFT(DI129,LEN("Lancement Projet fil rouge"))="Lancement Projet fil rouge"</formula>
    </cfRule>
    <cfRule type="beginsWith" dxfId="9168" priority="26909" operator="beginsWith" text="Vacances">
      <formula>LEFT(DI129,LEN("Vacances"))="Vacances"</formula>
    </cfRule>
    <cfRule type="beginsWith" dxfId="9167" priority="26910" operator="beginsWith" text="Séminaire d'intégration">
      <formula>LEFT(DI129,LEN("Séminaire d'intégration"))="Séminaire d'intégration"</formula>
    </cfRule>
    <cfRule type="beginsWith" dxfId="9166" priority="26911" operator="beginsWith" text="Accueil">
      <formula>LEFT(DI129,LEN("Accueil"))="Accueil"</formula>
    </cfRule>
    <cfRule type="beginsWith" dxfId="9165" priority="26912" operator="beginsWith" text="Stage">
      <formula>LEFT(DI129,LEN("Stage"))="Stage"</formula>
    </cfRule>
    <cfRule type="beginsWith" dxfId="9164" priority="26913" operator="beginsWith" text="Entreprise">
      <formula>LEFT(DI129,LEN("Entreprise"))="Entreprise"</formula>
    </cfRule>
    <cfRule type="beginsWith" dxfId="9163" priority="26914" operator="beginsWith" text="Voltaire">
      <formula>LEFT(DI129,LEN("Voltaire"))="Voltaire"</formula>
    </cfRule>
  </conditionalFormatting>
  <conditionalFormatting sqref="DI130:DI135">
    <cfRule type="beginsWith" dxfId="9162" priority="15960" operator="beginsWith" text="Projet professionnel : Séminaire PFI">
      <formula>LEFT(DI130,LEN("Projet professionnel : Séminaire PFI"))="Projet professionnel : Séminaire PFI"</formula>
    </cfRule>
    <cfRule type="beginsWith" dxfId="9161" priority="15961" operator="beginsWith" text="Lancement Projet fil rouge">
      <formula>LEFT(DI130,LEN("Lancement Projet fil rouge"))="Lancement Projet fil rouge"</formula>
    </cfRule>
    <cfRule type="beginsWith" dxfId="9160" priority="15962" operator="beginsWith" text="Vacances">
      <formula>LEFT(DI130,LEN("Vacances"))="Vacances"</formula>
    </cfRule>
    <cfRule type="beginsWith" dxfId="9159" priority="15963" operator="beginsWith" text="Séminaire d'intégration">
      <formula>LEFT(DI130,LEN("Séminaire d'intégration"))="Séminaire d'intégration"</formula>
    </cfRule>
    <cfRule type="beginsWith" dxfId="9158" priority="15964" operator="beginsWith" text="Accueil">
      <formula>LEFT(DI130,LEN("Accueil"))="Accueil"</formula>
    </cfRule>
    <cfRule type="beginsWith" dxfId="9157" priority="15965" operator="beginsWith" text="Stage">
      <formula>LEFT(DI130,LEN("Stage"))="Stage"</formula>
    </cfRule>
    <cfRule type="beginsWith" dxfId="9156" priority="15966" operator="beginsWith" text="Entreprise">
      <formula>LEFT(DI130,LEN("Entreprise"))="Entreprise"</formula>
    </cfRule>
    <cfRule type="beginsWith" dxfId="9155" priority="15967" operator="beginsWith" text="Voltaire">
      <formula>LEFT(DI130,LEN("Voltaire"))="Voltaire"</formula>
    </cfRule>
  </conditionalFormatting>
  <conditionalFormatting sqref="DI136">
    <cfRule type="beginsWith" dxfId="9154" priority="15968" operator="beginsWith" text="Projet professionnel : Séminaire PFI">
      <formula>LEFT(DI136,LEN("Projet professionnel : Séminaire PFI"))="Projet professionnel : Séminaire PFI"</formula>
    </cfRule>
    <cfRule type="beginsWith" dxfId="9153" priority="15969" operator="beginsWith" text="Lancement Projet fil rouge">
      <formula>LEFT(DI136,LEN("Lancement Projet fil rouge"))="Lancement Projet fil rouge"</formula>
    </cfRule>
    <cfRule type="beginsWith" dxfId="9152" priority="15970" operator="beginsWith" text="Vacances">
      <formula>LEFT(DI136,LEN("Vacances"))="Vacances"</formula>
    </cfRule>
    <cfRule type="beginsWith" dxfId="9151" priority="15971" operator="beginsWith" text="Séminaire d'intégration">
      <formula>LEFT(DI136,LEN("Séminaire d'intégration"))="Séminaire d'intégration"</formula>
    </cfRule>
    <cfRule type="beginsWith" dxfId="9150" priority="15972" operator="beginsWith" text="Accueil">
      <formula>LEFT(DI136,LEN("Accueil"))="Accueil"</formula>
    </cfRule>
    <cfRule type="beginsWith" dxfId="9149" priority="15973" operator="beginsWith" text="Stage">
      <formula>LEFT(DI136,LEN("Stage"))="Stage"</formula>
    </cfRule>
    <cfRule type="beginsWith" dxfId="9148" priority="15974" operator="beginsWith" text="Entreprise">
      <formula>LEFT(DI136,LEN("Entreprise"))="Entreprise"</formula>
    </cfRule>
    <cfRule type="beginsWith" dxfId="9147" priority="15975" operator="beginsWith" text="Voltaire">
      <formula>LEFT(DI136,LEN("Voltaire"))="Voltaire"</formula>
    </cfRule>
  </conditionalFormatting>
  <conditionalFormatting sqref="DI141">
    <cfRule type="beginsWith" dxfId="9146" priority="15976" operator="beginsWith" text="Projet professionnel : Séminaire PFI">
      <formula>LEFT(DI141,LEN("Projet professionnel : Séminaire PFI"))="Projet professionnel : Séminaire PFI"</formula>
    </cfRule>
    <cfRule type="beginsWith" dxfId="9145" priority="15977" operator="beginsWith" text="Lancement Projet fil rouge">
      <formula>LEFT(DI141,LEN("Lancement Projet fil rouge"))="Lancement Projet fil rouge"</formula>
    </cfRule>
    <cfRule type="beginsWith" dxfId="9144" priority="15978" operator="beginsWith" text="Vacances">
      <formula>LEFT(DI141,LEN("Vacances"))="Vacances"</formula>
    </cfRule>
    <cfRule type="beginsWith" dxfId="9143" priority="15979" operator="beginsWith" text="Séminaire d'intégration">
      <formula>LEFT(DI141,LEN("Séminaire d'intégration"))="Séminaire d'intégration"</formula>
    </cfRule>
    <cfRule type="beginsWith" dxfId="9142" priority="15980" operator="beginsWith" text="Accueil">
      <formula>LEFT(DI141,LEN("Accueil"))="Accueil"</formula>
    </cfRule>
    <cfRule type="beginsWith" dxfId="9141" priority="15981" operator="beginsWith" text="Stage">
      <formula>LEFT(DI141,LEN("Stage"))="Stage"</formula>
    </cfRule>
    <cfRule type="beginsWith" dxfId="9140" priority="15982" operator="beginsWith" text="Entreprise">
      <formula>LEFT(DI141,LEN("Entreprise"))="Entreprise"</formula>
    </cfRule>
    <cfRule type="beginsWith" dxfId="9139" priority="15983" operator="beginsWith" text="Voltaire">
      <formula>LEFT(DI141,LEN("Voltaire"))="Voltaire"</formula>
    </cfRule>
  </conditionalFormatting>
  <conditionalFormatting sqref="DI146">
    <cfRule type="beginsWith" dxfId="9138" priority="25384" operator="beginsWith" text="Projet professionnel : Séminaire PFI">
      <formula>LEFT(DI146,LEN("Projet professionnel : Séminaire PFI"))="Projet professionnel : Séminaire PFI"</formula>
    </cfRule>
    <cfRule type="beginsWith" dxfId="9137" priority="25385" operator="beginsWith" text="Lancement Projet fil rouge">
      <formula>LEFT(DI146,LEN("Lancement Projet fil rouge"))="Lancement Projet fil rouge"</formula>
    </cfRule>
    <cfRule type="beginsWith" dxfId="9136" priority="25386" operator="beginsWith" text="Vacances">
      <formula>LEFT(DI146,LEN("Vacances"))="Vacances"</formula>
    </cfRule>
    <cfRule type="beginsWith" dxfId="9135" priority="25387" operator="beginsWith" text="Séminaire d'intégration">
      <formula>LEFT(DI146,LEN("Séminaire d'intégration"))="Séminaire d'intégration"</formula>
    </cfRule>
    <cfRule type="beginsWith" dxfId="9134" priority="25388" operator="beginsWith" text="Accueil">
      <formula>LEFT(DI146,LEN("Accueil"))="Accueil"</formula>
    </cfRule>
    <cfRule type="beginsWith" dxfId="9133" priority="25389" operator="beginsWith" text="Stage">
      <formula>LEFT(DI146,LEN("Stage"))="Stage"</formula>
    </cfRule>
    <cfRule type="beginsWith" dxfId="9132" priority="25390" operator="beginsWith" text="Entreprise">
      <formula>LEFT(DI146,LEN("Entreprise"))="Entreprise"</formula>
    </cfRule>
    <cfRule type="beginsWith" dxfId="9131" priority="25391" operator="beginsWith" text="Voltaire">
      <formula>LEFT(DI146,LEN("Voltaire"))="Voltaire"</formula>
    </cfRule>
    <cfRule type="beginsWith" dxfId="9130" priority="25392" operator="beginsWith" text="Projet professionnel : Séminaire PFI">
      <formula>LEFT(DI146,LEN("Projet professionnel : Séminaire PFI"))="Projet professionnel : Séminaire PFI"</formula>
    </cfRule>
    <cfRule type="beginsWith" dxfId="9129" priority="25393" operator="beginsWith" text="Lancement Projet fil rouge">
      <formula>LEFT(DI146,LEN("Lancement Projet fil rouge"))="Lancement Projet fil rouge"</formula>
    </cfRule>
    <cfRule type="beginsWith" dxfId="9128" priority="25394" operator="beginsWith" text="Vacances">
      <formula>LEFT(DI146,LEN("Vacances"))="Vacances"</formula>
    </cfRule>
    <cfRule type="beginsWith" dxfId="9127" priority="25395" operator="beginsWith" text="Séminaire d'intégration">
      <formula>LEFT(DI146,LEN("Séminaire d'intégration"))="Séminaire d'intégration"</formula>
    </cfRule>
    <cfRule type="beginsWith" dxfId="9126" priority="25396" operator="beginsWith" text="Accueil">
      <formula>LEFT(DI146,LEN("Accueil"))="Accueil"</formula>
    </cfRule>
    <cfRule type="beginsWith" dxfId="9125" priority="25397" operator="beginsWith" text="Stage">
      <formula>LEFT(DI146,LEN("Stage"))="Stage"</formula>
    </cfRule>
    <cfRule type="beginsWith" dxfId="9124" priority="25398" operator="beginsWith" text="Entreprise">
      <formula>LEFT(DI146,LEN("Entreprise"))="Entreprise"</formula>
    </cfRule>
    <cfRule type="beginsWith" dxfId="9123" priority="25399" operator="beginsWith" text="Voltaire">
      <formula>LEFT(DI146,LEN("Voltaire"))="Voltaire"</formula>
    </cfRule>
  </conditionalFormatting>
  <conditionalFormatting sqref="DI160">
    <cfRule type="beginsWith" dxfId="9122" priority="26931" operator="beginsWith" text="Projet professionnel : Séminaire PFI">
      <formula>LEFT(DI160,LEN("Projet professionnel : Séminaire PFI"))="Projet professionnel : Séminaire PFI"</formula>
    </cfRule>
    <cfRule type="beginsWith" dxfId="9121" priority="26932" operator="beginsWith" text="Lancement Projet fil rouge">
      <formula>LEFT(DI160,LEN("Lancement Projet fil rouge"))="Lancement Projet fil rouge"</formula>
    </cfRule>
    <cfRule type="beginsWith" dxfId="9120" priority="26933" operator="beginsWith" text="Vacances">
      <formula>LEFT(DI160,LEN("Vacances"))="Vacances"</formula>
    </cfRule>
    <cfRule type="beginsWith" dxfId="9119" priority="26934" operator="beginsWith" text="Séminaire d'intégration">
      <formula>LEFT(DI160,LEN("Séminaire d'intégration"))="Séminaire d'intégration"</formula>
    </cfRule>
    <cfRule type="beginsWith" dxfId="9118" priority="26935" operator="beginsWith" text="Accueil">
      <formula>LEFT(DI160,LEN("Accueil"))="Accueil"</formula>
    </cfRule>
    <cfRule type="beginsWith" dxfId="9117" priority="26936" operator="beginsWith" text="Stage">
      <formula>LEFT(DI160,LEN("Stage"))="Stage"</formula>
    </cfRule>
    <cfRule type="beginsWith" dxfId="9116" priority="26937" operator="beginsWith" text="Entreprise">
      <formula>LEFT(DI160,LEN("Entreprise"))="Entreprise"</formula>
    </cfRule>
    <cfRule type="beginsWith" dxfId="9115" priority="26938" operator="beginsWith" text="Voltaire">
      <formula>LEFT(DI160,LEN("Voltaire"))="Voltaire"</formula>
    </cfRule>
  </conditionalFormatting>
  <conditionalFormatting sqref="DI161:DI168">
    <cfRule type="beginsWith" dxfId="9114" priority="15241" operator="beginsWith" text="Projet professionnel : Séminaire PFI">
      <formula>LEFT(DI161,LEN("Projet professionnel : Séminaire PFI"))="Projet professionnel : Séminaire PFI"</formula>
    </cfRule>
    <cfRule type="beginsWith" dxfId="9113" priority="15242" operator="beginsWith" text="Lancement Projet fil rouge">
      <formula>LEFT(DI161,LEN("Lancement Projet fil rouge"))="Lancement Projet fil rouge"</formula>
    </cfRule>
    <cfRule type="beginsWith" dxfId="9112" priority="15243" operator="beginsWith" text="Vacances">
      <formula>LEFT(DI161,LEN("Vacances"))="Vacances"</formula>
    </cfRule>
    <cfRule type="beginsWith" dxfId="9111" priority="15244" operator="beginsWith" text="Séminaire d'intégration">
      <formula>LEFT(DI161,LEN("Séminaire d'intégration"))="Séminaire d'intégration"</formula>
    </cfRule>
    <cfRule type="beginsWith" dxfId="9110" priority="15245" operator="beginsWith" text="Accueil">
      <formula>LEFT(DI161,LEN("Accueil"))="Accueil"</formula>
    </cfRule>
    <cfRule type="beginsWith" dxfId="9109" priority="15246" operator="beginsWith" text="Stage">
      <formula>LEFT(DI161,LEN("Stage"))="Stage"</formula>
    </cfRule>
    <cfRule type="beginsWith" dxfId="9108" priority="15247" operator="beginsWith" text="Entreprise">
      <formula>LEFT(DI161,LEN("Entreprise"))="Entreprise"</formula>
    </cfRule>
    <cfRule type="beginsWith" dxfId="9107" priority="15248" operator="beginsWith" text="Voltaire">
      <formula>LEFT(DI161,LEN("Voltaire"))="Voltaire"</formula>
    </cfRule>
  </conditionalFormatting>
  <conditionalFormatting sqref="DI169:DI170">
    <cfRule type="beginsWith" dxfId="9106" priority="26939" operator="beginsWith" text="Projet professionnel : Séminaire PFI">
      <formula>LEFT(DI169,LEN("Projet professionnel : Séminaire PFI"))="Projet professionnel : Séminaire PFI"</formula>
    </cfRule>
    <cfRule type="beginsWith" dxfId="9105" priority="26940" operator="beginsWith" text="Lancement Projet fil rouge">
      <formula>LEFT(DI169,LEN("Lancement Projet fil rouge"))="Lancement Projet fil rouge"</formula>
    </cfRule>
    <cfRule type="beginsWith" dxfId="9104" priority="26941" operator="beginsWith" text="Vacances">
      <formula>LEFT(DI169,LEN("Vacances"))="Vacances"</formula>
    </cfRule>
    <cfRule type="beginsWith" dxfId="9103" priority="26942" operator="beginsWith" text="Séminaire d'intégration">
      <formula>LEFT(DI169,LEN("Séminaire d'intégration"))="Séminaire d'intégration"</formula>
    </cfRule>
    <cfRule type="beginsWith" dxfId="9102" priority="26943" operator="beginsWith" text="Accueil">
      <formula>LEFT(DI169,LEN("Accueil"))="Accueil"</formula>
    </cfRule>
    <cfRule type="beginsWith" dxfId="9101" priority="26944" operator="beginsWith" text="Stage">
      <formula>LEFT(DI169,LEN("Stage"))="Stage"</formula>
    </cfRule>
    <cfRule type="beginsWith" dxfId="9100" priority="26945" operator="beginsWith" text="Entreprise">
      <formula>LEFT(DI169,LEN("Entreprise"))="Entreprise"</formula>
    </cfRule>
    <cfRule type="beginsWith" dxfId="9099" priority="26946" operator="beginsWith" text="Voltaire">
      <formula>LEFT(DI169,LEN("Voltaire"))="Voltaire"</formula>
    </cfRule>
  </conditionalFormatting>
  <conditionalFormatting sqref="DI176">
    <cfRule type="beginsWith" dxfId="9098" priority="26947" operator="beginsWith" text="Projet professionnel : Séminaire PFI">
      <formula>LEFT(DI176,LEN("Projet professionnel : Séminaire PFI"))="Projet professionnel : Séminaire PFI"</formula>
    </cfRule>
    <cfRule type="beginsWith" dxfId="9097" priority="26948" operator="beginsWith" text="Lancement Projet fil rouge">
      <formula>LEFT(DI176,LEN("Lancement Projet fil rouge"))="Lancement Projet fil rouge"</formula>
    </cfRule>
    <cfRule type="beginsWith" dxfId="9096" priority="26949" operator="beginsWith" text="Vacances">
      <formula>LEFT(DI176,LEN("Vacances"))="Vacances"</formula>
    </cfRule>
    <cfRule type="beginsWith" dxfId="9095" priority="26950" operator="beginsWith" text="Séminaire d'intégration">
      <formula>LEFT(DI176,LEN("Séminaire d'intégration"))="Séminaire d'intégration"</formula>
    </cfRule>
    <cfRule type="beginsWith" dxfId="9094" priority="26951" operator="beginsWith" text="Accueil">
      <formula>LEFT(DI176,LEN("Accueil"))="Accueil"</formula>
    </cfRule>
    <cfRule type="beginsWith" dxfId="9093" priority="26952" operator="beginsWith" text="Stage">
      <formula>LEFT(DI176,LEN("Stage"))="Stage"</formula>
    </cfRule>
    <cfRule type="beginsWith" dxfId="9092" priority="26953" operator="beginsWith" text="Entreprise">
      <formula>LEFT(DI176,LEN("Entreprise"))="Entreprise"</formula>
    </cfRule>
    <cfRule type="beginsWith" dxfId="9091" priority="26954" operator="beginsWith" text="Voltaire">
      <formula>LEFT(DI176,LEN("Voltaire"))="Voltaire"</formula>
    </cfRule>
  </conditionalFormatting>
  <conditionalFormatting sqref="DI181">
    <cfRule type="beginsWith" dxfId="9090" priority="26955" operator="beginsWith" text="Projet professionnel : Séminaire PFI">
      <formula>LEFT(DI181,LEN("Projet professionnel : Séminaire PFI"))="Projet professionnel : Séminaire PFI"</formula>
    </cfRule>
    <cfRule type="beginsWith" dxfId="9089" priority="26956" operator="beginsWith" text="Lancement Projet fil rouge">
      <formula>LEFT(DI181,LEN("Lancement Projet fil rouge"))="Lancement Projet fil rouge"</formula>
    </cfRule>
    <cfRule type="beginsWith" dxfId="9088" priority="26957" operator="beginsWith" text="Vacances">
      <formula>LEFT(DI181,LEN("Vacances"))="Vacances"</formula>
    </cfRule>
    <cfRule type="beginsWith" dxfId="9087" priority="26958" operator="beginsWith" text="Séminaire d'intégration">
      <formula>LEFT(DI181,LEN("Séminaire d'intégration"))="Séminaire d'intégration"</formula>
    </cfRule>
    <cfRule type="beginsWith" dxfId="9086" priority="26959" operator="beginsWith" text="Accueil">
      <formula>LEFT(DI181,LEN("Accueil"))="Accueil"</formula>
    </cfRule>
    <cfRule type="beginsWith" dxfId="9085" priority="26960" operator="beginsWith" text="Stage">
      <formula>LEFT(DI181,LEN("Stage"))="Stage"</formula>
    </cfRule>
    <cfRule type="beginsWith" dxfId="9084" priority="26961" operator="beginsWith" text="Entreprise">
      <formula>LEFT(DI181,LEN("Entreprise"))="Entreprise"</formula>
    </cfRule>
    <cfRule type="beginsWith" dxfId="9083" priority="26962" operator="beginsWith" text="Voltaire">
      <formula>LEFT(DI181,LEN("Voltaire"))="Voltaire"</formula>
    </cfRule>
  </conditionalFormatting>
  <conditionalFormatting sqref="DI186">
    <cfRule type="beginsWith" dxfId="9082" priority="26979" operator="beginsWith" text="Projet professionnel : Séminaire PFI">
      <formula>LEFT(DI186,LEN("Projet professionnel : Séminaire PFI"))="Projet professionnel : Séminaire PFI"</formula>
    </cfRule>
    <cfRule type="beginsWith" dxfId="9081" priority="26980" operator="beginsWith" text="Lancement Projet fil rouge">
      <formula>LEFT(DI186,LEN("Lancement Projet fil rouge"))="Lancement Projet fil rouge"</formula>
    </cfRule>
    <cfRule type="beginsWith" dxfId="9080" priority="26981" operator="beginsWith" text="Vacances">
      <formula>LEFT(DI186,LEN("Vacances"))="Vacances"</formula>
    </cfRule>
    <cfRule type="beginsWith" dxfId="9079" priority="26982" operator="beginsWith" text="Séminaire d'intégration">
      <formula>LEFT(DI186,LEN("Séminaire d'intégration"))="Séminaire d'intégration"</formula>
    </cfRule>
    <cfRule type="beginsWith" dxfId="9078" priority="26983" operator="beginsWith" text="Accueil">
      <formula>LEFT(DI186,LEN("Accueil"))="Accueil"</formula>
    </cfRule>
    <cfRule type="beginsWith" dxfId="9077" priority="26984" operator="beginsWith" text="Stage">
      <formula>LEFT(DI186,LEN("Stage"))="Stage"</formula>
    </cfRule>
    <cfRule type="beginsWith" dxfId="9076" priority="26985" operator="beginsWith" text="Entreprise">
      <formula>LEFT(DI186,LEN("Entreprise"))="Entreprise"</formula>
    </cfRule>
    <cfRule type="beginsWith" dxfId="9075" priority="26986" operator="beginsWith" text="Voltaire">
      <formula>LEFT(DI186,LEN("Voltaire"))="Voltaire"</formula>
    </cfRule>
  </conditionalFormatting>
  <conditionalFormatting sqref="DI191">
    <cfRule type="beginsWith" dxfId="9074" priority="26971" operator="beginsWith" text="Projet professionnel : Séminaire PFI">
      <formula>LEFT(DI191,LEN("Projet professionnel : Séminaire PFI"))="Projet professionnel : Séminaire PFI"</formula>
    </cfRule>
    <cfRule type="beginsWith" dxfId="9073" priority="26972" operator="beginsWith" text="Lancement Projet fil rouge">
      <formula>LEFT(DI191,LEN("Lancement Projet fil rouge"))="Lancement Projet fil rouge"</formula>
    </cfRule>
    <cfRule type="beginsWith" dxfId="9072" priority="26973" operator="beginsWith" text="Vacances">
      <formula>LEFT(DI191,LEN("Vacances"))="Vacances"</formula>
    </cfRule>
    <cfRule type="beginsWith" dxfId="9071" priority="26974" operator="beginsWith" text="Séminaire d'intégration">
      <formula>LEFT(DI191,LEN("Séminaire d'intégration"))="Séminaire d'intégration"</formula>
    </cfRule>
    <cfRule type="beginsWith" dxfId="9070" priority="26975" operator="beginsWith" text="Accueil">
      <formula>LEFT(DI191,LEN("Accueil"))="Accueil"</formula>
    </cfRule>
    <cfRule type="beginsWith" dxfId="9069" priority="26976" operator="beginsWith" text="Stage">
      <formula>LEFT(DI191,LEN("Stage"))="Stage"</formula>
    </cfRule>
    <cfRule type="beginsWith" dxfId="9068" priority="26977" operator="beginsWith" text="Entreprise">
      <formula>LEFT(DI191,LEN("Entreprise"))="Entreprise"</formula>
    </cfRule>
    <cfRule type="beginsWith" dxfId="9067" priority="26978" operator="beginsWith" text="Voltaire">
      <formula>LEFT(DI191,LEN("Voltaire"))="Voltaire"</formula>
    </cfRule>
  </conditionalFormatting>
  <conditionalFormatting sqref="DI196:DI197">
    <cfRule type="beginsWith" dxfId="9066" priority="27163" operator="beginsWith" text="Projet professionnel : Séminaire PFI">
      <formula>LEFT(DI196,LEN("Projet professionnel : Séminaire PFI"))="Projet professionnel : Séminaire PFI"</formula>
    </cfRule>
    <cfRule type="beginsWith" dxfId="9065" priority="27164" operator="beginsWith" text="Lancement Projet fil rouge">
      <formula>LEFT(DI196,LEN("Lancement Projet fil rouge"))="Lancement Projet fil rouge"</formula>
    </cfRule>
    <cfRule type="beginsWith" dxfId="9064" priority="27165" operator="beginsWith" text="Vacances">
      <formula>LEFT(DI196,LEN("Vacances"))="Vacances"</formula>
    </cfRule>
    <cfRule type="beginsWith" dxfId="9063" priority="27166" operator="beginsWith" text="Séminaire d'intégration">
      <formula>LEFT(DI196,LEN("Séminaire d'intégration"))="Séminaire d'intégration"</formula>
    </cfRule>
    <cfRule type="beginsWith" dxfId="9062" priority="27167" operator="beginsWith" text="Accueil">
      <formula>LEFT(DI196,LEN("Accueil"))="Accueil"</formula>
    </cfRule>
    <cfRule type="beginsWith" dxfId="9061" priority="27168" operator="beginsWith" text="Stage">
      <formula>LEFT(DI196,LEN("Stage"))="Stage"</formula>
    </cfRule>
    <cfRule type="beginsWith" dxfId="9060" priority="27169" operator="beginsWith" text="Entreprise">
      <formula>LEFT(DI196,LEN("Entreprise"))="Entreprise"</formula>
    </cfRule>
    <cfRule type="beginsWith" dxfId="9059" priority="27170" operator="beginsWith" text="Voltaire">
      <formula>LEFT(DI196,LEN("Voltaire"))="Voltaire"</formula>
    </cfRule>
  </conditionalFormatting>
  <conditionalFormatting sqref="DI196:DI204">
    <cfRule type="beginsWith" dxfId="9058" priority="27155" operator="beginsWith" text="Projet professionnel : Séminaire PFI">
      <formula>LEFT(DI196,LEN("Projet professionnel : Séminaire PFI"))="Projet professionnel : Séminaire PFI"</formula>
    </cfRule>
    <cfRule type="beginsWith" dxfId="9057" priority="27156" operator="beginsWith" text="Lancement Projet fil rouge">
      <formula>LEFT(DI196,LEN("Lancement Projet fil rouge"))="Lancement Projet fil rouge"</formula>
    </cfRule>
    <cfRule type="beginsWith" dxfId="9056" priority="27157" operator="beginsWith" text="Vacances">
      <formula>LEFT(DI196,LEN("Vacances"))="Vacances"</formula>
    </cfRule>
    <cfRule type="beginsWith" dxfId="9055" priority="27158" operator="beginsWith" text="Séminaire d'intégration">
      <formula>LEFT(DI196,LEN("Séminaire d'intégration"))="Séminaire d'intégration"</formula>
    </cfRule>
    <cfRule type="beginsWith" dxfId="9054" priority="27159" operator="beginsWith" text="Accueil">
      <formula>LEFT(DI196,LEN("Accueil"))="Accueil"</formula>
    </cfRule>
    <cfRule type="beginsWith" dxfId="9053" priority="27160" operator="beginsWith" text="Stage">
      <formula>LEFT(DI196,LEN("Stage"))="Stage"</formula>
    </cfRule>
    <cfRule type="beginsWith" dxfId="9052" priority="27161" operator="beginsWith" text="Entreprise">
      <formula>LEFT(DI196,LEN("Entreprise"))="Entreprise"</formula>
    </cfRule>
    <cfRule type="beginsWith" dxfId="9051" priority="27162" operator="beginsWith" text="Voltaire">
      <formula>LEFT(DI196,LEN("Voltaire"))="Voltaire"</formula>
    </cfRule>
  </conditionalFormatting>
  <conditionalFormatting sqref="DI205:DI221">
    <cfRule type="beginsWith" dxfId="9050" priority="27051" operator="beginsWith" text="Projet professionnel : Séminaire PFI">
      <formula>LEFT(DI205,LEN("Projet professionnel : Séminaire PFI"))="Projet professionnel : Séminaire PFI"</formula>
    </cfRule>
    <cfRule type="beginsWith" dxfId="9049" priority="27052" operator="beginsWith" text="Lancement Projet fil rouge">
      <formula>LEFT(DI205,LEN("Lancement Projet fil rouge"))="Lancement Projet fil rouge"</formula>
    </cfRule>
    <cfRule type="beginsWith" dxfId="9048" priority="27053" operator="beginsWith" text="Vacances">
      <formula>LEFT(DI205,LEN("Vacances"))="Vacances"</formula>
    </cfRule>
    <cfRule type="beginsWith" dxfId="9047" priority="27054" operator="beginsWith" text="Séminaire d'intégration">
      <formula>LEFT(DI205,LEN("Séminaire d'intégration"))="Séminaire d'intégration"</formula>
    </cfRule>
    <cfRule type="beginsWith" dxfId="9046" priority="27055" operator="beginsWith" text="Accueil">
      <formula>LEFT(DI205,LEN("Accueil"))="Accueil"</formula>
    </cfRule>
    <cfRule type="beginsWith" dxfId="9045" priority="27056" operator="beginsWith" text="Stage">
      <formula>LEFT(DI205,LEN("Stage"))="Stage"</formula>
    </cfRule>
    <cfRule type="beginsWith" dxfId="9044" priority="27057" operator="beginsWith" text="Entreprise">
      <formula>LEFT(DI205,LEN("Entreprise"))="Entreprise"</formula>
    </cfRule>
    <cfRule type="beginsWith" dxfId="9043" priority="27058" operator="beginsWith" text="Voltaire">
      <formula>LEFT(DI205,LEN("Voltaire"))="Voltaire"</formula>
    </cfRule>
  </conditionalFormatting>
  <conditionalFormatting sqref="DI241">
    <cfRule type="beginsWith" dxfId="9042" priority="27099" operator="beginsWith" text="Projet professionnel : Séminaire PFI">
      <formula>LEFT(DI241,LEN("Projet professionnel : Séminaire PFI"))="Projet professionnel : Séminaire PFI"</formula>
    </cfRule>
    <cfRule type="beginsWith" dxfId="9041" priority="27100" operator="beginsWith" text="Lancement Projet fil rouge">
      <formula>LEFT(DI241,LEN("Lancement Projet fil rouge"))="Lancement Projet fil rouge"</formula>
    </cfRule>
    <cfRule type="beginsWith" dxfId="9040" priority="27101" operator="beginsWith" text="Vacances">
      <formula>LEFT(DI241,LEN("Vacances"))="Vacances"</formula>
    </cfRule>
    <cfRule type="beginsWith" dxfId="9039" priority="27102" operator="beginsWith" text="Séminaire d'intégration">
      <formula>LEFT(DI241,LEN("Séminaire d'intégration"))="Séminaire d'intégration"</formula>
    </cfRule>
    <cfRule type="beginsWith" dxfId="9038" priority="27103" operator="beginsWith" text="Accueil">
      <formula>LEFT(DI241,LEN("Accueil"))="Accueil"</formula>
    </cfRule>
    <cfRule type="beginsWith" dxfId="9037" priority="27104" operator="beginsWith" text="Stage">
      <formula>LEFT(DI241,LEN("Stage"))="Stage"</formula>
    </cfRule>
    <cfRule type="beginsWith" dxfId="9036" priority="27105" operator="beginsWith" text="Entreprise">
      <formula>LEFT(DI241,LEN("Entreprise"))="Entreprise"</formula>
    </cfRule>
    <cfRule type="beginsWith" dxfId="9035" priority="27106" operator="beginsWith" text="Voltaire">
      <formula>LEFT(DI241,LEN("Voltaire"))="Voltaire"</formula>
    </cfRule>
    <cfRule type="beginsWith" dxfId="9034" priority="27107" operator="beginsWith" text="Projet professionnel : Séminaire PFI">
      <formula>LEFT(DI241,LEN("Projet professionnel : Séminaire PFI"))="Projet professionnel : Séminaire PFI"</formula>
    </cfRule>
    <cfRule type="beginsWith" dxfId="9033" priority="27108" operator="beginsWith" text="Lancement Projet fil rouge">
      <formula>LEFT(DI241,LEN("Lancement Projet fil rouge"))="Lancement Projet fil rouge"</formula>
    </cfRule>
    <cfRule type="beginsWith" dxfId="9032" priority="27109" operator="beginsWith" text="Vacances">
      <formula>LEFT(DI241,LEN("Vacances"))="Vacances"</formula>
    </cfRule>
    <cfRule type="beginsWith" dxfId="9031" priority="27110" operator="beginsWith" text="Séminaire d'intégration">
      <formula>LEFT(DI241,LEN("Séminaire d'intégration"))="Séminaire d'intégration"</formula>
    </cfRule>
    <cfRule type="beginsWith" dxfId="9030" priority="27111" operator="beginsWith" text="Accueil">
      <formula>LEFT(DI241,LEN("Accueil"))="Accueil"</formula>
    </cfRule>
    <cfRule type="beginsWith" dxfId="9029" priority="27112" operator="beginsWith" text="Stage">
      <formula>LEFT(DI241,LEN("Stage"))="Stage"</formula>
    </cfRule>
    <cfRule type="beginsWith" dxfId="9028" priority="27113" operator="beginsWith" text="Entreprise">
      <formula>LEFT(DI241,LEN("Entreprise"))="Entreprise"</formula>
    </cfRule>
    <cfRule type="beginsWith" dxfId="9027" priority="27114" operator="beginsWith" text="Voltaire">
      <formula>LEFT(DI241,LEN("Voltaire"))="Voltaire"</formula>
    </cfRule>
  </conditionalFormatting>
  <conditionalFormatting sqref="DI250:DI251">
    <cfRule type="beginsWith" dxfId="9026" priority="27147" operator="beginsWith" text="Projet professionnel : Séminaire PFI">
      <formula>LEFT(DI250,LEN("Projet professionnel : Séminaire PFI"))="Projet professionnel : Séminaire PFI"</formula>
    </cfRule>
    <cfRule type="beginsWith" dxfId="9025" priority="27148" operator="beginsWith" text="Lancement Projet fil rouge">
      <formula>LEFT(DI250,LEN("Lancement Projet fil rouge"))="Lancement Projet fil rouge"</formula>
    </cfRule>
    <cfRule type="beginsWith" dxfId="9024" priority="27149" operator="beginsWith" text="Vacances">
      <formula>LEFT(DI250,LEN("Vacances"))="Vacances"</formula>
    </cfRule>
    <cfRule type="beginsWith" dxfId="9023" priority="27150" operator="beginsWith" text="Séminaire d'intégration">
      <formula>LEFT(DI250,LEN("Séminaire d'intégration"))="Séminaire d'intégration"</formula>
    </cfRule>
    <cfRule type="beginsWith" dxfId="9022" priority="27151" operator="beginsWith" text="Accueil">
      <formula>LEFT(DI250,LEN("Accueil"))="Accueil"</formula>
    </cfRule>
    <cfRule type="beginsWith" dxfId="9021" priority="27152" operator="beginsWith" text="Stage">
      <formula>LEFT(DI250,LEN("Stage"))="Stage"</formula>
    </cfRule>
    <cfRule type="beginsWith" dxfId="9020" priority="27153" operator="beginsWith" text="Entreprise">
      <formula>LEFT(DI250,LEN("Entreprise"))="Entreprise"</formula>
    </cfRule>
    <cfRule type="beginsWith" dxfId="9019" priority="27154" operator="beginsWith" text="Voltaire">
      <formula>LEFT(DI250,LEN("Voltaire"))="Voltaire"</formula>
    </cfRule>
  </conditionalFormatting>
  <conditionalFormatting sqref="DJ68">
    <cfRule type="beginsWith" dxfId="9018" priority="18691" operator="beginsWith" text="Lancement Projet fil rouge">
      <formula>LEFT(DJ68,LEN("Lancement Projet fil rouge"))="Lancement Projet fil rouge"</formula>
    </cfRule>
    <cfRule type="beginsWith" dxfId="9017" priority="18692" operator="beginsWith" text="Vacances">
      <formula>LEFT(DJ68,LEN("Vacances"))="Vacances"</formula>
    </cfRule>
    <cfRule type="beginsWith" dxfId="9016" priority="18693" operator="beginsWith" text="Séminaire d'intégration">
      <formula>LEFT(DJ68,LEN("Séminaire d'intégration"))="Séminaire d'intégration"</formula>
    </cfRule>
    <cfRule type="beginsWith" dxfId="9015" priority="18694" operator="beginsWith" text="Accueil">
      <formula>LEFT(DJ68,LEN("Accueil"))="Accueil"</formula>
    </cfRule>
    <cfRule type="beginsWith" dxfId="9014" priority="18695" operator="beginsWith" text="Stage">
      <formula>LEFT(DJ68,LEN("Stage"))="Stage"</formula>
    </cfRule>
    <cfRule type="beginsWith" dxfId="9013" priority="18696" operator="beginsWith" text="Entreprise">
      <formula>LEFT(DJ68,LEN("Entreprise"))="Entreprise"</formula>
    </cfRule>
    <cfRule type="beginsWith" dxfId="9012" priority="18697" operator="beginsWith" text="Voltaire">
      <formula>LEFT(DJ68,LEN("Voltaire"))="Voltaire"</formula>
    </cfRule>
  </conditionalFormatting>
  <conditionalFormatting sqref="DJ141">
    <cfRule type="beginsWith" dxfId="9011" priority="15984" operator="beginsWith" text="Lancement Projet fil rouge">
      <formula>LEFT(DJ141,LEN("Lancement Projet fil rouge"))="Lancement Projet fil rouge"</formula>
    </cfRule>
    <cfRule type="beginsWith" dxfId="9010" priority="15985" operator="beginsWith" text="Vacances">
      <formula>LEFT(DJ141,LEN("Vacances"))="Vacances"</formula>
    </cfRule>
    <cfRule type="beginsWith" dxfId="9009" priority="15986" operator="beginsWith" text="Séminaire d'intégration">
      <formula>LEFT(DJ141,LEN("Séminaire d'intégration"))="Séminaire d'intégration"</formula>
    </cfRule>
    <cfRule type="beginsWith" dxfId="9008" priority="15987" operator="beginsWith" text="Accueil">
      <formula>LEFT(DJ141,LEN("Accueil"))="Accueil"</formula>
    </cfRule>
    <cfRule type="beginsWith" dxfId="9007" priority="15988" operator="beginsWith" text="Stage">
      <formula>LEFT(DJ141,LEN("Stage"))="Stage"</formula>
    </cfRule>
    <cfRule type="beginsWith" dxfId="9006" priority="15989" operator="beginsWith" text="Entreprise">
      <formula>LEFT(DJ141,LEN("Entreprise"))="Entreprise"</formula>
    </cfRule>
    <cfRule type="beginsWith" dxfId="9005" priority="15990" operator="beginsWith" text="Voltaire">
      <formula>LEFT(DJ141,LEN("Voltaire"))="Voltaire"</formula>
    </cfRule>
  </conditionalFormatting>
  <conditionalFormatting sqref="DJ211">
    <cfRule type="beginsWith" dxfId="9004" priority="18628" operator="beginsWith" text="Lancement Projet fil rouge">
      <formula>LEFT(DJ211,LEN("Lancement Projet fil rouge"))="Lancement Projet fil rouge"</formula>
    </cfRule>
    <cfRule type="beginsWith" dxfId="9003" priority="18629" operator="beginsWith" text="Vacances">
      <formula>LEFT(DJ211,LEN("Vacances"))="Vacances"</formula>
    </cfRule>
    <cfRule type="beginsWith" dxfId="9002" priority="18630" operator="beginsWith" text="Séminaire d'intégration">
      <formula>LEFT(DJ211,LEN("Séminaire d'intégration"))="Séminaire d'intégration"</formula>
    </cfRule>
    <cfRule type="beginsWith" dxfId="9001" priority="18631" operator="beginsWith" text="Accueil">
      <formula>LEFT(DJ211,LEN("Accueil"))="Accueil"</formula>
    </cfRule>
    <cfRule type="beginsWith" dxfId="9000" priority="18632" operator="beginsWith" text="Stage">
      <formula>LEFT(DJ211,LEN("Stage"))="Stage"</formula>
    </cfRule>
    <cfRule type="beginsWith" dxfId="8999" priority="18633" operator="beginsWith" text="Entreprise">
      <formula>LEFT(DJ211,LEN("Entreprise"))="Entreprise"</formula>
    </cfRule>
    <cfRule type="beginsWith" dxfId="8998" priority="18634" operator="beginsWith" text="Voltaire">
      <formula>LEFT(DJ211,LEN("Voltaire"))="Voltaire"</formula>
    </cfRule>
  </conditionalFormatting>
  <conditionalFormatting sqref="DK68">
    <cfRule type="beginsWith" dxfId="8997" priority="18684" operator="beginsWith" text="Lancement Projet fil rouge">
      <formula>LEFT(DK68,LEN("Lancement Projet fil rouge"))="Lancement Projet fil rouge"</formula>
    </cfRule>
    <cfRule type="beginsWith" dxfId="8996" priority="18685" operator="beginsWith" text="Vacances">
      <formula>LEFT(DK68,LEN("Vacances"))="Vacances"</formula>
    </cfRule>
    <cfRule type="beginsWith" dxfId="8995" priority="18686" operator="beginsWith" text="Séminaire d'intégration">
      <formula>LEFT(DK68,LEN("Séminaire d'intégration"))="Séminaire d'intégration"</formula>
    </cfRule>
    <cfRule type="beginsWith" dxfId="8994" priority="18687" operator="beginsWith" text="Accueil">
      <formula>LEFT(DK68,LEN("Accueil"))="Accueil"</formula>
    </cfRule>
    <cfRule type="beginsWith" dxfId="8993" priority="18688" operator="beginsWith" text="Stage">
      <formula>LEFT(DK68,LEN("Stage"))="Stage"</formula>
    </cfRule>
    <cfRule type="beginsWith" dxfId="8992" priority="18689" operator="beginsWith" text="Entreprise">
      <formula>LEFT(DK68,LEN("Entreprise"))="Entreprise"</formula>
    </cfRule>
    <cfRule type="beginsWith" dxfId="8991" priority="18690" operator="beginsWith" text="Voltaire">
      <formula>LEFT(DK68,LEN("Voltaire"))="Voltaire"</formula>
    </cfRule>
  </conditionalFormatting>
  <conditionalFormatting sqref="DK96:DK105">
    <cfRule type="beginsWith" dxfId="8990" priority="19899" operator="beginsWith" text="Lancement Projet fil rouge">
      <formula>LEFT(DK96,LEN("Lancement Projet fil rouge"))="Lancement Projet fil rouge"</formula>
    </cfRule>
    <cfRule type="beginsWith" dxfId="8989" priority="19900" operator="beginsWith" text="Vacances">
      <formula>LEFT(DK96,LEN("Vacances"))="Vacances"</formula>
    </cfRule>
    <cfRule type="beginsWith" dxfId="8988" priority="19901" operator="beginsWith" text="Séminaire d'intégration">
      <formula>LEFT(DK96,LEN("Séminaire d'intégration"))="Séminaire d'intégration"</formula>
    </cfRule>
    <cfRule type="beginsWith" dxfId="8987" priority="19902" operator="beginsWith" text="Accueil">
      <formula>LEFT(DK96,LEN("Accueil"))="Accueil"</formula>
    </cfRule>
    <cfRule type="beginsWith" dxfId="8986" priority="19903" operator="beginsWith" text="Stage">
      <formula>LEFT(DK96,LEN("Stage"))="Stage"</formula>
    </cfRule>
    <cfRule type="beginsWith" dxfId="8985" priority="19904" operator="beginsWith" text="Entreprise">
      <formula>LEFT(DK96,LEN("Entreprise"))="Entreprise"</formula>
    </cfRule>
    <cfRule type="beginsWith" dxfId="8984" priority="19905" operator="beginsWith" text="Voltaire">
      <formula>LEFT(DK96,LEN("Voltaire"))="Voltaire"</formula>
    </cfRule>
  </conditionalFormatting>
  <conditionalFormatting sqref="DK6:DM6">
    <cfRule type="beginsWith" dxfId="8983" priority="18319" operator="beginsWith" text="Projet professionnel : Séminaire PFI">
      <formula>LEFT(DK6,LEN("Projet professionnel : Séminaire PFI"))="Projet professionnel : Séminaire PFI"</formula>
    </cfRule>
    <cfRule type="beginsWith" dxfId="8982" priority="18320" operator="beginsWith" text="Lancement Projet fil rouge">
      <formula>LEFT(DK6,LEN("Lancement Projet fil rouge"))="Lancement Projet fil rouge"</formula>
    </cfRule>
    <cfRule type="beginsWith" dxfId="8981" priority="18321" operator="beginsWith" text="Vacances">
      <formula>LEFT(DK6,LEN("Vacances"))="Vacances"</formula>
    </cfRule>
    <cfRule type="beginsWith" dxfId="8980" priority="18322" operator="beginsWith" text="Séminaire d'intégration">
      <formula>LEFT(DK6,LEN("Séminaire d'intégration"))="Séminaire d'intégration"</formula>
    </cfRule>
    <cfRule type="beginsWith" dxfId="8979" priority="18323" operator="beginsWith" text="Accueil">
      <formula>LEFT(DK6,LEN("Accueil"))="Accueil"</formula>
    </cfRule>
    <cfRule type="beginsWith" dxfId="8978" priority="18326" operator="beginsWith" text="Stage">
      <formula>LEFT(DK6,LEN("Stage"))="Stage"</formula>
    </cfRule>
    <cfRule type="beginsWith" dxfId="8977" priority="18327" operator="beginsWith" text="Entreprise">
      <formula>LEFT(DK6,LEN("Entreprise"))="Entreprise"</formula>
    </cfRule>
    <cfRule type="beginsWith" dxfId="8976" priority="18329" operator="beginsWith" text="Voltaire">
      <formula>LEFT(DK6,LEN("Voltaire"))="Voltaire"</formula>
    </cfRule>
  </conditionalFormatting>
  <conditionalFormatting sqref="DK11:DM11">
    <cfRule type="beginsWith" dxfId="8975" priority="30978" operator="beginsWith" text="Projet professionnel : Séminaire PFI">
      <formula>LEFT(DK11,LEN("Projet professionnel : Séminaire PFI"))="Projet professionnel : Séminaire PFI"</formula>
    </cfRule>
    <cfRule type="beginsWith" dxfId="8974" priority="30980" operator="beginsWith" text="Vacances">
      <formula>LEFT(DK11,LEN("Vacances"))="Vacances"</formula>
    </cfRule>
    <cfRule type="beginsWith" dxfId="8973" priority="30981" operator="beginsWith" text="Séminaire d'intégration">
      <formula>LEFT(DK11,LEN("Séminaire d'intégration"))="Séminaire d'intégration"</formula>
    </cfRule>
    <cfRule type="beginsWith" dxfId="8972" priority="30982" operator="beginsWith" text="Accueil">
      <formula>LEFT(DK11,LEN("Accueil"))="Accueil"</formula>
    </cfRule>
    <cfRule type="beginsWith" dxfId="8971" priority="30985" operator="beginsWith" text="Stage">
      <formula>LEFT(DK11,LEN("Stage"))="Stage"</formula>
    </cfRule>
    <cfRule type="beginsWith" dxfId="8970" priority="30986" operator="beginsWith" text="Entreprise">
      <formula>LEFT(DK11,LEN("Entreprise"))="Entreprise"</formula>
    </cfRule>
    <cfRule type="beginsWith" dxfId="8969" priority="30988" operator="beginsWith" text="Voltaire">
      <formula>LEFT(DK11,LEN("Voltaire"))="Voltaire"</formula>
    </cfRule>
  </conditionalFormatting>
  <conditionalFormatting sqref="DK16:DM16 DB121:DB124 AE254:AE1048576 AV252:AV1048576 BV261:BV1048576 CB261:CB1048576 CH252:CH1048576 CN252:CN1048576 CT261:CT1048576 DO261:DO1048576 DB252:DB290 DU252:DU1048576 DI252:DI1048576 EB252:EB1048576 EH261:EH1048576 BH253:BH1048576">
    <cfRule type="beginsWith" dxfId="8968" priority="31995" operator="beginsWith" text="Projet professionnel : Séminaire PFI">
      <formula>LEFT(AE16,LEN("Projet professionnel : Séminaire PFI"))="Projet professionnel : Séminaire PFI"</formula>
    </cfRule>
    <cfRule type="beginsWith" dxfId="8967" priority="31997" operator="beginsWith" text="Vacances">
      <formula>LEFT(AE16,LEN("Vacances"))="Vacances"</formula>
    </cfRule>
  </conditionalFormatting>
  <conditionalFormatting sqref="DK16:DM16">
    <cfRule type="beginsWith" dxfId="8966" priority="31998" operator="beginsWith" text="Séminaire d'intégration">
      <formula>LEFT(DK16,LEN("Séminaire d'intégration"))="Séminaire d'intégration"</formula>
    </cfRule>
    <cfRule type="beginsWith" dxfId="8965" priority="31999" operator="beginsWith" text="Accueil">
      <formula>LEFT(DK16,LEN("Accueil"))="Accueil"</formula>
    </cfRule>
    <cfRule type="beginsWith" dxfId="8964" priority="32002" operator="beginsWith" text="Stage">
      <formula>LEFT(DK16,LEN("Stage"))="Stage"</formula>
    </cfRule>
    <cfRule type="beginsWith" dxfId="8963" priority="32003" operator="beginsWith" text="Entreprise">
      <formula>LEFT(DK16,LEN("Entreprise"))="Entreprise"</formula>
    </cfRule>
    <cfRule type="beginsWith" dxfId="8962" priority="32005" operator="beginsWith" text="Voltaire">
      <formula>LEFT(DK16,LEN("Voltaire"))="Voltaire"</formula>
    </cfRule>
  </conditionalFormatting>
  <conditionalFormatting sqref="DK111:DM115">
    <cfRule type="beginsWith" dxfId="8961" priority="15950" operator="beginsWith" text="Lancement Projet fil rouge">
      <formula>LEFT(DK111,LEN("Lancement Projet fil rouge"))="Lancement Projet fil rouge"</formula>
    </cfRule>
    <cfRule type="beginsWith" dxfId="8960" priority="15951" operator="beginsWith" text="Vacances">
      <formula>LEFT(DK111,LEN("Vacances"))="Vacances"</formula>
    </cfRule>
    <cfRule type="beginsWith" dxfId="8959" priority="15952" operator="beginsWith" text="Séminaire d'intégration">
      <formula>LEFT(DK111,LEN("Séminaire d'intégration"))="Séminaire d'intégration"</formula>
    </cfRule>
    <cfRule type="beginsWith" dxfId="8958" priority="15953" operator="beginsWith" text="Accueil">
      <formula>LEFT(DK111,LEN("Accueil"))="Accueil"</formula>
    </cfRule>
    <cfRule type="beginsWith" dxfId="8957" priority="15956" operator="beginsWith" text="Stage">
      <formula>LEFT(DK111,LEN("Stage"))="Stage"</formula>
    </cfRule>
    <cfRule type="beginsWith" dxfId="8956" priority="15957" operator="beginsWith" text="Entreprise">
      <formula>LEFT(DK111,LEN("Entreprise"))="Entreprise"</formula>
    </cfRule>
    <cfRule type="beginsWith" dxfId="8955" priority="15959" operator="beginsWith" text="Voltaire">
      <formula>LEFT(DK111,LEN("Voltaire"))="Voltaire"</formula>
    </cfRule>
  </conditionalFormatting>
  <conditionalFormatting sqref="DK11:DN15">
    <cfRule type="beginsWith" dxfId="8954" priority="30979" operator="beginsWith" text="Lancement Projet fil rouge">
      <formula>LEFT(DK11,LEN("Lancement Projet fil rouge"))="Lancement Projet fil rouge"</formula>
    </cfRule>
  </conditionalFormatting>
  <conditionalFormatting sqref="DK16:DN55 DB121:DB124 DB252:DB290 AV252:AV1048576 CH252:CH1048576 CN252:CN1048576 DI252:DI1048576 DU252:DU1048576 EB252:EB1048576 BH253:BH1048576 AE254:AE1048576 BV261:BV1048576 CB261:CB1048576 CT261:CT1048576 DO261:DT1048576 EC261:EM1048576">
    <cfRule type="beginsWith" dxfId="8953" priority="31996" operator="beginsWith" text="Lancement Projet fil rouge">
      <formula>LEFT(AE16,LEN("Lancement Projet fil rouge"))="Lancement Projet fil rouge"</formula>
    </cfRule>
  </conditionalFormatting>
  <conditionalFormatting sqref="DL6:DM6">
    <cfRule type="beginsWith" dxfId="8952" priority="18324" operator="beginsWith" text="TOPHYC">
      <formula>LEFT(DL6,LEN("TOPHYC"))="TOPHYC"</formula>
    </cfRule>
    <cfRule type="beginsWith" dxfId="8951" priority="18325" operator="beginsWith" text="Global Exam">
      <formula>LEFT(DL6,LEN("Global Exam"))="Global Exam"</formula>
    </cfRule>
    <cfRule type="beginsWith" dxfId="8950" priority="18328" operator="beginsWith" text="TOMIC">
      <formula>LEFT(DL6,LEN("TOMIC"))="TOMIC"</formula>
    </cfRule>
  </conditionalFormatting>
  <conditionalFormatting sqref="DL11:DM11">
    <cfRule type="beginsWith" dxfId="8949" priority="30983" operator="beginsWith" text="TOPHYC">
      <formula>LEFT(DL11,LEN("TOPHYC"))="TOPHYC"</formula>
    </cfRule>
    <cfRule type="beginsWith" dxfId="8948" priority="30984" operator="beginsWith" text="Global Exam">
      <formula>LEFT(DL11,LEN("Global Exam"))="Global Exam"</formula>
    </cfRule>
    <cfRule type="beginsWith" dxfId="8947" priority="30987" operator="beginsWith" text="TOMIC">
      <formula>LEFT(DL11,LEN("TOMIC"))="TOMIC"</formula>
    </cfRule>
  </conditionalFormatting>
  <conditionalFormatting sqref="DL16:DM16">
    <cfRule type="beginsWith" dxfId="8946" priority="32000" operator="beginsWith" text="TOPHYC">
      <formula>LEFT(DL16,LEN("TOPHYC"))="TOPHYC"</formula>
    </cfRule>
    <cfRule type="beginsWith" dxfId="8945" priority="32001" operator="beginsWith" text="Global Exam">
      <formula>LEFT(DL16,LEN("Global Exam"))="Global Exam"</formula>
    </cfRule>
    <cfRule type="beginsWith" dxfId="8944" priority="32004" operator="beginsWith" text="TOMIC">
      <formula>LEFT(DL16,LEN("TOMIC"))="TOMIC"</formula>
    </cfRule>
  </conditionalFormatting>
  <conditionalFormatting sqref="DL96:DM105">
    <cfRule type="beginsWith" dxfId="8943" priority="19906" operator="beginsWith" text="Lancement Projet fil rouge">
      <formula>LEFT(DL96,LEN("Lancement Projet fil rouge"))="Lancement Projet fil rouge"</formula>
    </cfRule>
    <cfRule type="beginsWith" dxfId="8942" priority="19907" operator="beginsWith" text="Vacances">
      <formula>LEFT(DL96,LEN("Vacances"))="Vacances"</formula>
    </cfRule>
    <cfRule type="beginsWith" dxfId="8941" priority="19908" operator="beginsWith" text="Séminaire d'intégration">
      <formula>LEFT(DL96,LEN("Séminaire d'intégration"))="Séminaire d'intégration"</formula>
    </cfRule>
    <cfRule type="beginsWith" dxfId="8940" priority="19909" operator="beginsWith" text="Accueil">
      <formula>LEFT(DL96,LEN("Accueil"))="Accueil"</formula>
    </cfRule>
    <cfRule type="beginsWith" dxfId="8939" priority="19910" operator="beginsWith" text="TOPHYC">
      <formula>LEFT(DL96,LEN("TOPHYC"))="TOPHYC"</formula>
    </cfRule>
    <cfRule type="beginsWith" dxfId="8938" priority="19911" operator="beginsWith" text="Global Exam">
      <formula>LEFT(DL96,LEN("Global Exam"))="Global Exam"</formula>
    </cfRule>
    <cfRule type="beginsWith" dxfId="8937" priority="19912" operator="beginsWith" text="Stage">
      <formula>LEFT(DL96,LEN("Stage"))="Stage"</formula>
    </cfRule>
    <cfRule type="beginsWith" dxfId="8936" priority="19913" operator="beginsWith" text="Entreprise">
      <formula>LEFT(DL96,LEN("Entreprise"))="Entreprise"</formula>
    </cfRule>
    <cfRule type="beginsWith" dxfId="8935" priority="19914" operator="beginsWith" text="TOMIC">
      <formula>LEFT(DL96,LEN("TOMIC"))="TOMIC"</formula>
    </cfRule>
    <cfRule type="beginsWith" dxfId="8934" priority="19915" operator="beginsWith" text="Voltaire">
      <formula>LEFT(DL96,LEN("Voltaire"))="Voltaire"</formula>
    </cfRule>
  </conditionalFormatting>
  <conditionalFormatting sqref="DL111:DM115">
    <cfRule type="beginsWith" dxfId="8933" priority="15954" operator="beginsWith" text="TOPHYC">
      <formula>LEFT(DL111,LEN("TOPHYC"))="TOPHYC"</formula>
    </cfRule>
    <cfRule type="beginsWith" dxfId="8932" priority="15955" operator="beginsWith" text="Global Exam">
      <formula>LEFT(DL111,LEN("Global Exam"))="Global Exam"</formula>
    </cfRule>
    <cfRule type="beginsWith" dxfId="8931" priority="15958" operator="beginsWith" text="TOMIC">
      <formula>LEFT(DL111,LEN("TOMIC"))="TOMIC"</formula>
    </cfRule>
  </conditionalFormatting>
  <conditionalFormatting sqref="DM176:DM180">
    <cfRule type="beginsWith" dxfId="8930" priority="12251" operator="beginsWith" text="Lancement Projet fil rouge">
      <formula>LEFT(DM176,LEN("Lancement Projet fil rouge"))="Lancement Projet fil rouge"</formula>
    </cfRule>
    <cfRule type="beginsWith" dxfId="8929" priority="12252" operator="beginsWith" text="Vacances">
      <formula>LEFT(DM176,LEN("Vacances"))="Vacances"</formula>
    </cfRule>
    <cfRule type="beginsWith" dxfId="8928" priority="12253" operator="beginsWith" text="Séminaire d'intégration">
      <formula>LEFT(DM176,LEN("Séminaire d'intégration"))="Séminaire d'intégration"</formula>
    </cfRule>
    <cfRule type="beginsWith" dxfId="8927" priority="12254" operator="beginsWith" text="Accueil">
      <formula>LEFT(DM176,LEN("Accueil"))="Accueil"</formula>
    </cfRule>
    <cfRule type="beginsWith" dxfId="8926" priority="12255" operator="beginsWith" text="TOPHYC">
      <formula>LEFT(DM176,LEN("TOPHYC"))="TOPHYC"</formula>
    </cfRule>
    <cfRule type="beginsWith" dxfId="8925" priority="12256" operator="beginsWith" text="Global Exam">
      <formula>LEFT(DM176,LEN("Global Exam"))="Global Exam"</formula>
    </cfRule>
    <cfRule type="beginsWith" dxfId="8924" priority="12257" operator="beginsWith" text="Stage">
      <formula>LEFT(DM176,LEN("Stage"))="Stage"</formula>
    </cfRule>
    <cfRule type="beginsWith" dxfId="8923" priority="12258" operator="beginsWith" text="Entreprise">
      <formula>LEFT(DM176,LEN("Entreprise"))="Entreprise"</formula>
    </cfRule>
    <cfRule type="beginsWith" dxfId="8922" priority="12259" operator="beginsWith" text="TOMIC">
      <formula>LEFT(DM176,LEN("TOMIC"))="TOMIC"</formula>
    </cfRule>
    <cfRule type="beginsWith" dxfId="8921" priority="12260" operator="beginsWith" text="Voltaire">
      <formula>LEFT(DM176,LEN("Voltaire"))="Voltaire"</formula>
    </cfRule>
  </conditionalFormatting>
  <conditionalFormatting sqref="DM186">
    <cfRule type="beginsWith" dxfId="8920" priority="13658" operator="beginsWith" text="Lancement Projet fil rouge">
      <formula>LEFT(DM186,LEN("Lancement Projet fil rouge"))="Lancement Projet fil rouge"</formula>
    </cfRule>
    <cfRule type="beginsWith" dxfId="8919" priority="13659" operator="beginsWith" text="Vacances">
      <formula>LEFT(DM186,LEN("Vacances"))="Vacances"</formula>
    </cfRule>
    <cfRule type="beginsWith" dxfId="8918" priority="13660" operator="beginsWith" text="Séminaire d'intégration">
      <formula>LEFT(DM186,LEN("Séminaire d'intégration"))="Séminaire d'intégration"</formula>
    </cfRule>
    <cfRule type="beginsWith" dxfId="8917" priority="13661" operator="beginsWith" text="Accueil">
      <formula>LEFT(DM186,LEN("Accueil"))="Accueil"</formula>
    </cfRule>
    <cfRule type="beginsWith" dxfId="8916" priority="13662" operator="beginsWith" text="TOPHYC">
      <formula>LEFT(DM186,LEN("TOPHYC"))="TOPHYC"</formula>
    </cfRule>
    <cfRule type="beginsWith" dxfId="8915" priority="13663" operator="beginsWith" text="Global Exam">
      <formula>LEFT(DM186,LEN("Global Exam"))="Global Exam"</formula>
    </cfRule>
    <cfRule type="beginsWith" dxfId="8914" priority="13664" operator="beginsWith" text="Stage">
      <formula>LEFT(DM186,LEN("Stage"))="Stage"</formula>
    </cfRule>
    <cfRule type="beginsWith" dxfId="8913" priority="13665" operator="beginsWith" text="Entreprise">
      <formula>LEFT(DM186,LEN("Entreprise"))="Entreprise"</formula>
    </cfRule>
    <cfRule type="beginsWith" dxfId="8912" priority="13666" operator="beginsWith" text="TOMIC">
      <formula>LEFT(DM186,LEN("TOMIC"))="TOMIC"</formula>
    </cfRule>
    <cfRule type="beginsWith" dxfId="8911" priority="13667" operator="beginsWith" text="Voltaire">
      <formula>LEFT(DM186,LEN("Voltaire"))="Voltaire"</formula>
    </cfRule>
  </conditionalFormatting>
  <conditionalFormatting sqref="DM189">
    <cfRule type="beginsWith" dxfId="8910" priority="13668" operator="beginsWith" text="Lancement Projet fil rouge">
      <formula>LEFT(DM189,LEN("Lancement Projet fil rouge"))="Lancement Projet fil rouge"</formula>
    </cfRule>
    <cfRule type="beginsWith" dxfId="8909" priority="13669" operator="beginsWith" text="Vacances">
      <formula>LEFT(DM189,LEN("Vacances"))="Vacances"</formula>
    </cfRule>
    <cfRule type="beginsWith" dxfId="8908" priority="13670" operator="beginsWith" text="Séminaire d'intégration">
      <formula>LEFT(DM189,LEN("Séminaire d'intégration"))="Séminaire d'intégration"</formula>
    </cfRule>
    <cfRule type="beginsWith" dxfId="8907" priority="13671" operator="beginsWith" text="Accueil">
      <formula>LEFT(DM189,LEN("Accueil"))="Accueil"</formula>
    </cfRule>
    <cfRule type="beginsWith" dxfId="8906" priority="13672" operator="beginsWith" text="TOPHYC">
      <formula>LEFT(DM189,LEN("TOPHYC"))="TOPHYC"</formula>
    </cfRule>
    <cfRule type="beginsWith" dxfId="8905" priority="13673" operator="beginsWith" text="Global Exam">
      <formula>LEFT(DM189,LEN("Global Exam"))="Global Exam"</formula>
    </cfRule>
    <cfRule type="beginsWith" dxfId="8904" priority="13674" operator="beginsWith" text="Stage">
      <formula>LEFT(DM189,LEN("Stage"))="Stage"</formula>
    </cfRule>
    <cfRule type="beginsWith" dxfId="8903" priority="13675" operator="beginsWith" text="Entreprise">
      <formula>LEFT(DM189,LEN("Entreprise"))="Entreprise"</formula>
    </cfRule>
    <cfRule type="beginsWith" dxfId="8902" priority="13676" operator="beginsWith" text="TOMIC">
      <formula>LEFT(DM189,LEN("TOMIC"))="TOMIC"</formula>
    </cfRule>
    <cfRule type="beginsWith" dxfId="8901" priority="13677" operator="beginsWith" text="Voltaire">
      <formula>LEFT(DM189,LEN("Voltaire"))="Voltaire"</formula>
    </cfRule>
  </conditionalFormatting>
  <conditionalFormatting sqref="DO1:DO2 DO5 DO47:DO56">
    <cfRule type="beginsWith" dxfId="8900" priority="26892" operator="beginsWith" text="Projet professionnel : Séminaire PFI">
      <formula>LEFT(DO1,LEN("Projet professionnel : Séminaire PFI"))="Projet professionnel : Séminaire PFI"</formula>
    </cfRule>
    <cfRule type="beginsWith" dxfId="8899" priority="26893" operator="beginsWith" text="Lancement Projet fil rouge">
      <formula>LEFT(DO1,LEN("Lancement Projet fil rouge"))="Lancement Projet fil rouge"</formula>
    </cfRule>
    <cfRule type="beginsWith" dxfId="8898" priority="26894" operator="beginsWith" text="Vacances">
      <formula>LEFT(DO1,LEN("Vacances"))="Vacances"</formula>
    </cfRule>
    <cfRule type="beginsWith" dxfId="8897" priority="26895" operator="beginsWith" text="Séminaire d'intégration">
      <formula>LEFT(DO1,LEN("Séminaire d'intégration"))="Séminaire d'intégration"</formula>
    </cfRule>
    <cfRule type="beginsWith" dxfId="8896" priority="26896" operator="beginsWith" text="Accueil">
      <formula>LEFT(DO1,LEN("Accueil"))="Accueil"</formula>
    </cfRule>
    <cfRule type="beginsWith" dxfId="8895" priority="26897" operator="beginsWith" text="Stage">
      <formula>LEFT(DO1,LEN("Stage"))="Stage"</formula>
    </cfRule>
    <cfRule type="beginsWith" dxfId="8894" priority="26898" operator="beginsWith" text="Entreprise">
      <formula>LEFT(DO1,LEN("Entreprise"))="Entreprise"</formula>
    </cfRule>
    <cfRule type="beginsWith" dxfId="8893" priority="26899" operator="beginsWith" text="Voltaire">
      <formula>LEFT(DO1,LEN("Voltaire"))="Voltaire"</formula>
    </cfRule>
  </conditionalFormatting>
  <conditionalFormatting sqref="DO3">
    <cfRule type="beginsWith" dxfId="8892" priority="26557" operator="beginsWith" text="Lancement Projet fil rouge">
      <formula>LEFT(DO3,LEN("Lancement Projet fil rouge"))="Lancement Projet fil rouge"</formula>
    </cfRule>
    <cfRule type="beginsWith" dxfId="8891" priority="26558" operator="beginsWith" text="Vacances">
      <formula>LEFT(DO3,LEN("Vacances"))="Vacances"</formula>
    </cfRule>
    <cfRule type="beginsWith" dxfId="8890" priority="26559" operator="beginsWith" text="Séminaire d'intégration">
      <formula>LEFT(DO3,LEN("Séminaire d'intégration"))="Séminaire d'intégration"</formula>
    </cfRule>
    <cfRule type="beginsWith" dxfId="8889" priority="26560" operator="beginsWith" text="Accueil">
      <formula>LEFT(DO3,LEN("Accueil"))="Accueil"</formula>
    </cfRule>
    <cfRule type="beginsWith" dxfId="8888" priority="26561" operator="beginsWith" text="Stage">
      <formula>LEFT(DO3,LEN("Stage"))="Stage"</formula>
    </cfRule>
    <cfRule type="beginsWith" dxfId="8887" priority="26562" operator="beginsWith" text="Entreprise">
      <formula>LEFT(DO3,LEN("Entreprise"))="Entreprise"</formula>
    </cfRule>
    <cfRule type="beginsWith" dxfId="8886" priority="26563" operator="beginsWith" text="Voltaire">
      <formula>LEFT(DO3,LEN("Voltaire"))="Voltaire"</formula>
    </cfRule>
  </conditionalFormatting>
  <conditionalFormatting sqref="DO6">
    <cfRule type="beginsWith" dxfId="8885" priority="18148" operator="beginsWith" text="Projet professionnel : Séminaire PFI">
      <formula>LEFT(DO6,LEN("Projet professionnel : Séminaire PFI"))="Projet professionnel : Séminaire PFI"</formula>
    </cfRule>
    <cfRule type="beginsWith" dxfId="8884" priority="18149" operator="beginsWith" text="Lancement Projet fil rouge">
      <formula>LEFT(DO6,LEN("Lancement Projet fil rouge"))="Lancement Projet fil rouge"</formula>
    </cfRule>
    <cfRule type="beginsWith" dxfId="8883" priority="18150" operator="beginsWith" text="Vacances">
      <formula>LEFT(DO6,LEN("Vacances"))="Vacances"</formula>
    </cfRule>
    <cfRule type="beginsWith" dxfId="8882" priority="18151" operator="beginsWith" text="Séminaire d'intégration">
      <formula>LEFT(DO6,LEN("Séminaire d'intégration"))="Séminaire d'intégration"</formula>
    </cfRule>
    <cfRule type="beginsWith" dxfId="8881" priority="18152" operator="beginsWith" text="Accueil">
      <formula>LEFT(DO6,LEN("Accueil"))="Accueil"</formula>
    </cfRule>
    <cfRule type="beginsWith" dxfId="8880" priority="18153" operator="beginsWith" text="Stage">
      <formula>LEFT(DO6,LEN("Stage"))="Stage"</formula>
    </cfRule>
    <cfRule type="beginsWith" dxfId="8879" priority="18154" operator="beginsWith" text="Entreprise">
      <formula>LEFT(DO6,LEN("Entreprise"))="Entreprise"</formula>
    </cfRule>
    <cfRule type="beginsWith" dxfId="8878" priority="18155" operator="beginsWith" text="Voltaire">
      <formula>LEFT(DO6,LEN("Voltaire"))="Voltaire"</formula>
    </cfRule>
  </conditionalFormatting>
  <conditionalFormatting sqref="DO26">
    <cfRule type="beginsWith" dxfId="8877" priority="26836" operator="beginsWith" text="Projet professionnel : Séminaire PFI">
      <formula>LEFT(DO26,LEN("Projet professionnel : Séminaire PFI"))="Projet professionnel : Séminaire PFI"</formula>
    </cfRule>
    <cfRule type="beginsWith" dxfId="8876" priority="26837" operator="beginsWith" text="Lancement Projet fil rouge">
      <formula>LEFT(DO26,LEN("Lancement Projet fil rouge"))="Lancement Projet fil rouge"</formula>
    </cfRule>
    <cfRule type="beginsWith" dxfId="8875" priority="26838" operator="beginsWith" text="Vacances">
      <formula>LEFT(DO26,LEN("Vacances"))="Vacances"</formula>
    </cfRule>
    <cfRule type="beginsWith" dxfId="8874" priority="26839" operator="beginsWith" text="Séminaire d'intégration">
      <formula>LEFT(DO26,LEN("Séminaire d'intégration"))="Séminaire d'intégration"</formula>
    </cfRule>
    <cfRule type="beginsWith" dxfId="8873" priority="26840" operator="beginsWith" text="Accueil">
      <formula>LEFT(DO26,LEN("Accueil"))="Accueil"</formula>
    </cfRule>
    <cfRule type="beginsWith" dxfId="8872" priority="26841" operator="beginsWith" text="Stage">
      <formula>LEFT(DO26,LEN("Stage"))="Stage"</formula>
    </cfRule>
    <cfRule type="beginsWith" dxfId="8871" priority="26842" operator="beginsWith" text="Entreprise">
      <formula>LEFT(DO26,LEN("Entreprise"))="Entreprise"</formula>
    </cfRule>
    <cfRule type="beginsWith" dxfId="8870" priority="26843" operator="beginsWith" text="Voltaire">
      <formula>LEFT(DO26,LEN("Voltaire"))="Voltaire"</formula>
    </cfRule>
  </conditionalFormatting>
  <conditionalFormatting sqref="DO46">
    <cfRule type="beginsWith" dxfId="8869" priority="26772" operator="beginsWith" text="Projet professionnel : Séminaire PFI">
      <formula>LEFT(DO46,LEN("Projet professionnel : Séminaire PFI"))="Projet professionnel : Séminaire PFI"</formula>
    </cfRule>
    <cfRule type="beginsWith" dxfId="8868" priority="26773" operator="beginsWith" text="Lancement Projet fil rouge">
      <formula>LEFT(DO46,LEN("Lancement Projet fil rouge"))="Lancement Projet fil rouge"</formula>
    </cfRule>
    <cfRule type="beginsWith" dxfId="8867" priority="26774" operator="beginsWith" text="Vacances">
      <formula>LEFT(DO46,LEN("Vacances"))="Vacances"</formula>
    </cfRule>
    <cfRule type="beginsWith" dxfId="8866" priority="26775" operator="beginsWith" text="Séminaire d'intégration">
      <formula>LEFT(DO46,LEN("Séminaire d'intégration"))="Séminaire d'intégration"</formula>
    </cfRule>
    <cfRule type="beginsWith" dxfId="8865" priority="26776" operator="beginsWith" text="Accueil">
      <formula>LEFT(DO46,LEN("Accueil"))="Accueil"</formula>
    </cfRule>
    <cfRule type="beginsWith" dxfId="8864" priority="26777" operator="beginsWith" text="Stage">
      <formula>LEFT(DO46,LEN("Stage"))="Stage"</formula>
    </cfRule>
    <cfRule type="beginsWith" dxfId="8863" priority="26778" operator="beginsWith" text="Entreprise">
      <formula>LEFT(DO46,LEN("Entreprise"))="Entreprise"</formula>
    </cfRule>
    <cfRule type="beginsWith" dxfId="8862" priority="26779" operator="beginsWith" text="Voltaire">
      <formula>LEFT(DO46,LEN("Voltaire"))="Voltaire"</formula>
    </cfRule>
  </conditionalFormatting>
  <conditionalFormatting sqref="DO57:DO60">
    <cfRule type="beginsWith" dxfId="8861" priority="26828" operator="beginsWith" text="Projet professionnel : Séminaire PFI">
      <formula>LEFT(DO57,LEN("Projet professionnel : Séminaire PFI"))="Projet professionnel : Séminaire PFI"</formula>
    </cfRule>
    <cfRule type="beginsWith" dxfId="8860" priority="26829" operator="beginsWith" text="Lancement Projet fil rouge">
      <formula>LEFT(DO57,LEN("Lancement Projet fil rouge"))="Lancement Projet fil rouge"</formula>
    </cfRule>
    <cfRule type="beginsWith" dxfId="8859" priority="26830" operator="beginsWith" text="Vacances">
      <formula>LEFT(DO57,LEN("Vacances"))="Vacances"</formula>
    </cfRule>
    <cfRule type="beginsWith" dxfId="8858" priority="26831" operator="beginsWith" text="Séminaire d'intégration">
      <formula>LEFT(DO57,LEN("Séminaire d'intégration"))="Séminaire d'intégration"</formula>
    </cfRule>
    <cfRule type="beginsWith" dxfId="8857" priority="26832" operator="beginsWith" text="Accueil">
      <formula>LEFT(DO57,LEN("Accueil"))="Accueil"</formula>
    </cfRule>
    <cfRule type="beginsWith" dxfId="8856" priority="26833" operator="beginsWith" text="Stage">
      <formula>LEFT(DO57,LEN("Stage"))="Stage"</formula>
    </cfRule>
    <cfRule type="beginsWith" dxfId="8855" priority="26834" operator="beginsWith" text="Entreprise">
      <formula>LEFT(DO57,LEN("Entreprise"))="Entreprise"</formula>
    </cfRule>
    <cfRule type="beginsWith" dxfId="8854" priority="26835" operator="beginsWith" text="Voltaire">
      <formula>LEFT(DO57,LEN("Voltaire"))="Voltaire"</formula>
    </cfRule>
  </conditionalFormatting>
  <conditionalFormatting sqref="DO61">
    <cfRule type="beginsWith" dxfId="8853" priority="15169" operator="beginsWith" text="Projet professionnel : Séminaire PFI">
      <formula>LEFT(DO61,LEN("Projet professionnel : Séminaire PFI"))="Projet professionnel : Séminaire PFI"</formula>
    </cfRule>
    <cfRule type="beginsWith" dxfId="8852" priority="15170" operator="beginsWith" text="Lancement Projet fil rouge">
      <formula>LEFT(DO61,LEN("Lancement Projet fil rouge"))="Lancement Projet fil rouge"</formula>
    </cfRule>
    <cfRule type="beginsWith" dxfId="8851" priority="15171" operator="beginsWith" text="Vacances">
      <formula>LEFT(DO61,LEN("Vacances"))="Vacances"</formula>
    </cfRule>
    <cfRule type="beginsWith" dxfId="8850" priority="15172" operator="beginsWith" text="Séminaire d'intégration">
      <formula>LEFT(DO61,LEN("Séminaire d'intégration"))="Séminaire d'intégration"</formula>
    </cfRule>
    <cfRule type="beginsWith" dxfId="8849" priority="15173" operator="beginsWith" text="Accueil">
      <formula>LEFT(DO61,LEN("Accueil"))="Accueil"</formula>
    </cfRule>
    <cfRule type="beginsWith" dxfId="8848" priority="15174" operator="beginsWith" text="Stage">
      <formula>LEFT(DO61,LEN("Stage"))="Stage"</formula>
    </cfRule>
    <cfRule type="beginsWith" dxfId="8847" priority="15175" operator="beginsWith" text="Entreprise">
      <formula>LEFT(DO61,LEN("Entreprise"))="Entreprise"</formula>
    </cfRule>
    <cfRule type="beginsWith" dxfId="8846" priority="15176" operator="beginsWith" text="Voltaire">
      <formula>LEFT(DO61,LEN("Voltaire"))="Voltaire"</formula>
    </cfRule>
  </conditionalFormatting>
  <conditionalFormatting sqref="DO66:DO72">
    <cfRule type="beginsWith" dxfId="8845" priority="26652" operator="beginsWith" text="Projet professionnel : Séminaire PFI">
      <formula>LEFT(DO66,LEN("Projet professionnel : Séminaire PFI"))="Projet professionnel : Séminaire PFI"</formula>
    </cfRule>
    <cfRule type="beginsWith" dxfId="8844" priority="26653" operator="beginsWith" text="Lancement Projet fil rouge">
      <formula>LEFT(DO66,LEN("Lancement Projet fil rouge"))="Lancement Projet fil rouge"</formula>
    </cfRule>
    <cfRule type="beginsWith" dxfId="8843" priority="26654" operator="beginsWith" text="Vacances">
      <formula>LEFT(DO66,LEN("Vacances"))="Vacances"</formula>
    </cfRule>
    <cfRule type="beginsWith" dxfId="8842" priority="26655" operator="beginsWith" text="Séminaire d'intégration">
      <formula>LEFT(DO66,LEN("Séminaire d'intégration"))="Séminaire d'intégration"</formula>
    </cfRule>
    <cfRule type="beginsWith" dxfId="8841" priority="26656" operator="beginsWith" text="Accueil">
      <formula>LEFT(DO66,LEN("Accueil"))="Accueil"</formula>
    </cfRule>
    <cfRule type="beginsWith" dxfId="8840" priority="26657" operator="beginsWith" text="Stage">
      <formula>LEFT(DO66,LEN("Stage"))="Stage"</formula>
    </cfRule>
    <cfRule type="beginsWith" dxfId="8839" priority="26658" operator="beginsWith" text="Entreprise">
      <formula>LEFT(DO66,LEN("Entreprise"))="Entreprise"</formula>
    </cfRule>
    <cfRule type="beginsWith" dxfId="8838" priority="26659" operator="beginsWith" text="Voltaire">
      <formula>LEFT(DO66,LEN("Voltaire"))="Voltaire"</formula>
    </cfRule>
  </conditionalFormatting>
  <conditionalFormatting sqref="DO73:DO75">
    <cfRule type="beginsWith" dxfId="8837" priority="26780" operator="beginsWith" text="Projet professionnel : Séminaire PFI">
      <formula>LEFT(DO73,LEN("Projet professionnel : Séminaire PFI"))="Projet professionnel : Séminaire PFI"</formula>
    </cfRule>
    <cfRule type="beginsWith" dxfId="8836" priority="26781" operator="beginsWith" text="Lancement Projet fil rouge">
      <formula>LEFT(DO73,LEN("Lancement Projet fil rouge"))="Lancement Projet fil rouge"</formula>
    </cfRule>
    <cfRule type="beginsWith" dxfId="8835" priority="26782" operator="beginsWith" text="Vacances">
      <formula>LEFT(DO73,LEN("Vacances"))="Vacances"</formula>
    </cfRule>
    <cfRule type="beginsWith" dxfId="8834" priority="26783" operator="beginsWith" text="Séminaire d'intégration">
      <formula>LEFT(DO73,LEN("Séminaire d'intégration"))="Séminaire d'intégration"</formula>
    </cfRule>
    <cfRule type="beginsWith" dxfId="8833" priority="26784" operator="beginsWith" text="Accueil">
      <formula>LEFT(DO73,LEN("Accueil"))="Accueil"</formula>
    </cfRule>
    <cfRule type="beginsWith" dxfId="8832" priority="26785" operator="beginsWith" text="Stage">
      <formula>LEFT(DO73,LEN("Stage"))="Stage"</formula>
    </cfRule>
    <cfRule type="beginsWith" dxfId="8831" priority="26786" operator="beginsWith" text="Entreprise">
      <formula>LEFT(DO73,LEN("Entreprise"))="Entreprise"</formula>
    </cfRule>
    <cfRule type="beginsWith" dxfId="8830" priority="26787" operator="beginsWith" text="Voltaire">
      <formula>LEFT(DO73,LEN("Voltaire"))="Voltaire"</formula>
    </cfRule>
  </conditionalFormatting>
  <conditionalFormatting sqref="DO76">
    <cfRule type="beginsWith" dxfId="8829" priority="26668" operator="beginsWith" text="Projet professionnel : Séminaire PFI">
      <formula>LEFT(DO76,LEN("Projet professionnel : Séminaire PFI"))="Projet professionnel : Séminaire PFI"</formula>
    </cfRule>
    <cfRule type="beginsWith" dxfId="8828" priority="26669" operator="beginsWith" text="Lancement Projet fil rouge">
      <formula>LEFT(DO76,LEN("Lancement Projet fil rouge"))="Lancement Projet fil rouge"</formula>
    </cfRule>
    <cfRule type="beginsWith" dxfId="8827" priority="26670" operator="beginsWith" text="Vacances">
      <formula>LEFT(DO76,LEN("Vacances"))="Vacances"</formula>
    </cfRule>
    <cfRule type="beginsWith" dxfId="8826" priority="26671" operator="beginsWith" text="Séminaire d'intégration">
      <formula>LEFT(DO76,LEN("Séminaire d'intégration"))="Séminaire d'intégration"</formula>
    </cfRule>
    <cfRule type="beginsWith" dxfId="8825" priority="26672" operator="beginsWith" text="Accueil">
      <formula>LEFT(DO76,LEN("Accueil"))="Accueil"</formula>
    </cfRule>
    <cfRule type="beginsWith" dxfId="8824" priority="26673" operator="beginsWith" text="Stage">
      <formula>LEFT(DO76,LEN("Stage"))="Stage"</formula>
    </cfRule>
    <cfRule type="beginsWith" dxfId="8823" priority="26674" operator="beginsWith" text="Entreprise">
      <formula>LEFT(DO76,LEN("Entreprise"))="Entreprise"</formula>
    </cfRule>
    <cfRule type="beginsWith" dxfId="8822" priority="26675" operator="beginsWith" text="Voltaire">
      <formula>LEFT(DO76,LEN("Voltaire"))="Voltaire"</formula>
    </cfRule>
  </conditionalFormatting>
  <conditionalFormatting sqref="DO87:DO92">
    <cfRule type="beginsWith" dxfId="8821" priority="26788" operator="beginsWith" text="Projet professionnel : Séminaire PFI">
      <formula>LEFT(DO87,LEN("Projet professionnel : Séminaire PFI"))="Projet professionnel : Séminaire PFI"</formula>
    </cfRule>
    <cfRule type="beginsWith" dxfId="8820" priority="26789" operator="beginsWith" text="Lancement Projet fil rouge">
      <formula>LEFT(DO87,LEN("Lancement Projet fil rouge"))="Lancement Projet fil rouge"</formula>
    </cfRule>
    <cfRule type="beginsWith" dxfId="8819" priority="26790" operator="beginsWith" text="Vacances">
      <formula>LEFT(DO87,LEN("Vacances"))="Vacances"</formula>
    </cfRule>
    <cfRule type="beginsWith" dxfId="8818" priority="26791" operator="beginsWith" text="Séminaire d'intégration">
      <formula>LEFT(DO87,LEN("Séminaire d'intégration"))="Séminaire d'intégration"</formula>
    </cfRule>
    <cfRule type="beginsWith" dxfId="8817" priority="26792" operator="beginsWith" text="Accueil">
      <formula>LEFT(DO87,LEN("Accueil"))="Accueil"</formula>
    </cfRule>
    <cfRule type="beginsWith" dxfId="8816" priority="26793" operator="beginsWith" text="Stage">
      <formula>LEFT(DO87,LEN("Stage"))="Stage"</formula>
    </cfRule>
    <cfRule type="beginsWith" dxfId="8815" priority="26794" operator="beginsWith" text="Entreprise">
      <formula>LEFT(DO87,LEN("Entreprise"))="Entreprise"</formula>
    </cfRule>
    <cfRule type="beginsWith" dxfId="8814" priority="26795" operator="beginsWith" text="Voltaire">
      <formula>LEFT(DO87,LEN("Voltaire"))="Voltaire"</formula>
    </cfRule>
  </conditionalFormatting>
  <conditionalFormatting sqref="DO93:DO94">
    <cfRule type="beginsWith" dxfId="8813" priority="26796" operator="beginsWith" text="Projet professionnel : Séminaire PFI">
      <formula>LEFT(DO93,LEN("Projet professionnel : Séminaire PFI"))="Projet professionnel : Séminaire PFI"</formula>
    </cfRule>
    <cfRule type="beginsWith" dxfId="8812" priority="26797" operator="beginsWith" text="Lancement Projet fil rouge">
      <formula>LEFT(DO93,LEN("Lancement Projet fil rouge"))="Lancement Projet fil rouge"</formula>
    </cfRule>
    <cfRule type="beginsWith" dxfId="8811" priority="26798" operator="beginsWith" text="Vacances">
      <formula>LEFT(DO93,LEN("Vacances"))="Vacances"</formula>
    </cfRule>
    <cfRule type="beginsWith" dxfId="8810" priority="26799" operator="beginsWith" text="Séminaire d'intégration">
      <formula>LEFT(DO93,LEN("Séminaire d'intégration"))="Séminaire d'intégration"</formula>
    </cfRule>
    <cfRule type="beginsWith" dxfId="8809" priority="26800" operator="beginsWith" text="Accueil">
      <formula>LEFT(DO93,LEN("Accueil"))="Accueil"</formula>
    </cfRule>
    <cfRule type="beginsWith" dxfId="8808" priority="26801" operator="beginsWith" text="Stage">
      <formula>LEFT(DO93,LEN("Stage"))="Stage"</formula>
    </cfRule>
    <cfRule type="beginsWith" dxfId="8807" priority="26802" operator="beginsWith" text="Entreprise">
      <formula>LEFT(DO93,LEN("Entreprise"))="Entreprise"</formula>
    </cfRule>
    <cfRule type="beginsWith" dxfId="8806" priority="26803" operator="beginsWith" text="Voltaire">
      <formula>LEFT(DO93,LEN("Voltaire"))="Voltaire"</formula>
    </cfRule>
  </conditionalFormatting>
  <conditionalFormatting sqref="DO95:DO101">
    <cfRule type="beginsWith" dxfId="8805" priority="26764" operator="beginsWith" text="Projet professionnel : Séminaire PFI">
      <formula>LEFT(DO95,LEN("Projet professionnel : Séminaire PFI"))="Projet professionnel : Séminaire PFI"</formula>
    </cfRule>
    <cfRule type="beginsWith" dxfId="8804" priority="26765" operator="beginsWith" text="Lancement Projet fil rouge">
      <formula>LEFT(DO95,LEN("Lancement Projet fil rouge"))="Lancement Projet fil rouge"</formula>
    </cfRule>
    <cfRule type="beginsWith" dxfId="8803" priority="26766" operator="beginsWith" text="Vacances">
      <formula>LEFT(DO95,LEN("Vacances"))="Vacances"</formula>
    </cfRule>
    <cfRule type="beginsWith" dxfId="8802" priority="26767" operator="beginsWith" text="Séminaire d'intégration">
      <formula>LEFT(DO95,LEN("Séminaire d'intégration"))="Séminaire d'intégration"</formula>
    </cfRule>
    <cfRule type="beginsWith" dxfId="8801" priority="26768" operator="beginsWith" text="Accueil">
      <formula>LEFT(DO95,LEN("Accueil"))="Accueil"</formula>
    </cfRule>
    <cfRule type="beginsWith" dxfId="8800" priority="26769" operator="beginsWith" text="Stage">
      <formula>LEFT(DO95,LEN("Stage"))="Stage"</formula>
    </cfRule>
    <cfRule type="beginsWith" dxfId="8799" priority="26770" operator="beginsWith" text="Entreprise">
      <formula>LEFT(DO95,LEN("Entreprise"))="Entreprise"</formula>
    </cfRule>
    <cfRule type="beginsWith" dxfId="8798" priority="26771" operator="beginsWith" text="Voltaire">
      <formula>LEFT(DO95,LEN("Voltaire"))="Voltaire"</formula>
    </cfRule>
  </conditionalFormatting>
  <conditionalFormatting sqref="DO102:DO109">
    <cfRule type="beginsWith" dxfId="8797" priority="26748" operator="beginsWith" text="Projet professionnel : Séminaire PFI">
      <formula>LEFT(DO102,LEN("Projet professionnel : Séminaire PFI"))="Projet professionnel : Séminaire PFI"</formula>
    </cfRule>
    <cfRule type="beginsWith" dxfId="8796" priority="26749" operator="beginsWith" text="Lancement Projet fil rouge">
      <formula>LEFT(DO102,LEN("Lancement Projet fil rouge"))="Lancement Projet fil rouge"</formula>
    </cfRule>
    <cfRule type="beginsWith" dxfId="8795" priority="26750" operator="beginsWith" text="Vacances">
      <formula>LEFT(DO102,LEN("Vacances"))="Vacances"</formula>
    </cfRule>
    <cfRule type="beginsWith" dxfId="8794" priority="26751" operator="beginsWith" text="Séminaire d'intégration">
      <formula>LEFT(DO102,LEN("Séminaire d'intégration"))="Séminaire d'intégration"</formula>
    </cfRule>
    <cfRule type="beginsWith" dxfId="8793" priority="26752" operator="beginsWith" text="Accueil">
      <formula>LEFT(DO102,LEN("Accueil"))="Accueil"</formula>
    </cfRule>
    <cfRule type="beginsWith" dxfId="8792" priority="26753" operator="beginsWith" text="Stage">
      <formula>LEFT(DO102,LEN("Stage"))="Stage"</formula>
    </cfRule>
    <cfRule type="beginsWith" dxfId="8791" priority="26754" operator="beginsWith" text="Entreprise">
      <formula>LEFT(DO102,LEN("Entreprise"))="Entreprise"</formula>
    </cfRule>
    <cfRule type="beginsWith" dxfId="8790" priority="26755" operator="beginsWith" text="Voltaire">
      <formula>LEFT(DO102,LEN("Voltaire"))="Voltaire"</formula>
    </cfRule>
  </conditionalFormatting>
  <conditionalFormatting sqref="DO115">
    <cfRule type="beginsWith" dxfId="8789" priority="15194" operator="beginsWith" text="Projet professionnel : Séminaire PFI">
      <formula>LEFT(DO115,LEN("Projet professionnel : Séminaire PFI"))="Projet professionnel : Séminaire PFI"</formula>
    </cfRule>
    <cfRule type="beginsWith" dxfId="8788" priority="15195" operator="beginsWith" text="Lancement Projet fil rouge">
      <formula>LEFT(DO115,LEN("Lancement Projet fil rouge"))="Lancement Projet fil rouge"</formula>
    </cfRule>
    <cfRule type="beginsWith" dxfId="8787" priority="15196" operator="beginsWith" text="Vacances">
      <formula>LEFT(DO115,LEN("Vacances"))="Vacances"</formula>
    </cfRule>
    <cfRule type="beginsWith" dxfId="8786" priority="15197" operator="beginsWith" text="Séminaire d'intégration">
      <formula>LEFT(DO115,LEN("Séminaire d'intégration"))="Séminaire d'intégration"</formula>
    </cfRule>
    <cfRule type="beginsWith" dxfId="8785" priority="15198" operator="beginsWith" text="Accueil">
      <formula>LEFT(DO115,LEN("Accueil"))="Accueil"</formula>
    </cfRule>
    <cfRule type="beginsWith" dxfId="8784" priority="15199" operator="beginsWith" text="Stage">
      <formula>LEFT(DO115,LEN("Stage"))="Stage"</formula>
    </cfRule>
    <cfRule type="beginsWith" dxfId="8783" priority="15200" operator="beginsWith" text="Entreprise">
      <formula>LEFT(DO115,LEN("Entreprise"))="Entreprise"</formula>
    </cfRule>
    <cfRule type="beginsWith" dxfId="8782" priority="15201" operator="beginsWith" text="Voltaire">
      <formula>LEFT(DO115,LEN("Voltaire"))="Voltaire"</formula>
    </cfRule>
  </conditionalFormatting>
  <conditionalFormatting sqref="DO121">
    <cfRule type="beginsWith" dxfId="8781" priority="26604" operator="beginsWith" text="Projet professionnel : Séminaire PFI">
      <formula>LEFT(DO121,LEN("Projet professionnel : Séminaire PFI"))="Projet professionnel : Séminaire PFI"</formula>
    </cfRule>
    <cfRule type="beginsWith" dxfId="8780" priority="26605" operator="beginsWith" text="Lancement Projet fil rouge">
      <formula>LEFT(DO121,LEN("Lancement Projet fil rouge"))="Lancement Projet fil rouge"</formula>
    </cfRule>
    <cfRule type="beginsWith" dxfId="8779" priority="26606" operator="beginsWith" text="Vacances">
      <formula>LEFT(DO121,LEN("Vacances"))="Vacances"</formula>
    </cfRule>
    <cfRule type="beginsWith" dxfId="8778" priority="26607" operator="beginsWith" text="Séminaire d'intégration">
      <formula>LEFT(DO121,LEN("Séminaire d'intégration"))="Séminaire d'intégration"</formula>
    </cfRule>
    <cfRule type="beginsWith" dxfId="8777" priority="26608" operator="beginsWith" text="Accueil">
      <formula>LEFT(DO121,LEN("Accueil"))="Accueil"</formula>
    </cfRule>
    <cfRule type="beginsWith" dxfId="8776" priority="26609" operator="beginsWith" text="Stage">
      <formula>LEFT(DO121,LEN("Stage"))="Stage"</formula>
    </cfRule>
    <cfRule type="beginsWith" dxfId="8775" priority="26610" operator="beginsWith" text="Entreprise">
      <formula>LEFT(DO121,LEN("Entreprise"))="Entreprise"</formula>
    </cfRule>
    <cfRule type="beginsWith" dxfId="8774" priority="26611" operator="beginsWith" text="Voltaire">
      <formula>LEFT(DO121,LEN("Voltaire"))="Voltaire"</formula>
    </cfRule>
  </conditionalFormatting>
  <conditionalFormatting sqref="DO126:DO128">
    <cfRule type="beginsWith" dxfId="8773" priority="26860" operator="beginsWith" text="Projet professionnel : Séminaire PFI">
      <formula>LEFT(DO126,LEN("Projet professionnel : Séminaire PFI"))="Projet professionnel : Séminaire PFI"</formula>
    </cfRule>
    <cfRule type="beginsWith" dxfId="8772" priority="26861" operator="beginsWith" text="Lancement Projet fil rouge">
      <formula>LEFT(DO126,LEN("Lancement Projet fil rouge"))="Lancement Projet fil rouge"</formula>
    </cfRule>
    <cfRule type="beginsWith" dxfId="8771" priority="26862" operator="beginsWith" text="Vacances">
      <formula>LEFT(DO126,LEN("Vacances"))="Vacances"</formula>
    </cfRule>
    <cfRule type="beginsWith" dxfId="8770" priority="26863" operator="beginsWith" text="Séminaire d'intégration">
      <formula>LEFT(DO126,LEN("Séminaire d'intégration"))="Séminaire d'intégration"</formula>
    </cfRule>
    <cfRule type="beginsWith" dxfId="8769" priority="26864" operator="beginsWith" text="Accueil">
      <formula>LEFT(DO126,LEN("Accueil"))="Accueil"</formula>
    </cfRule>
    <cfRule type="beginsWith" dxfId="8768" priority="26865" operator="beginsWith" text="Stage">
      <formula>LEFT(DO126,LEN("Stage"))="Stage"</formula>
    </cfRule>
    <cfRule type="beginsWith" dxfId="8767" priority="26866" operator="beginsWith" text="Entreprise">
      <formula>LEFT(DO126,LEN("Entreprise"))="Entreprise"</formula>
    </cfRule>
    <cfRule type="beginsWith" dxfId="8766" priority="26867" operator="beginsWith" text="Voltaire">
      <formula>LEFT(DO126,LEN("Voltaire"))="Voltaire"</formula>
    </cfRule>
  </conditionalFormatting>
  <conditionalFormatting sqref="DO129:DO139">
    <cfRule type="beginsWith" dxfId="8765" priority="26612" operator="beginsWith" text="Projet professionnel : Séminaire PFI">
      <formula>LEFT(DO129,LEN("Projet professionnel : Séminaire PFI"))="Projet professionnel : Séminaire PFI"</formula>
    </cfRule>
    <cfRule type="beginsWith" dxfId="8764" priority="26613" operator="beginsWith" text="Lancement Projet fil rouge">
      <formula>LEFT(DO129,LEN("Lancement Projet fil rouge"))="Lancement Projet fil rouge"</formula>
    </cfRule>
    <cfRule type="beginsWith" dxfId="8763" priority="26614" operator="beginsWith" text="Vacances">
      <formula>LEFT(DO129,LEN("Vacances"))="Vacances"</formula>
    </cfRule>
    <cfRule type="beginsWith" dxfId="8762" priority="26615" operator="beginsWith" text="Séminaire d'intégration">
      <formula>LEFT(DO129,LEN("Séminaire d'intégration"))="Séminaire d'intégration"</formula>
    </cfRule>
    <cfRule type="beginsWith" dxfId="8761" priority="26616" operator="beginsWith" text="Accueil">
      <formula>LEFT(DO129,LEN("Accueil"))="Accueil"</formula>
    </cfRule>
    <cfRule type="beginsWith" dxfId="8760" priority="26617" operator="beginsWith" text="Stage">
      <formula>LEFT(DO129,LEN("Stage"))="Stage"</formula>
    </cfRule>
    <cfRule type="beginsWith" dxfId="8759" priority="26618" operator="beginsWith" text="Entreprise">
      <formula>LEFT(DO129,LEN("Entreprise"))="Entreprise"</formula>
    </cfRule>
    <cfRule type="beginsWith" dxfId="8758" priority="26619" operator="beginsWith" text="Voltaire">
      <formula>LEFT(DO129,LEN("Voltaire"))="Voltaire"</formula>
    </cfRule>
  </conditionalFormatting>
  <conditionalFormatting sqref="DO151:DO154">
    <cfRule type="beginsWith" dxfId="8757" priority="24064" operator="beginsWith" text="Projet professionnel : Séminaire PFI">
      <formula>LEFT(DO151,LEN("Projet professionnel : Séminaire PFI"))="Projet professionnel : Séminaire PFI"</formula>
    </cfRule>
    <cfRule type="beginsWith" dxfId="8756" priority="24065" operator="beginsWith" text="Lancement Projet fil rouge">
      <formula>LEFT(DO151,LEN("Lancement Projet fil rouge"))="Lancement Projet fil rouge"</formula>
    </cfRule>
    <cfRule type="beginsWith" dxfId="8755" priority="24066" operator="beginsWith" text="Vacances">
      <formula>LEFT(DO151,LEN("Vacances"))="Vacances"</formula>
    </cfRule>
    <cfRule type="beginsWith" dxfId="8754" priority="24067" operator="beginsWith" text="Séminaire d'intégration">
      <formula>LEFT(DO151,LEN("Séminaire d'intégration"))="Séminaire d'intégration"</formula>
    </cfRule>
    <cfRule type="beginsWith" dxfId="8753" priority="24068" operator="beginsWith" text="Accueil">
      <formula>LEFT(DO151,LEN("Accueil"))="Accueil"</formula>
    </cfRule>
    <cfRule type="beginsWith" dxfId="8752" priority="24069" operator="beginsWith" text="Stage">
      <formula>LEFT(DO151,LEN("Stage"))="Stage"</formula>
    </cfRule>
    <cfRule type="beginsWith" dxfId="8751" priority="24070" operator="beginsWith" text="Entreprise">
      <formula>LEFT(DO151,LEN("Entreprise"))="Entreprise"</formula>
    </cfRule>
    <cfRule type="beginsWith" dxfId="8750" priority="24071" operator="beginsWith" text="Voltaire">
      <formula>LEFT(DO151,LEN("Voltaire"))="Voltaire"</formula>
    </cfRule>
  </conditionalFormatting>
  <conditionalFormatting sqref="DO146">
    <cfRule type="beginsWith" dxfId="8749" priority="15161" operator="beginsWith" text="Projet professionnel : Séminaire PFI">
      <formula>LEFT(DO146,LEN("Projet professionnel : Séminaire PFI"))="Projet professionnel : Séminaire PFI"</formula>
    </cfRule>
    <cfRule type="beginsWith" dxfId="8748" priority="15162" operator="beginsWith" text="Lancement Projet fil rouge">
      <formula>LEFT(DO146,LEN("Lancement Projet fil rouge"))="Lancement Projet fil rouge"</formula>
    </cfRule>
    <cfRule type="beginsWith" dxfId="8747" priority="15163" operator="beginsWith" text="Vacances">
      <formula>LEFT(DO146,LEN("Vacances"))="Vacances"</formula>
    </cfRule>
    <cfRule type="beginsWith" dxfId="8746" priority="15164" operator="beginsWith" text="Séminaire d'intégration">
      <formula>LEFT(DO146,LEN("Séminaire d'intégration"))="Séminaire d'intégration"</formula>
    </cfRule>
    <cfRule type="beginsWith" dxfId="8745" priority="15165" operator="beginsWith" text="Accueil">
      <formula>LEFT(DO146,LEN("Accueil"))="Accueil"</formula>
    </cfRule>
    <cfRule type="beginsWith" dxfId="8744" priority="15166" operator="beginsWith" text="Stage">
      <formula>LEFT(DO146,LEN("Stage"))="Stage"</formula>
    </cfRule>
    <cfRule type="beginsWith" dxfId="8743" priority="15167" operator="beginsWith" text="Entreprise">
      <formula>LEFT(DO146,LEN("Entreprise"))="Entreprise"</formula>
    </cfRule>
    <cfRule type="beginsWith" dxfId="8742" priority="15168" operator="beginsWith" text="Voltaire">
      <formula>LEFT(DO146,LEN("Voltaire"))="Voltaire"</formula>
    </cfRule>
  </conditionalFormatting>
  <conditionalFormatting sqref="DO151">
    <cfRule type="beginsWith" dxfId="8741" priority="24072" operator="beginsWith" text="Projet professionnel : Séminaire PFI">
      <formula>LEFT(DO151,LEN("Projet professionnel : Séminaire PFI"))="Projet professionnel : Séminaire PFI"</formula>
    </cfRule>
    <cfRule type="beginsWith" dxfId="8740" priority="24073" operator="beginsWith" text="Lancement Projet fil rouge">
      <formula>LEFT(DO151,LEN("Lancement Projet fil rouge"))="Lancement Projet fil rouge"</formula>
    </cfRule>
    <cfRule type="beginsWith" dxfId="8739" priority="24074" operator="beginsWith" text="Vacances">
      <formula>LEFT(DO151,LEN("Vacances"))="Vacances"</formula>
    </cfRule>
    <cfRule type="beginsWith" dxfId="8738" priority="24075" operator="beginsWith" text="Séminaire d'intégration">
      <formula>LEFT(DO151,LEN("Séminaire d'intégration"))="Séminaire d'intégration"</formula>
    </cfRule>
    <cfRule type="beginsWith" dxfId="8737" priority="24076" operator="beginsWith" text="Accueil">
      <formula>LEFT(DO151,LEN("Accueil"))="Accueil"</formula>
    </cfRule>
    <cfRule type="beginsWith" dxfId="8736" priority="24077" operator="beginsWith" text="Stage">
      <formula>LEFT(DO151,LEN("Stage"))="Stage"</formula>
    </cfRule>
    <cfRule type="beginsWith" dxfId="8735" priority="24078" operator="beginsWith" text="Entreprise">
      <formula>LEFT(DO151,LEN("Entreprise"))="Entreprise"</formula>
    </cfRule>
    <cfRule type="beginsWith" dxfId="8734" priority="24079" operator="beginsWith" text="Voltaire">
      <formula>LEFT(DO151,LEN("Voltaire"))="Voltaire"</formula>
    </cfRule>
  </conditionalFormatting>
  <conditionalFormatting sqref="DO155:DO165">
    <cfRule type="beginsWith" dxfId="8733" priority="15153" operator="beginsWith" text="Projet professionnel : Séminaire PFI">
      <formula>LEFT(DO155,LEN("Projet professionnel : Séminaire PFI"))="Projet professionnel : Séminaire PFI"</formula>
    </cfRule>
    <cfRule type="beginsWith" dxfId="8732" priority="15154" operator="beginsWith" text="Lancement Projet fil rouge">
      <formula>LEFT(DO155,LEN("Lancement Projet fil rouge"))="Lancement Projet fil rouge"</formula>
    </cfRule>
    <cfRule type="beginsWith" dxfId="8731" priority="15155" operator="beginsWith" text="Vacances">
      <formula>LEFT(DO155,LEN("Vacances"))="Vacances"</formula>
    </cfRule>
    <cfRule type="beginsWith" dxfId="8730" priority="15156" operator="beginsWith" text="Séminaire d'intégration">
      <formula>LEFT(DO155,LEN("Séminaire d'intégration"))="Séminaire d'intégration"</formula>
    </cfRule>
    <cfRule type="beginsWith" dxfId="8729" priority="15157" operator="beginsWith" text="Accueil">
      <formula>LEFT(DO155,LEN("Accueil"))="Accueil"</formula>
    </cfRule>
    <cfRule type="beginsWith" dxfId="8728" priority="15158" operator="beginsWith" text="Stage">
      <formula>LEFT(DO155,LEN("Stage"))="Stage"</formula>
    </cfRule>
    <cfRule type="beginsWith" dxfId="8727" priority="15159" operator="beginsWith" text="Entreprise">
      <formula>LEFT(DO155,LEN("Entreprise"))="Entreprise"</formula>
    </cfRule>
    <cfRule type="beginsWith" dxfId="8726" priority="15160" operator="beginsWith" text="Voltaire">
      <formula>LEFT(DO155,LEN("Voltaire"))="Voltaire"</formula>
    </cfRule>
  </conditionalFormatting>
  <conditionalFormatting sqref="DO166">
    <cfRule type="beginsWith" dxfId="8725" priority="24096" operator="beginsWith" text="Projet professionnel : Séminaire PFI">
      <formula>LEFT(DO166,LEN("Projet professionnel : Séminaire PFI"))="Projet professionnel : Séminaire PFI"</formula>
    </cfRule>
    <cfRule type="beginsWith" dxfId="8724" priority="24097" operator="beginsWith" text="Lancement Projet fil rouge">
      <formula>LEFT(DO166,LEN("Lancement Projet fil rouge"))="Lancement Projet fil rouge"</formula>
    </cfRule>
    <cfRule type="beginsWith" dxfId="8723" priority="24098" operator="beginsWith" text="Vacances">
      <formula>LEFT(DO166,LEN("Vacances"))="Vacances"</formula>
    </cfRule>
    <cfRule type="beginsWith" dxfId="8722" priority="24099" operator="beginsWith" text="Séminaire d'intégration">
      <formula>LEFT(DO166,LEN("Séminaire d'intégration"))="Séminaire d'intégration"</formula>
    </cfRule>
    <cfRule type="beginsWith" dxfId="8721" priority="24100" operator="beginsWith" text="Accueil">
      <formula>LEFT(DO166,LEN("Accueil"))="Accueil"</formula>
    </cfRule>
    <cfRule type="beginsWith" dxfId="8720" priority="24101" operator="beginsWith" text="Stage">
      <formula>LEFT(DO166,LEN("Stage"))="Stage"</formula>
    </cfRule>
    <cfRule type="beginsWith" dxfId="8719" priority="24102" operator="beginsWith" text="Entreprise">
      <formula>LEFT(DO166,LEN("Entreprise"))="Entreprise"</formula>
    </cfRule>
    <cfRule type="beginsWith" dxfId="8718" priority="24103" operator="beginsWith" text="Voltaire">
      <formula>LEFT(DO166,LEN("Voltaire"))="Voltaire"</formula>
    </cfRule>
    <cfRule type="beginsWith" dxfId="8717" priority="24104" operator="beginsWith" text="Projet professionnel : Séminaire PFI">
      <formula>LEFT(DO166,LEN("Projet professionnel : Séminaire PFI"))="Projet professionnel : Séminaire PFI"</formula>
    </cfRule>
    <cfRule type="beginsWith" dxfId="8716" priority="24105" operator="beginsWith" text="Lancement Projet fil rouge">
      <formula>LEFT(DO166,LEN("Lancement Projet fil rouge"))="Lancement Projet fil rouge"</formula>
    </cfRule>
    <cfRule type="beginsWith" dxfId="8715" priority="24106" operator="beginsWith" text="Vacances">
      <formula>LEFT(DO166,LEN("Vacances"))="Vacances"</formula>
    </cfRule>
    <cfRule type="beginsWith" dxfId="8714" priority="24107" operator="beginsWith" text="Séminaire d'intégration">
      <formula>LEFT(DO166,LEN("Séminaire d'intégration"))="Séminaire d'intégration"</formula>
    </cfRule>
    <cfRule type="beginsWith" dxfId="8713" priority="24108" operator="beginsWith" text="Accueil">
      <formula>LEFT(DO166,LEN("Accueil"))="Accueil"</formula>
    </cfRule>
    <cfRule type="beginsWith" dxfId="8712" priority="24109" operator="beginsWith" text="Stage">
      <formula>LEFT(DO166,LEN("Stage"))="Stage"</formula>
    </cfRule>
    <cfRule type="beginsWith" dxfId="8711" priority="24110" operator="beginsWith" text="Entreprise">
      <formula>LEFT(DO166,LEN("Entreprise"))="Entreprise"</formula>
    </cfRule>
    <cfRule type="beginsWith" dxfId="8710" priority="24111" operator="beginsWith" text="Voltaire">
      <formula>LEFT(DO166,LEN("Voltaire"))="Voltaire"</formula>
    </cfRule>
  </conditionalFormatting>
  <conditionalFormatting sqref="DO171:DO176">
    <cfRule type="beginsWith" dxfId="8709" priority="26724" operator="beginsWith" text="Projet professionnel : Séminaire PFI">
      <formula>LEFT(DO171,LEN("Projet professionnel : Séminaire PFI"))="Projet professionnel : Séminaire PFI"</formula>
    </cfRule>
    <cfRule type="beginsWith" dxfId="8708" priority="26725" operator="beginsWith" text="Lancement Projet fil rouge">
      <formula>LEFT(DO171,LEN("Lancement Projet fil rouge"))="Lancement Projet fil rouge"</formula>
    </cfRule>
    <cfRule type="beginsWith" dxfId="8707" priority="26726" operator="beginsWith" text="Vacances">
      <formula>LEFT(DO171,LEN("Vacances"))="Vacances"</formula>
    </cfRule>
    <cfRule type="beginsWith" dxfId="8706" priority="26727" operator="beginsWith" text="Séminaire d'intégration">
      <formula>LEFT(DO171,LEN("Séminaire d'intégration"))="Séminaire d'intégration"</formula>
    </cfRule>
    <cfRule type="beginsWith" dxfId="8705" priority="26728" operator="beginsWith" text="Accueil">
      <formula>LEFT(DO171,LEN("Accueil"))="Accueil"</formula>
    </cfRule>
    <cfRule type="beginsWith" dxfId="8704" priority="26729" operator="beginsWith" text="Stage">
      <formula>LEFT(DO171,LEN("Stage"))="Stage"</formula>
    </cfRule>
    <cfRule type="beginsWith" dxfId="8703" priority="26730" operator="beginsWith" text="Entreprise">
      <formula>LEFT(DO171,LEN("Entreprise"))="Entreprise"</formula>
    </cfRule>
    <cfRule type="beginsWith" dxfId="8702" priority="26731" operator="beginsWith" text="Voltaire">
      <formula>LEFT(DO171,LEN("Voltaire"))="Voltaire"</formula>
    </cfRule>
  </conditionalFormatting>
  <conditionalFormatting sqref="DO177:DO191">
    <cfRule type="beginsWith" dxfId="8701" priority="26564" operator="beginsWith" text="Projet professionnel : Séminaire PFI">
      <formula>LEFT(DO177,LEN("Projet professionnel : Séminaire PFI"))="Projet professionnel : Séminaire PFI"</formula>
    </cfRule>
    <cfRule type="beginsWith" dxfId="8700" priority="26565" operator="beginsWith" text="Lancement Projet fil rouge">
      <formula>LEFT(DO177,LEN("Lancement Projet fil rouge"))="Lancement Projet fil rouge"</formula>
    </cfRule>
    <cfRule type="beginsWith" dxfId="8699" priority="26566" operator="beginsWith" text="Vacances">
      <formula>LEFT(DO177,LEN("Vacances"))="Vacances"</formula>
    </cfRule>
    <cfRule type="beginsWith" dxfId="8698" priority="26567" operator="beginsWith" text="Séminaire d'intégration">
      <formula>LEFT(DO177,LEN("Séminaire d'intégration"))="Séminaire d'intégration"</formula>
    </cfRule>
    <cfRule type="beginsWith" dxfId="8697" priority="26568" operator="beginsWith" text="Accueil">
      <formula>LEFT(DO177,LEN("Accueil"))="Accueil"</formula>
    </cfRule>
    <cfRule type="beginsWith" dxfId="8696" priority="26569" operator="beginsWith" text="Stage">
      <formula>LEFT(DO177,LEN("Stage"))="Stage"</formula>
    </cfRule>
    <cfRule type="beginsWith" dxfId="8695" priority="26570" operator="beginsWith" text="Entreprise">
      <formula>LEFT(DO177,LEN("Entreprise"))="Entreprise"</formula>
    </cfRule>
    <cfRule type="beginsWith" dxfId="8694" priority="26571" operator="beginsWith" text="Voltaire">
      <formula>LEFT(DO177,LEN("Voltaire"))="Voltaire"</formula>
    </cfRule>
  </conditionalFormatting>
  <conditionalFormatting sqref="DO192:DO197">
    <cfRule type="beginsWith" dxfId="8693" priority="26716" operator="beginsWith" text="Projet professionnel : Séminaire PFI">
      <formula>LEFT(DO192,LEN("Projet professionnel : Séminaire PFI"))="Projet professionnel : Séminaire PFI"</formula>
    </cfRule>
    <cfRule type="beginsWith" dxfId="8692" priority="26717" operator="beginsWith" text="Lancement Projet fil rouge">
      <formula>LEFT(DO192,LEN("Lancement Projet fil rouge"))="Lancement Projet fil rouge"</formula>
    </cfRule>
    <cfRule type="beginsWith" dxfId="8691" priority="26718" operator="beginsWith" text="Vacances">
      <formula>LEFT(DO192,LEN("Vacances"))="Vacances"</formula>
    </cfRule>
    <cfRule type="beginsWith" dxfId="8690" priority="26719" operator="beginsWith" text="Séminaire d'intégration">
      <formula>LEFT(DO192,LEN("Séminaire d'intégration"))="Séminaire d'intégration"</formula>
    </cfRule>
    <cfRule type="beginsWith" dxfId="8689" priority="26720" operator="beginsWith" text="Accueil">
      <formula>LEFT(DO192,LEN("Accueil"))="Accueil"</formula>
    </cfRule>
    <cfRule type="beginsWith" dxfId="8688" priority="26721" operator="beginsWith" text="Stage">
      <formula>LEFT(DO192,LEN("Stage"))="Stage"</formula>
    </cfRule>
    <cfRule type="beginsWith" dxfId="8687" priority="26722" operator="beginsWith" text="Entreprise">
      <formula>LEFT(DO192,LEN("Entreprise"))="Entreprise"</formula>
    </cfRule>
    <cfRule type="beginsWith" dxfId="8686" priority="26723" operator="beginsWith" text="Voltaire">
      <formula>LEFT(DO192,LEN("Voltaire"))="Voltaire"</formula>
    </cfRule>
  </conditionalFormatting>
  <conditionalFormatting sqref="DO198:DO203">
    <cfRule type="beginsWith" dxfId="8685" priority="26852" operator="beginsWith" text="Projet professionnel : Séminaire PFI">
      <formula>LEFT(DO198,LEN("Projet professionnel : Séminaire PFI"))="Projet professionnel : Séminaire PFI"</formula>
    </cfRule>
    <cfRule type="beginsWith" dxfId="8684" priority="26853" operator="beginsWith" text="Lancement Projet fil rouge">
      <formula>LEFT(DO198,LEN("Lancement Projet fil rouge"))="Lancement Projet fil rouge"</formula>
    </cfRule>
    <cfRule type="beginsWith" dxfId="8683" priority="26854" operator="beginsWith" text="Vacances">
      <formula>LEFT(DO198,LEN("Vacances"))="Vacances"</formula>
    </cfRule>
    <cfRule type="beginsWith" dxfId="8682" priority="26855" operator="beginsWith" text="Séminaire d'intégration">
      <formula>LEFT(DO198,LEN("Séminaire d'intégration"))="Séminaire d'intégration"</formula>
    </cfRule>
    <cfRule type="beginsWith" dxfId="8681" priority="26856" operator="beginsWith" text="Accueil">
      <formula>LEFT(DO198,LEN("Accueil"))="Accueil"</formula>
    </cfRule>
    <cfRule type="beginsWith" dxfId="8680" priority="26857" operator="beginsWith" text="Stage">
      <formula>LEFT(DO198,LEN("Stage"))="Stage"</formula>
    </cfRule>
    <cfRule type="beginsWith" dxfId="8679" priority="26858" operator="beginsWith" text="Entreprise">
      <formula>LEFT(DO198,LEN("Entreprise"))="Entreprise"</formula>
    </cfRule>
    <cfRule type="beginsWith" dxfId="8678" priority="26859" operator="beginsWith" text="Voltaire">
      <formula>LEFT(DO198,LEN("Voltaire"))="Voltaire"</formula>
    </cfRule>
  </conditionalFormatting>
  <conditionalFormatting sqref="DO216">
    <cfRule type="beginsWith" dxfId="8677" priority="24016" operator="beginsWith" text="Projet professionnel : Séminaire PFI">
      <formula>LEFT(DO216,LEN("Projet professionnel : Séminaire PFI"))="Projet professionnel : Séminaire PFI"</formula>
    </cfRule>
    <cfRule type="beginsWith" dxfId="8676" priority="24017" operator="beginsWith" text="Lancement Projet fil rouge">
      <formula>LEFT(DO216,LEN("Lancement Projet fil rouge"))="Lancement Projet fil rouge"</formula>
    </cfRule>
    <cfRule type="beginsWith" dxfId="8675" priority="24018" operator="beginsWith" text="Vacances">
      <formula>LEFT(DO216,LEN("Vacances"))="Vacances"</formula>
    </cfRule>
    <cfRule type="beginsWith" dxfId="8674" priority="24019" operator="beginsWith" text="Séminaire d'intégration">
      <formula>LEFT(DO216,LEN("Séminaire d'intégration"))="Séminaire d'intégration"</formula>
    </cfRule>
    <cfRule type="beginsWith" dxfId="8673" priority="24020" operator="beginsWith" text="Accueil">
      <formula>LEFT(DO216,LEN("Accueil"))="Accueil"</formula>
    </cfRule>
    <cfRule type="beginsWith" dxfId="8672" priority="24021" operator="beginsWith" text="Stage">
      <formula>LEFT(DO216,LEN("Stage"))="Stage"</formula>
    </cfRule>
    <cfRule type="beginsWith" dxfId="8671" priority="24022" operator="beginsWith" text="Entreprise">
      <formula>LEFT(DO216,LEN("Entreprise"))="Entreprise"</formula>
    </cfRule>
    <cfRule type="beginsWith" dxfId="8670" priority="24023" operator="beginsWith" text="Voltaire">
      <formula>LEFT(DO216,LEN("Voltaire"))="Voltaire"</formula>
    </cfRule>
    <cfRule type="beginsWith" dxfId="8669" priority="24024" operator="beginsWith" text="Projet professionnel : Séminaire PFI">
      <formula>LEFT(DO216,LEN("Projet professionnel : Séminaire PFI"))="Projet professionnel : Séminaire PFI"</formula>
    </cfRule>
    <cfRule type="beginsWith" dxfId="8668" priority="24025" operator="beginsWith" text="Lancement Projet fil rouge">
      <formula>LEFT(DO216,LEN("Lancement Projet fil rouge"))="Lancement Projet fil rouge"</formula>
    </cfRule>
    <cfRule type="beginsWith" dxfId="8667" priority="24026" operator="beginsWith" text="Vacances">
      <formula>LEFT(DO216,LEN("Vacances"))="Vacances"</formula>
    </cfRule>
    <cfRule type="beginsWith" dxfId="8666" priority="24027" operator="beginsWith" text="Séminaire d'intégration">
      <formula>LEFT(DO216,LEN("Séminaire d'intégration"))="Séminaire d'intégration"</formula>
    </cfRule>
    <cfRule type="beginsWith" dxfId="8665" priority="24028" operator="beginsWith" text="Accueil">
      <formula>LEFT(DO216,LEN("Accueil"))="Accueil"</formula>
    </cfRule>
    <cfRule type="beginsWith" dxfId="8664" priority="24029" operator="beginsWith" text="Stage">
      <formula>LEFT(DO216,LEN("Stage"))="Stage"</formula>
    </cfRule>
    <cfRule type="beginsWith" dxfId="8663" priority="24030" operator="beginsWith" text="Entreprise">
      <formula>LEFT(DO216,LEN("Entreprise"))="Entreprise"</formula>
    </cfRule>
    <cfRule type="beginsWith" dxfId="8662" priority="24031" operator="beginsWith" text="Voltaire">
      <formula>LEFT(DO216,LEN("Voltaire"))="Voltaire"</formula>
    </cfRule>
  </conditionalFormatting>
  <conditionalFormatting sqref="DO226">
    <cfRule type="beginsWith" dxfId="8661" priority="24112" operator="beginsWith" text="Projet professionnel : Séminaire PFI">
      <formula>LEFT(DO226,LEN("Projet professionnel : Séminaire PFI"))="Projet professionnel : Séminaire PFI"</formula>
    </cfRule>
    <cfRule type="beginsWith" dxfId="8660" priority="24113" operator="beginsWith" text="Lancement Projet fil rouge">
      <formula>LEFT(DO226,LEN("Lancement Projet fil rouge"))="Lancement Projet fil rouge"</formula>
    </cfRule>
    <cfRule type="beginsWith" dxfId="8659" priority="24114" operator="beginsWith" text="Vacances">
      <formula>LEFT(DO226,LEN("Vacances"))="Vacances"</formula>
    </cfRule>
    <cfRule type="beginsWith" dxfId="8658" priority="24115" operator="beginsWith" text="Séminaire d'intégration">
      <formula>LEFT(DO226,LEN("Séminaire d'intégration"))="Séminaire d'intégration"</formula>
    </cfRule>
    <cfRule type="beginsWith" dxfId="8657" priority="24116" operator="beginsWith" text="Accueil">
      <formula>LEFT(DO226,LEN("Accueil"))="Accueil"</formula>
    </cfRule>
    <cfRule type="beginsWith" dxfId="8656" priority="24117" operator="beginsWith" text="Stage">
      <formula>LEFT(DO226,LEN("Stage"))="Stage"</formula>
    </cfRule>
    <cfRule type="beginsWith" dxfId="8655" priority="24118" operator="beginsWith" text="Entreprise">
      <formula>LEFT(DO226,LEN("Entreprise"))="Entreprise"</formula>
    </cfRule>
    <cfRule type="beginsWith" dxfId="8654" priority="24119" operator="beginsWith" text="Voltaire">
      <formula>LEFT(DO226,LEN("Voltaire"))="Voltaire"</formula>
    </cfRule>
  </conditionalFormatting>
  <conditionalFormatting sqref="DO231">
    <cfRule type="beginsWith" dxfId="8653" priority="24120" operator="beginsWith" text="Projet professionnel : Séminaire PFI">
      <formula>LEFT(DO231,LEN("Projet professionnel : Séminaire PFI"))="Projet professionnel : Séminaire PFI"</formula>
    </cfRule>
    <cfRule type="beginsWith" dxfId="8652" priority="24121" operator="beginsWith" text="Lancement Projet fil rouge">
      <formula>LEFT(DO231,LEN("Lancement Projet fil rouge"))="Lancement Projet fil rouge"</formula>
    </cfRule>
    <cfRule type="beginsWith" dxfId="8651" priority="24122" operator="beginsWith" text="Vacances">
      <formula>LEFT(DO231,LEN("Vacances"))="Vacances"</formula>
    </cfRule>
    <cfRule type="beginsWith" dxfId="8650" priority="24123" operator="beginsWith" text="Séminaire d'intégration">
      <formula>LEFT(DO231,LEN("Séminaire d'intégration"))="Séminaire d'intégration"</formula>
    </cfRule>
    <cfRule type="beginsWith" dxfId="8649" priority="24124" operator="beginsWith" text="Accueil">
      <formula>LEFT(DO231,LEN("Accueil"))="Accueil"</formula>
    </cfRule>
    <cfRule type="beginsWith" dxfId="8648" priority="24125" operator="beginsWith" text="Stage">
      <formula>LEFT(DO231,LEN("Stage"))="Stage"</formula>
    </cfRule>
    <cfRule type="beginsWith" dxfId="8647" priority="24126" operator="beginsWith" text="Entreprise">
      <formula>LEFT(DO231,LEN("Entreprise"))="Entreprise"</formula>
    </cfRule>
    <cfRule type="beginsWith" dxfId="8646" priority="24127" operator="beginsWith" text="Voltaire">
      <formula>LEFT(DO231,LEN("Voltaire"))="Voltaire"</formula>
    </cfRule>
  </conditionalFormatting>
  <conditionalFormatting sqref="DO241">
    <cfRule type="beginsWith" dxfId="8645" priority="25400" operator="beginsWith" text="Projet professionnel : Séminaire PFI">
      <formula>LEFT(DO241,LEN("Projet professionnel : Séminaire PFI"))="Projet professionnel : Séminaire PFI"</formula>
    </cfRule>
    <cfRule type="beginsWith" dxfId="8644" priority="25401" operator="beginsWith" text="Lancement Projet fil rouge">
      <formula>LEFT(DO241,LEN("Lancement Projet fil rouge"))="Lancement Projet fil rouge"</formula>
    </cfRule>
    <cfRule type="beginsWith" dxfId="8643" priority="25402" operator="beginsWith" text="Vacances">
      <formula>LEFT(DO241,LEN("Vacances"))="Vacances"</formula>
    </cfRule>
    <cfRule type="beginsWith" dxfId="8642" priority="25403" operator="beginsWith" text="Séminaire d'intégration">
      <formula>LEFT(DO241,LEN("Séminaire d'intégration"))="Séminaire d'intégration"</formula>
    </cfRule>
    <cfRule type="beginsWith" dxfId="8641" priority="25404" operator="beginsWith" text="Accueil">
      <formula>LEFT(DO241,LEN("Accueil"))="Accueil"</formula>
    </cfRule>
    <cfRule type="beginsWith" dxfId="8640" priority="25405" operator="beginsWith" text="Stage">
      <formula>LEFT(DO241,LEN("Stage"))="Stage"</formula>
    </cfRule>
    <cfRule type="beginsWith" dxfId="8639" priority="25406" operator="beginsWith" text="Entreprise">
      <formula>LEFT(DO241,LEN("Entreprise"))="Entreprise"</formula>
    </cfRule>
    <cfRule type="beginsWith" dxfId="8638" priority="25407" operator="beginsWith" text="Voltaire">
      <formula>LEFT(DO241,LEN("Voltaire"))="Voltaire"</formula>
    </cfRule>
    <cfRule type="beginsWith" dxfId="8637" priority="25408" operator="beginsWith" text="Projet professionnel : Séminaire PFI">
      <formula>LEFT(DO241,LEN("Projet professionnel : Séminaire PFI"))="Projet professionnel : Séminaire PFI"</formula>
    </cfRule>
    <cfRule type="beginsWith" dxfId="8636" priority="25409" operator="beginsWith" text="Lancement Projet fil rouge">
      <formula>LEFT(DO241,LEN("Lancement Projet fil rouge"))="Lancement Projet fil rouge"</formula>
    </cfRule>
    <cfRule type="beginsWith" dxfId="8635" priority="25410" operator="beginsWith" text="Vacances">
      <formula>LEFT(DO241,LEN("Vacances"))="Vacances"</formula>
    </cfRule>
    <cfRule type="beginsWith" dxfId="8634" priority="25411" operator="beginsWith" text="Séminaire d'intégration">
      <formula>LEFT(DO241,LEN("Séminaire d'intégration"))="Séminaire d'intégration"</formula>
    </cfRule>
    <cfRule type="beginsWith" dxfId="8633" priority="25412" operator="beginsWith" text="Accueil">
      <formula>LEFT(DO241,LEN("Accueil"))="Accueil"</formula>
    </cfRule>
    <cfRule type="beginsWith" dxfId="8632" priority="25413" operator="beginsWith" text="Stage">
      <formula>LEFT(DO241,LEN("Stage"))="Stage"</formula>
    </cfRule>
    <cfRule type="beginsWith" dxfId="8631" priority="25414" operator="beginsWith" text="Entreprise">
      <formula>LEFT(DO241,LEN("Entreprise"))="Entreprise"</formula>
    </cfRule>
    <cfRule type="beginsWith" dxfId="8630" priority="25415" operator="beginsWith" text="Voltaire">
      <formula>LEFT(DO241,LEN("Voltaire"))="Voltaire"</formula>
    </cfRule>
  </conditionalFormatting>
  <conditionalFormatting sqref="DO250">
    <cfRule type="beginsWith" dxfId="8629" priority="26844" operator="beginsWith" text="Projet professionnel : Séminaire PFI">
      <formula>LEFT(DO250,LEN("Projet professionnel : Séminaire PFI"))="Projet professionnel : Séminaire PFI"</formula>
    </cfRule>
    <cfRule type="beginsWith" dxfId="8628" priority="26845" operator="beginsWith" text="Lancement Projet fil rouge">
      <formula>LEFT(DO250,LEN("Lancement Projet fil rouge"))="Lancement Projet fil rouge"</formula>
    </cfRule>
    <cfRule type="beginsWith" dxfId="8627" priority="26846" operator="beginsWith" text="Vacances">
      <formula>LEFT(DO250,LEN("Vacances"))="Vacances"</formula>
    </cfRule>
    <cfRule type="beginsWith" dxfId="8626" priority="26847" operator="beginsWith" text="Séminaire d'intégration">
      <formula>LEFT(DO250,LEN("Séminaire d'intégration"))="Séminaire d'intégration"</formula>
    </cfRule>
    <cfRule type="beginsWith" dxfId="8625" priority="26848" operator="beginsWith" text="Accueil">
      <formula>LEFT(DO250,LEN("Accueil"))="Accueil"</formula>
    </cfRule>
    <cfRule type="beginsWith" dxfId="8624" priority="26849" operator="beginsWith" text="Stage">
      <formula>LEFT(DO250,LEN("Stage"))="Stage"</formula>
    </cfRule>
    <cfRule type="beginsWith" dxfId="8623" priority="26850" operator="beginsWith" text="Entreprise">
      <formula>LEFT(DO250,LEN("Entreprise"))="Entreprise"</formula>
    </cfRule>
    <cfRule type="beginsWith" dxfId="8622" priority="26851" operator="beginsWith" text="Voltaire">
      <formula>LEFT(DO250,LEN("Voltaire"))="Voltaire"</formula>
    </cfRule>
  </conditionalFormatting>
  <conditionalFormatting sqref="DO251">
    <cfRule type="beginsWith" dxfId="8621" priority="26676" operator="beginsWith" text="Projet professionnel : Séminaire PFI">
      <formula>LEFT(DO251,LEN("Projet professionnel : Séminaire PFI"))="Projet professionnel : Séminaire PFI"</formula>
    </cfRule>
    <cfRule type="beginsWith" dxfId="8620" priority="26677" operator="beginsWith" text="Lancement Projet fil rouge">
      <formula>LEFT(DO251,LEN("Lancement Projet fil rouge"))="Lancement Projet fil rouge"</formula>
    </cfRule>
    <cfRule type="beginsWith" dxfId="8619" priority="26678" operator="beginsWith" text="Vacances">
      <formula>LEFT(DO251,LEN("Vacances"))="Vacances"</formula>
    </cfRule>
    <cfRule type="beginsWith" dxfId="8618" priority="26679" operator="beginsWith" text="Séminaire d'intégration">
      <formula>LEFT(DO251,LEN("Séminaire d'intégration"))="Séminaire d'intégration"</formula>
    </cfRule>
    <cfRule type="beginsWith" dxfId="8617" priority="26680" operator="beginsWith" text="Accueil">
      <formula>LEFT(DO251,LEN("Accueil"))="Accueil"</formula>
    </cfRule>
    <cfRule type="beginsWith" dxfId="8616" priority="26681" operator="beginsWith" text="Stage">
      <formula>LEFT(DO251,LEN("Stage"))="Stage"</formula>
    </cfRule>
    <cfRule type="beginsWith" dxfId="8615" priority="26682" operator="beginsWith" text="Entreprise">
      <formula>LEFT(DO251,LEN("Entreprise"))="Entreprise"</formula>
    </cfRule>
    <cfRule type="beginsWith" dxfId="8614" priority="26683" operator="beginsWith" text="Voltaire">
      <formula>LEFT(DO251,LEN("Voltaire"))="Voltaire"</formula>
    </cfRule>
    <cfRule type="beginsWith" dxfId="8613" priority="26684" operator="beginsWith" text="Projet professionnel : Séminaire PFI">
      <formula>LEFT(DO251,LEN("Projet professionnel : Séminaire PFI"))="Projet professionnel : Séminaire PFI"</formula>
    </cfRule>
    <cfRule type="beginsWith" dxfId="8612" priority="26685" operator="beginsWith" text="Lancement Projet fil rouge">
      <formula>LEFT(DO251,LEN("Lancement Projet fil rouge"))="Lancement Projet fil rouge"</formula>
    </cfRule>
    <cfRule type="beginsWith" dxfId="8611" priority="26686" operator="beginsWith" text="Vacances">
      <formula>LEFT(DO251,LEN("Vacances"))="Vacances"</formula>
    </cfRule>
    <cfRule type="beginsWith" dxfId="8610" priority="26687" operator="beginsWith" text="Séminaire d'intégration">
      <formula>LEFT(DO251,LEN("Séminaire d'intégration"))="Séminaire d'intégration"</formula>
    </cfRule>
    <cfRule type="beginsWith" dxfId="8609" priority="26688" operator="beginsWith" text="Accueil">
      <formula>LEFT(DO251,LEN("Accueil"))="Accueil"</formula>
    </cfRule>
    <cfRule type="beginsWith" dxfId="8608" priority="26689" operator="beginsWith" text="Stage">
      <formula>LEFT(DO251,LEN("Stage"))="Stage"</formula>
    </cfRule>
    <cfRule type="beginsWith" dxfId="8607" priority="26690" operator="beginsWith" text="Entreprise">
      <formula>LEFT(DO251,LEN("Entreprise"))="Entreprise"</formula>
    </cfRule>
    <cfRule type="beginsWith" dxfId="8606" priority="26691" operator="beginsWith" text="Voltaire">
      <formula>LEFT(DO251,LEN("Voltaire"))="Voltaire"</formula>
    </cfRule>
  </conditionalFormatting>
  <conditionalFormatting sqref="DO256">
    <cfRule type="beginsWith" dxfId="8605" priority="20157" operator="beginsWith" text="Projet professionnel : Séminaire PFI">
      <formula>LEFT(DO256,LEN("Projet professionnel : Séminaire PFI"))="Projet professionnel : Séminaire PFI"</formula>
    </cfRule>
    <cfRule type="beginsWith" dxfId="8604" priority="20158" operator="beginsWith" text="Lancement Projet fil rouge">
      <formula>LEFT(DO256,LEN("Lancement Projet fil rouge"))="Lancement Projet fil rouge"</formula>
    </cfRule>
    <cfRule type="beginsWith" dxfId="8603" priority="20159" operator="beginsWith" text="Vacances">
      <formula>LEFT(DO256,LEN("Vacances"))="Vacances"</formula>
    </cfRule>
    <cfRule type="beginsWith" dxfId="8602" priority="20160" operator="beginsWith" text="Séminaire d'intégration">
      <formula>LEFT(DO256,LEN("Séminaire d'intégration"))="Séminaire d'intégration"</formula>
    </cfRule>
    <cfRule type="beginsWith" dxfId="8601" priority="20161" operator="beginsWith" text="Accueil">
      <formula>LEFT(DO256,LEN("Accueil"))="Accueil"</formula>
    </cfRule>
    <cfRule type="beginsWith" dxfId="8600" priority="20162" operator="beginsWith" text="Stage">
      <formula>LEFT(DO256,LEN("Stage"))="Stage"</formula>
    </cfRule>
    <cfRule type="beginsWith" dxfId="8599" priority="20163" operator="beginsWith" text="Entreprise">
      <formula>LEFT(DO256,LEN("Entreprise"))="Entreprise"</formula>
    </cfRule>
    <cfRule type="beginsWith" dxfId="8598" priority="20164" operator="beginsWith" text="Voltaire">
      <formula>LEFT(DO256,LEN("Voltaire"))="Voltaire"</formula>
    </cfRule>
  </conditionalFormatting>
  <conditionalFormatting sqref="DP56:DP60">
    <cfRule type="beginsWith" dxfId="8597" priority="15210" operator="beginsWith" text="Lancement Projet fil rouge">
      <formula>LEFT(DP56,LEN("Lancement Projet fil rouge"))="Lancement Projet fil rouge"</formula>
    </cfRule>
    <cfRule type="beginsWith" dxfId="8596" priority="15211" operator="beginsWith" text="Vacances">
      <formula>LEFT(DP56,LEN("Vacances"))="Vacances"</formula>
    </cfRule>
    <cfRule type="beginsWith" dxfId="8595" priority="15212" operator="beginsWith" text="Séminaire d'intégration">
      <formula>LEFT(DP56,LEN("Séminaire d'intégration"))="Séminaire d'intégration"</formula>
    </cfRule>
    <cfRule type="beginsWith" dxfId="8594" priority="15213" operator="beginsWith" text="Accueil">
      <formula>LEFT(DP56,LEN("Accueil"))="Accueil"</formula>
    </cfRule>
    <cfRule type="beginsWith" dxfId="8593" priority="15214" operator="beginsWith" text="Stage">
      <formula>LEFT(DP56,LEN("Stage"))="Stage"</formula>
    </cfRule>
    <cfRule type="beginsWith" dxfId="8592" priority="15215" operator="beginsWith" text="Entreprise">
      <formula>LEFT(DP56,LEN("Entreprise"))="Entreprise"</formula>
    </cfRule>
    <cfRule type="beginsWith" dxfId="8591" priority="15216" operator="beginsWith" text="Voltaire">
      <formula>LEFT(DP56,LEN("Voltaire"))="Voltaire"</formula>
    </cfRule>
  </conditionalFormatting>
  <conditionalFormatting sqref="DP68">
    <cfRule type="beginsWith" dxfId="8590" priority="18621" operator="beginsWith" text="Lancement Projet fil rouge">
      <formula>LEFT(DP68,LEN("Lancement Projet fil rouge"))="Lancement Projet fil rouge"</formula>
    </cfRule>
    <cfRule type="beginsWith" dxfId="8589" priority="18622" operator="beginsWith" text="Vacances">
      <formula>LEFT(DP68,LEN("Vacances"))="Vacances"</formula>
    </cfRule>
    <cfRule type="beginsWith" dxfId="8588" priority="18623" operator="beginsWith" text="Séminaire d'intégration">
      <formula>LEFT(DP68,LEN("Séminaire d'intégration"))="Séminaire d'intégration"</formula>
    </cfRule>
    <cfRule type="beginsWith" dxfId="8587" priority="18624" operator="beginsWith" text="Accueil">
      <formula>LEFT(DP68,LEN("Accueil"))="Accueil"</formula>
    </cfRule>
    <cfRule type="beginsWith" dxfId="8586" priority="18625" operator="beginsWith" text="Stage">
      <formula>LEFT(DP68,LEN("Stage"))="Stage"</formula>
    </cfRule>
    <cfRule type="beginsWith" dxfId="8585" priority="18626" operator="beginsWith" text="Entreprise">
      <formula>LEFT(DP68,LEN("Entreprise"))="Entreprise"</formula>
    </cfRule>
    <cfRule type="beginsWith" dxfId="8584" priority="18627" operator="beginsWith" text="Voltaire">
      <formula>LEFT(DP68,LEN("Voltaire"))="Voltaire"</formula>
    </cfRule>
  </conditionalFormatting>
  <conditionalFormatting sqref="DP166:DP170">
    <cfRule type="beginsWith" dxfId="8583" priority="15177" operator="beginsWith" text="Lancement Projet fil rouge">
      <formula>LEFT(DP166,LEN("Lancement Projet fil rouge"))="Lancement Projet fil rouge"</formula>
    </cfRule>
    <cfRule type="beginsWith" dxfId="8582" priority="15178" operator="beginsWith" text="Vacances">
      <formula>LEFT(DP166,LEN("Vacances"))="Vacances"</formula>
    </cfRule>
    <cfRule type="beginsWith" dxfId="8581" priority="15179" operator="beginsWith" text="Séminaire d'intégration">
      <formula>LEFT(DP166,LEN("Séminaire d'intégration"))="Séminaire d'intégration"</formula>
    </cfRule>
    <cfRule type="beginsWith" dxfId="8580" priority="15180" operator="beginsWith" text="Accueil">
      <formula>LEFT(DP166,LEN("Accueil"))="Accueil"</formula>
    </cfRule>
    <cfRule type="beginsWith" dxfId="8579" priority="15181" operator="beginsWith" text="Stage">
      <formula>LEFT(DP166,LEN("Stage"))="Stage"</formula>
    </cfRule>
    <cfRule type="beginsWith" dxfId="8578" priority="15182" operator="beginsWith" text="Entreprise">
      <formula>LEFT(DP166,LEN("Entreprise"))="Entreprise"</formula>
    </cfRule>
    <cfRule type="beginsWith" dxfId="8577" priority="15183" operator="beginsWith" text="Voltaire">
      <formula>LEFT(DP166,LEN("Voltaire"))="Voltaire"</formula>
    </cfRule>
  </conditionalFormatting>
  <conditionalFormatting sqref="DP226">
    <cfRule type="beginsWith" dxfId="8576" priority="15184" operator="beginsWith" text="TOPHYC">
      <formula>LEFT(DP226,LEN("TOPHYC"))="TOPHYC"</formula>
    </cfRule>
    <cfRule type="beginsWith" dxfId="8575" priority="15185" operator="beginsWith" text="Global Exam">
      <formula>LEFT(DP226,LEN("Global Exam"))="Global Exam"</formula>
    </cfRule>
    <cfRule type="beginsWith" dxfId="8574" priority="15186" operator="beginsWith" text="TOMIC">
      <formula>LEFT(DP226,LEN("TOMIC"))="TOMIC"</formula>
    </cfRule>
    <cfRule type="beginsWith" dxfId="8573" priority="15187" operator="beginsWith" text="Lancement Projet fil rouge">
      <formula>LEFT(DP226,LEN("Lancement Projet fil rouge"))="Lancement Projet fil rouge"</formula>
    </cfRule>
    <cfRule type="beginsWith" dxfId="8572" priority="15188" operator="beginsWith" text="Vacances">
      <formula>LEFT(DP226,LEN("Vacances"))="Vacances"</formula>
    </cfRule>
    <cfRule type="beginsWith" dxfId="8571" priority="15189" operator="beginsWith" text="Séminaire d'intégration">
      <formula>LEFT(DP226,LEN("Séminaire d'intégration"))="Séminaire d'intégration"</formula>
    </cfRule>
    <cfRule type="beginsWith" dxfId="8570" priority="15190" operator="beginsWith" text="Accueil">
      <formula>LEFT(DP226,LEN("Accueil"))="Accueil"</formula>
    </cfRule>
    <cfRule type="beginsWith" dxfId="8569" priority="15191" operator="beginsWith" text="Stage">
      <formula>LEFT(DP226,LEN("Stage"))="Stage"</formula>
    </cfRule>
    <cfRule type="beginsWith" dxfId="8568" priority="15192" operator="beginsWith" text="Entreprise">
      <formula>LEFT(DP226,LEN("Entreprise"))="Entreprise"</formula>
    </cfRule>
    <cfRule type="beginsWith" dxfId="8567" priority="15193" operator="beginsWith" text="Voltaire">
      <formula>LEFT(DP226,LEN("Voltaire"))="Voltaire"</formula>
    </cfRule>
  </conditionalFormatting>
  <conditionalFormatting sqref="DP76:DR76 DQ77:DR79 DQ80">
    <cfRule type="beginsWith" dxfId="8566" priority="21345" operator="beginsWith" text="Lancement Projet fil rouge">
      <formula>LEFT(DP76,LEN("Lancement Projet fil rouge"))="Lancement Projet fil rouge"</formula>
    </cfRule>
    <cfRule type="beginsWith" dxfId="8565" priority="21346" operator="beginsWith" text="Vacances">
      <formula>LEFT(DP76,LEN("Vacances"))="Vacances"</formula>
    </cfRule>
    <cfRule type="beginsWith" dxfId="8564" priority="21347" operator="beginsWith" text="Séminaire d'intégration">
      <formula>LEFT(DP76,LEN("Séminaire d'intégration"))="Séminaire d'intégration"</formula>
    </cfRule>
    <cfRule type="beginsWith" dxfId="8563" priority="21348" operator="beginsWith" text="Accueil">
      <formula>LEFT(DP76,LEN("Accueil"))="Accueil"</formula>
    </cfRule>
    <cfRule type="beginsWith" dxfId="8562" priority="21351" operator="beginsWith" text="Stage">
      <formula>LEFT(DP76,LEN("Stage"))="Stage"</formula>
    </cfRule>
    <cfRule type="beginsWith" dxfId="8561" priority="21352" operator="beginsWith" text="Entreprise">
      <formula>LEFT(DP76,LEN("Entreprise"))="Entreprise"</formula>
    </cfRule>
    <cfRule type="beginsWith" dxfId="8560" priority="21354" operator="beginsWith" text="Voltaire">
      <formula>LEFT(DP76,LEN("Voltaire"))="Voltaire"</formula>
    </cfRule>
  </conditionalFormatting>
  <conditionalFormatting sqref="DQ56">
    <cfRule type="beginsWith" dxfId="8559" priority="20839" operator="beginsWith" text="Lancement Projet fil rouge">
      <formula>LEFT(DQ56,LEN("Lancement Projet fil rouge"))="Lancement Projet fil rouge"</formula>
    </cfRule>
    <cfRule type="beginsWith" dxfId="8558" priority="20840" operator="beginsWith" text="Vacances">
      <formula>LEFT(DQ56,LEN("Vacances"))="Vacances"</formula>
    </cfRule>
    <cfRule type="beginsWith" dxfId="8557" priority="20841" operator="beginsWith" text="Séminaire d'intégration">
      <formula>LEFT(DQ56,LEN("Séminaire d'intégration"))="Séminaire d'intégration"</formula>
    </cfRule>
    <cfRule type="beginsWith" dxfId="8556" priority="20842" operator="beginsWith" text="Accueil">
      <formula>LEFT(DQ56,LEN("Accueil"))="Accueil"</formula>
    </cfRule>
    <cfRule type="beginsWith" dxfId="8555" priority="20843" operator="beginsWith" text="Stage">
      <formula>LEFT(DQ56,LEN("Stage"))="Stage"</formula>
    </cfRule>
    <cfRule type="beginsWith" dxfId="8554" priority="20844" operator="beginsWith" text="Entreprise">
      <formula>LEFT(DQ56,LEN("Entreprise"))="Entreprise"</formula>
    </cfRule>
    <cfRule type="beginsWith" dxfId="8553" priority="20845" operator="beginsWith" text="Voltaire">
      <formula>LEFT(DQ56,LEN("Voltaire"))="Voltaire"</formula>
    </cfRule>
  </conditionalFormatting>
  <conditionalFormatting sqref="DQ61">
    <cfRule type="beginsWith" dxfId="8552" priority="20853" operator="beginsWith" text="Lancement Projet fil rouge">
      <formula>LEFT(DQ61,LEN("Lancement Projet fil rouge"))="Lancement Projet fil rouge"</formula>
    </cfRule>
    <cfRule type="beginsWith" dxfId="8551" priority="20854" operator="beginsWith" text="Vacances">
      <formula>LEFT(DQ61,LEN("Vacances"))="Vacances"</formula>
    </cfRule>
    <cfRule type="beginsWith" dxfId="8550" priority="20855" operator="beginsWith" text="Séminaire d'intégration">
      <formula>LEFT(DQ61,LEN("Séminaire d'intégration"))="Séminaire d'intégration"</formula>
    </cfRule>
    <cfRule type="beginsWith" dxfId="8549" priority="20856" operator="beginsWith" text="Accueil">
      <formula>LEFT(DQ61,LEN("Accueil"))="Accueil"</formula>
    </cfRule>
    <cfRule type="beginsWith" dxfId="8548" priority="20857" operator="beginsWith" text="Stage">
      <formula>LEFT(DQ61,LEN("Stage"))="Stage"</formula>
    </cfRule>
    <cfRule type="beginsWith" dxfId="8547" priority="20858" operator="beginsWith" text="Entreprise">
      <formula>LEFT(DQ61,LEN("Entreprise"))="Entreprise"</formula>
    </cfRule>
    <cfRule type="beginsWith" dxfId="8546" priority="20859" operator="beginsWith" text="Voltaire">
      <formula>LEFT(DQ61,LEN("Voltaire"))="Voltaire"</formula>
    </cfRule>
  </conditionalFormatting>
  <conditionalFormatting sqref="DQ67">
    <cfRule type="beginsWith" dxfId="8545" priority="20846" operator="beginsWith" text="Lancement Projet fil rouge">
      <formula>LEFT(DQ67,LEN("Lancement Projet fil rouge"))="Lancement Projet fil rouge"</formula>
    </cfRule>
    <cfRule type="beginsWith" dxfId="8544" priority="20847" operator="beginsWith" text="Vacances">
      <formula>LEFT(DQ67,LEN("Vacances"))="Vacances"</formula>
    </cfRule>
    <cfRule type="beginsWith" dxfId="8543" priority="20848" operator="beginsWith" text="Séminaire d'intégration">
      <formula>LEFT(DQ67,LEN("Séminaire d'intégration"))="Séminaire d'intégration"</formula>
    </cfRule>
    <cfRule type="beginsWith" dxfId="8542" priority="20849" operator="beginsWith" text="Accueil">
      <formula>LEFT(DQ67,LEN("Accueil"))="Accueil"</formula>
    </cfRule>
    <cfRule type="beginsWith" dxfId="8541" priority="20850" operator="beginsWith" text="Stage">
      <formula>LEFT(DQ67,LEN("Stage"))="Stage"</formula>
    </cfRule>
    <cfRule type="beginsWith" dxfId="8540" priority="20851" operator="beginsWith" text="Entreprise">
      <formula>LEFT(DQ67,LEN("Entreprise"))="Entreprise"</formula>
    </cfRule>
    <cfRule type="beginsWith" dxfId="8539" priority="20852" operator="beginsWith" text="Voltaire">
      <formula>LEFT(DQ67,LEN("Voltaire"))="Voltaire"</formula>
    </cfRule>
  </conditionalFormatting>
  <conditionalFormatting sqref="DQ68">
    <cfRule type="beginsWith" dxfId="8538" priority="12441" operator="beginsWith" text="Lancement Projet fil rouge">
      <formula>LEFT(DQ68,LEN("Lancement Projet fil rouge"))="Lancement Projet fil rouge"</formula>
    </cfRule>
    <cfRule type="beginsWith" dxfId="8537" priority="12442" operator="beginsWith" text="Vacances">
      <formula>LEFT(DQ68,LEN("Vacances"))="Vacances"</formula>
    </cfRule>
    <cfRule type="beginsWith" dxfId="8536" priority="12443" operator="beginsWith" text="Séminaire d'intégration">
      <formula>LEFT(DQ68,LEN("Séminaire d'intégration"))="Séminaire d'intégration"</formula>
    </cfRule>
    <cfRule type="beginsWith" dxfId="8535" priority="12444" operator="beginsWith" text="Accueil">
      <formula>LEFT(DQ68,LEN("Accueil"))="Accueil"</formula>
    </cfRule>
    <cfRule type="beginsWith" dxfId="8534" priority="12445" operator="beginsWith" text="Stage">
      <formula>LEFT(DQ68,LEN("Stage"))="Stage"</formula>
    </cfRule>
    <cfRule type="beginsWith" dxfId="8533" priority="12446" operator="beginsWith" text="Entreprise">
      <formula>LEFT(DQ68,LEN("Entreprise"))="Entreprise"</formula>
    </cfRule>
    <cfRule type="beginsWith" dxfId="8532" priority="12447" operator="beginsWith" text="Voltaire">
      <formula>LEFT(DQ68,LEN("Voltaire"))="Voltaire"</formula>
    </cfRule>
  </conditionalFormatting>
  <conditionalFormatting sqref="DQ71">
    <cfRule type="beginsWith" dxfId="8531" priority="20832" operator="beginsWith" text="Lancement Projet fil rouge">
      <formula>LEFT(DQ71,LEN("Lancement Projet fil rouge"))="Lancement Projet fil rouge"</formula>
    </cfRule>
    <cfRule type="beginsWith" dxfId="8530" priority="20833" operator="beginsWith" text="Vacances">
      <formula>LEFT(DQ71,LEN("Vacances"))="Vacances"</formula>
    </cfRule>
    <cfRule type="beginsWith" dxfId="8529" priority="20834" operator="beginsWith" text="Séminaire d'intégration">
      <formula>LEFT(DQ71,LEN("Séminaire d'intégration"))="Séminaire d'intégration"</formula>
    </cfRule>
    <cfRule type="beginsWith" dxfId="8528" priority="20835" operator="beginsWith" text="Accueil">
      <formula>LEFT(DQ71,LEN("Accueil"))="Accueil"</formula>
    </cfRule>
    <cfRule type="beginsWith" dxfId="8527" priority="20836" operator="beginsWith" text="Stage">
      <formula>LEFT(DQ71,LEN("Stage"))="Stage"</formula>
    </cfRule>
    <cfRule type="beginsWith" dxfId="8526" priority="20837" operator="beginsWith" text="Entreprise">
      <formula>LEFT(DQ71,LEN("Entreprise"))="Entreprise"</formula>
    </cfRule>
    <cfRule type="beginsWith" dxfId="8525" priority="20838" operator="beginsWith" text="Voltaire">
      <formula>LEFT(DQ71,LEN("Voltaire"))="Voltaire"</formula>
    </cfRule>
  </conditionalFormatting>
  <conditionalFormatting sqref="DQ96:DQ105">
    <cfRule type="beginsWith" dxfId="8524" priority="19882" operator="beginsWith" text="Lancement Projet fil rouge">
      <formula>LEFT(DQ96,LEN("Lancement Projet fil rouge"))="Lancement Projet fil rouge"</formula>
    </cfRule>
    <cfRule type="beginsWith" dxfId="8523" priority="19883" operator="beginsWith" text="Vacances">
      <formula>LEFT(DQ96,LEN("Vacances"))="Vacances"</formula>
    </cfRule>
    <cfRule type="beginsWith" dxfId="8522" priority="19884" operator="beginsWith" text="Séminaire d'intégration">
      <formula>LEFT(DQ96,LEN("Séminaire d'intégration"))="Séminaire d'intégration"</formula>
    </cfRule>
    <cfRule type="beginsWith" dxfId="8521" priority="19885" operator="beginsWith" text="Accueil">
      <formula>LEFT(DQ96,LEN("Accueil"))="Accueil"</formula>
    </cfRule>
    <cfRule type="beginsWith" dxfId="8520" priority="19886" operator="beginsWith" text="Stage">
      <formula>LEFT(DQ96,LEN("Stage"))="Stage"</formula>
    </cfRule>
    <cfRule type="beginsWith" dxfId="8519" priority="19887" operator="beginsWith" text="Entreprise">
      <formula>LEFT(DQ96,LEN("Entreprise"))="Entreprise"</formula>
    </cfRule>
    <cfRule type="beginsWith" dxfId="8518" priority="19888" operator="beginsWith" text="Voltaire">
      <formula>LEFT(DQ96,LEN("Voltaire"))="Voltaire"</formula>
    </cfRule>
  </conditionalFormatting>
  <conditionalFormatting sqref="DQ146">
    <cfRule type="beginsWith" dxfId="8517" priority="12553" operator="beginsWith" text="Lancement Projet fil rouge">
      <formula>LEFT(DQ146,LEN("Lancement Projet fil rouge"))="Lancement Projet fil rouge"</formula>
    </cfRule>
    <cfRule type="beginsWith" dxfId="8516" priority="12554" operator="beginsWith" text="Vacances">
      <formula>LEFT(DQ146,LEN("Vacances"))="Vacances"</formula>
    </cfRule>
    <cfRule type="beginsWith" dxfId="8515" priority="12555" operator="beginsWith" text="Séminaire d'intégration">
      <formula>LEFT(DQ146,LEN("Séminaire d'intégration"))="Séminaire d'intégration"</formula>
    </cfRule>
    <cfRule type="beginsWith" dxfId="8514" priority="12556" operator="beginsWith" text="Accueil">
      <formula>LEFT(DQ146,LEN("Accueil"))="Accueil"</formula>
    </cfRule>
    <cfRule type="beginsWith" dxfId="8513" priority="12557" operator="beginsWith" text="Stage">
      <formula>LEFT(DQ146,LEN("Stage"))="Stage"</formula>
    </cfRule>
    <cfRule type="beginsWith" dxfId="8512" priority="12558" operator="beginsWith" text="Entreprise">
      <formula>LEFT(DQ146,LEN("Entreprise"))="Entreprise"</formula>
    </cfRule>
    <cfRule type="beginsWith" dxfId="8511" priority="12559" operator="beginsWith" text="Voltaire">
      <formula>LEFT(DQ146,LEN("Voltaire"))="Voltaire"</formula>
    </cfRule>
  </conditionalFormatting>
  <conditionalFormatting sqref="DQ151">
    <cfRule type="beginsWith" dxfId="8510" priority="12476" operator="beginsWith" text="Lancement Projet fil rouge">
      <formula>LEFT(DQ151,LEN("Lancement Projet fil rouge"))="Lancement Projet fil rouge"</formula>
    </cfRule>
    <cfRule type="beginsWith" dxfId="8509" priority="12477" operator="beginsWith" text="Vacances">
      <formula>LEFT(DQ151,LEN("Vacances"))="Vacances"</formula>
    </cfRule>
    <cfRule type="beginsWith" dxfId="8508" priority="12478" operator="beginsWith" text="Séminaire d'intégration">
      <formula>LEFT(DQ151,LEN("Séminaire d'intégration"))="Séminaire d'intégration"</formula>
    </cfRule>
    <cfRule type="beginsWith" dxfId="8507" priority="12479" operator="beginsWith" text="Accueil">
      <formula>LEFT(DQ151,LEN("Accueil"))="Accueil"</formula>
    </cfRule>
    <cfRule type="beginsWith" dxfId="8506" priority="12480" operator="beginsWith" text="Stage">
      <formula>LEFT(DQ151,LEN("Stage"))="Stage"</formula>
    </cfRule>
    <cfRule type="beginsWith" dxfId="8505" priority="12481" operator="beginsWith" text="Entreprise">
      <formula>LEFT(DQ151,LEN("Entreprise"))="Entreprise"</formula>
    </cfRule>
    <cfRule type="beginsWith" dxfId="8504" priority="12482" operator="beginsWith" text="Voltaire">
      <formula>LEFT(DQ151,LEN("Voltaire"))="Voltaire"</formula>
    </cfRule>
  </conditionalFormatting>
  <conditionalFormatting sqref="DQ156">
    <cfRule type="beginsWith" dxfId="8503" priority="12483" operator="beginsWith" text="Lancement Projet fil rouge">
      <formula>LEFT(DQ156,LEN("Lancement Projet fil rouge"))="Lancement Projet fil rouge"</formula>
    </cfRule>
    <cfRule type="beginsWith" dxfId="8502" priority="12484" operator="beginsWith" text="Vacances">
      <formula>LEFT(DQ156,LEN("Vacances"))="Vacances"</formula>
    </cfRule>
    <cfRule type="beginsWith" dxfId="8501" priority="12485" operator="beginsWith" text="Séminaire d'intégration">
      <formula>LEFT(DQ156,LEN("Séminaire d'intégration"))="Séminaire d'intégration"</formula>
    </cfRule>
    <cfRule type="beginsWith" dxfId="8500" priority="12486" operator="beginsWith" text="Accueil">
      <formula>LEFT(DQ156,LEN("Accueil"))="Accueil"</formula>
    </cfRule>
    <cfRule type="beginsWith" dxfId="8499" priority="12487" operator="beginsWith" text="Stage">
      <formula>LEFT(DQ156,LEN("Stage"))="Stage"</formula>
    </cfRule>
    <cfRule type="beginsWith" dxfId="8498" priority="12488" operator="beginsWith" text="Entreprise">
      <formula>LEFT(DQ156,LEN("Entreprise"))="Entreprise"</formula>
    </cfRule>
    <cfRule type="beginsWith" dxfId="8497" priority="12489" operator="beginsWith" text="Voltaire">
      <formula>LEFT(DQ156,LEN("Voltaire"))="Voltaire"</formula>
    </cfRule>
  </conditionalFormatting>
  <conditionalFormatting sqref="DQ161">
    <cfRule type="beginsWith" dxfId="8496" priority="12490" operator="beginsWith" text="Lancement Projet fil rouge">
      <formula>LEFT(DQ161,LEN("Lancement Projet fil rouge"))="Lancement Projet fil rouge"</formula>
    </cfRule>
    <cfRule type="beginsWith" dxfId="8495" priority="12491" operator="beginsWith" text="Vacances">
      <formula>LEFT(DQ161,LEN("Vacances"))="Vacances"</formula>
    </cfRule>
    <cfRule type="beginsWith" dxfId="8494" priority="12492" operator="beginsWith" text="Séminaire d'intégration">
      <formula>LEFT(DQ161,LEN("Séminaire d'intégration"))="Séminaire d'intégration"</formula>
    </cfRule>
    <cfRule type="beginsWith" dxfId="8493" priority="12493" operator="beginsWith" text="Accueil">
      <formula>LEFT(DQ161,LEN("Accueil"))="Accueil"</formula>
    </cfRule>
    <cfRule type="beginsWith" dxfId="8492" priority="12494" operator="beginsWith" text="Stage">
      <formula>LEFT(DQ161,LEN("Stage"))="Stage"</formula>
    </cfRule>
    <cfRule type="beginsWith" dxfId="8491" priority="12495" operator="beginsWith" text="Entreprise">
      <formula>LEFT(DQ161,LEN("Entreprise"))="Entreprise"</formula>
    </cfRule>
    <cfRule type="beginsWith" dxfId="8490" priority="12496" operator="beginsWith" text="Voltaire">
      <formula>LEFT(DQ161,LEN("Voltaire"))="Voltaire"</formula>
    </cfRule>
  </conditionalFormatting>
  <conditionalFormatting sqref="DQ166">
    <cfRule type="beginsWith" dxfId="8489" priority="20797" operator="beginsWith" text="Lancement Projet fil rouge">
      <formula>LEFT(DQ166,LEN("Lancement Projet fil rouge"))="Lancement Projet fil rouge"</formula>
    </cfRule>
    <cfRule type="beginsWith" dxfId="8488" priority="20798" operator="beginsWith" text="Vacances">
      <formula>LEFT(DQ166,LEN("Vacances"))="Vacances"</formula>
    </cfRule>
    <cfRule type="beginsWith" dxfId="8487" priority="20799" operator="beginsWith" text="Séminaire d'intégration">
      <formula>LEFT(DQ166,LEN("Séminaire d'intégration"))="Séminaire d'intégration"</formula>
    </cfRule>
    <cfRule type="beginsWith" dxfId="8486" priority="20800" operator="beginsWith" text="Accueil">
      <formula>LEFT(DQ166,LEN("Accueil"))="Accueil"</formula>
    </cfRule>
    <cfRule type="beginsWith" dxfId="8485" priority="20801" operator="beginsWith" text="Stage">
      <formula>LEFT(DQ166,LEN("Stage"))="Stage"</formula>
    </cfRule>
    <cfRule type="beginsWith" dxfId="8484" priority="20802" operator="beginsWith" text="Entreprise">
      <formula>LEFT(DQ166,LEN("Entreprise"))="Entreprise"</formula>
    </cfRule>
    <cfRule type="beginsWith" dxfId="8483" priority="20803" operator="beginsWith" text="Voltaire">
      <formula>LEFT(DQ166,LEN("Voltaire"))="Voltaire"</formula>
    </cfRule>
  </conditionalFormatting>
  <conditionalFormatting sqref="DQ216">
    <cfRule type="beginsWith" dxfId="8482" priority="12504" operator="beginsWith" text="Lancement Projet fil rouge">
      <formula>LEFT(DQ216,LEN("Lancement Projet fil rouge"))="Lancement Projet fil rouge"</formula>
    </cfRule>
    <cfRule type="beginsWith" dxfId="8481" priority="12505" operator="beginsWith" text="Vacances">
      <formula>LEFT(DQ216,LEN("Vacances"))="Vacances"</formula>
    </cfRule>
    <cfRule type="beginsWith" dxfId="8480" priority="12506" operator="beginsWith" text="Séminaire d'intégration">
      <formula>LEFT(DQ216,LEN("Séminaire d'intégration"))="Séminaire d'intégration"</formula>
    </cfRule>
    <cfRule type="beginsWith" dxfId="8479" priority="12507" operator="beginsWith" text="Accueil">
      <formula>LEFT(DQ216,LEN("Accueil"))="Accueil"</formula>
    </cfRule>
    <cfRule type="beginsWith" dxfId="8478" priority="12508" operator="beginsWith" text="Stage">
      <formula>LEFT(DQ216,LEN("Stage"))="Stage"</formula>
    </cfRule>
    <cfRule type="beginsWith" dxfId="8477" priority="12509" operator="beginsWith" text="Entreprise">
      <formula>LEFT(DQ216,LEN("Entreprise"))="Entreprise"</formula>
    </cfRule>
    <cfRule type="beginsWith" dxfId="8476" priority="12510" operator="beginsWith" text="Voltaire">
      <formula>LEFT(DQ216,LEN("Voltaire"))="Voltaire"</formula>
    </cfRule>
  </conditionalFormatting>
  <conditionalFormatting sqref="DQ226">
    <cfRule type="beginsWith" dxfId="8475" priority="20790" operator="beginsWith" text="Lancement Projet fil rouge">
      <formula>LEFT(DQ226,LEN("Lancement Projet fil rouge"))="Lancement Projet fil rouge"</formula>
    </cfRule>
    <cfRule type="beginsWith" dxfId="8474" priority="20791" operator="beginsWith" text="Vacances">
      <formula>LEFT(DQ226,LEN("Vacances"))="Vacances"</formula>
    </cfRule>
    <cfRule type="beginsWith" dxfId="8473" priority="20792" operator="beginsWith" text="Séminaire d'intégration">
      <formula>LEFT(DQ226,LEN("Séminaire d'intégration"))="Séminaire d'intégration"</formula>
    </cfRule>
    <cfRule type="beginsWith" dxfId="8472" priority="20793" operator="beginsWith" text="Accueil">
      <formula>LEFT(DQ226,LEN("Accueil"))="Accueil"</formula>
    </cfRule>
    <cfRule type="beginsWith" dxfId="8471" priority="20794" operator="beginsWith" text="Stage">
      <formula>LEFT(DQ226,LEN("Stage"))="Stage"</formula>
    </cfRule>
    <cfRule type="beginsWith" dxfId="8470" priority="20795" operator="beginsWith" text="Entreprise">
      <formula>LEFT(DQ226,LEN("Entreprise"))="Entreprise"</formula>
    </cfRule>
    <cfRule type="beginsWith" dxfId="8469" priority="20796" operator="beginsWith" text="Voltaire">
      <formula>LEFT(DQ226,LEN("Voltaire"))="Voltaire"</formula>
    </cfRule>
  </conditionalFormatting>
  <conditionalFormatting sqref="DQ6:DS6">
    <cfRule type="beginsWith" dxfId="8468" priority="18308" operator="beginsWith" text="Projet professionnel : Séminaire PFI">
      <formula>LEFT(DQ6,LEN("Projet professionnel : Séminaire PFI"))="Projet professionnel : Séminaire PFI"</formula>
    </cfRule>
    <cfRule type="beginsWith" dxfId="8467" priority="18309" operator="beginsWith" text="Lancement Projet fil rouge">
      <formula>LEFT(DQ6,LEN("Lancement Projet fil rouge"))="Lancement Projet fil rouge"</formula>
    </cfRule>
    <cfRule type="beginsWith" dxfId="8466" priority="18310" operator="beginsWith" text="Vacances">
      <formula>LEFT(DQ6,LEN("Vacances"))="Vacances"</formula>
    </cfRule>
    <cfRule type="beginsWith" dxfId="8465" priority="18311" operator="beginsWith" text="Séminaire d'intégration">
      <formula>LEFT(DQ6,LEN("Séminaire d'intégration"))="Séminaire d'intégration"</formula>
    </cfRule>
    <cfRule type="beginsWith" dxfId="8464" priority="18312" operator="beginsWith" text="Accueil">
      <formula>LEFT(DQ6,LEN("Accueil"))="Accueil"</formula>
    </cfRule>
    <cfRule type="beginsWith" dxfId="8463" priority="18315" operator="beginsWith" text="Stage">
      <formula>LEFT(DQ6,LEN("Stage"))="Stage"</formula>
    </cfRule>
    <cfRule type="beginsWith" dxfId="8462" priority="18316" operator="beginsWith" text="Entreprise">
      <formula>LEFT(DQ6,LEN("Entreprise"))="Entreprise"</formula>
    </cfRule>
    <cfRule type="beginsWith" dxfId="8461" priority="18318" operator="beginsWith" text="Voltaire">
      <formula>LEFT(DQ6,LEN("Voltaire"))="Voltaire"</formula>
    </cfRule>
  </conditionalFormatting>
  <conditionalFormatting sqref="DQ11:DS11">
    <cfRule type="beginsWith" dxfId="8460" priority="30967" operator="beginsWith" text="Projet professionnel : Séminaire PFI">
      <formula>LEFT(DQ11,LEN("Projet professionnel : Séminaire PFI"))="Projet professionnel : Séminaire PFI"</formula>
    </cfRule>
    <cfRule type="beginsWith" dxfId="8459" priority="30969" operator="beginsWith" text="Vacances">
      <formula>LEFT(DQ11,LEN("Vacances"))="Vacances"</formula>
    </cfRule>
    <cfRule type="beginsWith" dxfId="8458" priority="30970" operator="beginsWith" text="Séminaire d'intégration">
      <formula>LEFT(DQ11,LEN("Séminaire d'intégration"))="Séminaire d'intégration"</formula>
    </cfRule>
    <cfRule type="beginsWith" dxfId="8457" priority="30971" operator="beginsWith" text="Accueil">
      <formula>LEFT(DQ11,LEN("Accueil"))="Accueil"</formula>
    </cfRule>
    <cfRule type="beginsWith" dxfId="8456" priority="30974" operator="beginsWith" text="Stage">
      <formula>LEFT(DQ11,LEN("Stage"))="Stage"</formula>
    </cfRule>
    <cfRule type="beginsWith" dxfId="8455" priority="30975" operator="beginsWith" text="Entreprise">
      <formula>LEFT(DQ11,LEN("Entreprise"))="Entreprise"</formula>
    </cfRule>
    <cfRule type="beginsWith" dxfId="8454" priority="30977" operator="beginsWith" text="Voltaire">
      <formula>LEFT(DQ11,LEN("Voltaire"))="Voltaire"</formula>
    </cfRule>
  </conditionalFormatting>
  <conditionalFormatting sqref="DQ16:DS16">
    <cfRule type="beginsWith" dxfId="8453" priority="31984" operator="beginsWith" text="Projet professionnel : Séminaire PFI">
      <formula>LEFT(DQ16,LEN("Projet professionnel : Séminaire PFI"))="Projet professionnel : Séminaire PFI"</formula>
    </cfRule>
    <cfRule type="beginsWith" dxfId="8452" priority="31986" operator="beginsWith" text="Vacances">
      <formula>LEFT(DQ16,LEN("Vacances"))="Vacances"</formula>
    </cfRule>
    <cfRule type="beginsWith" dxfId="8451" priority="31987" operator="beginsWith" text="Séminaire d'intégration">
      <formula>LEFT(DQ16,LEN("Séminaire d'intégration"))="Séminaire d'intégration"</formula>
    </cfRule>
    <cfRule type="beginsWith" dxfId="8450" priority="31988" operator="beginsWith" text="Accueil">
      <formula>LEFT(DQ16,LEN("Accueil"))="Accueil"</formula>
    </cfRule>
    <cfRule type="beginsWith" dxfId="8449" priority="31991" operator="beginsWith" text="Stage">
      <formula>LEFT(DQ16,LEN("Stage"))="Stage"</formula>
    </cfRule>
    <cfRule type="beginsWith" dxfId="8448" priority="31992" operator="beginsWith" text="Entreprise">
      <formula>LEFT(DQ16,LEN("Entreprise"))="Entreprise"</formula>
    </cfRule>
    <cfRule type="beginsWith" dxfId="8447" priority="31994" operator="beginsWith" text="Voltaire">
      <formula>LEFT(DQ16,LEN("Voltaire"))="Voltaire"</formula>
    </cfRule>
  </conditionalFormatting>
  <conditionalFormatting sqref="DQ11:DT15">
    <cfRule type="beginsWith" dxfId="8446" priority="30968" operator="beginsWith" text="Lancement Projet fil rouge">
      <formula>LEFT(DQ11,LEN("Lancement Projet fil rouge"))="Lancement Projet fil rouge"</formula>
    </cfRule>
  </conditionalFormatting>
  <conditionalFormatting sqref="DQ16:DT55">
    <cfRule type="beginsWith" dxfId="8445" priority="31985" operator="beginsWith" text="Lancement Projet fil rouge">
      <formula>LEFT(DQ16,LEN("Lancement Projet fil rouge"))="Lancement Projet fil rouge"</formula>
    </cfRule>
  </conditionalFormatting>
  <conditionalFormatting sqref="DR76:DR79">
    <cfRule type="beginsWith" dxfId="8444" priority="21349" operator="beginsWith" text="TOPHYC">
      <formula>LEFT(DR76,LEN("TOPHYC"))="TOPHYC"</formula>
    </cfRule>
    <cfRule type="beginsWith" dxfId="8443" priority="21350" operator="beginsWith" text="Global Exam">
      <formula>LEFT(DR76,LEN("Global Exam"))="Global Exam"</formula>
    </cfRule>
    <cfRule type="beginsWith" dxfId="8442" priority="21353" operator="beginsWith" text="TOMIC">
      <formula>LEFT(DR76,LEN("TOMIC"))="TOMIC"</formula>
    </cfRule>
  </conditionalFormatting>
  <conditionalFormatting sqref="DR80">
    <cfRule type="beginsWith" dxfId="8441" priority="21325" operator="beginsWith" text="Lancement Projet fil rouge">
      <formula>LEFT(DR80,LEN("Lancement Projet fil rouge"))="Lancement Projet fil rouge"</formula>
    </cfRule>
    <cfRule type="beginsWith" dxfId="8440" priority="21326" operator="beginsWith" text="Vacances">
      <formula>LEFT(DR80,LEN("Vacances"))="Vacances"</formula>
    </cfRule>
    <cfRule type="beginsWith" dxfId="8439" priority="21327" operator="beginsWith" text="Séminaire d'intégration">
      <formula>LEFT(DR80,LEN("Séminaire d'intégration"))="Séminaire d'intégration"</formula>
    </cfRule>
    <cfRule type="beginsWith" dxfId="8438" priority="21328" operator="beginsWith" text="Accueil">
      <formula>LEFT(DR80,LEN("Accueil"))="Accueil"</formula>
    </cfRule>
    <cfRule type="beginsWith" dxfId="8437" priority="21329" operator="beginsWith" text="TOPHYC">
      <formula>LEFT(DR80,LEN("TOPHYC"))="TOPHYC"</formula>
    </cfRule>
    <cfRule type="beginsWith" dxfId="8436" priority="21330" operator="beginsWith" text="Global Exam">
      <formula>LEFT(DR80,LEN("Global Exam"))="Global Exam"</formula>
    </cfRule>
    <cfRule type="beginsWith" dxfId="8435" priority="21331" operator="beginsWith" text="Stage">
      <formula>LEFT(DR80,LEN("Stage"))="Stage"</formula>
    </cfRule>
    <cfRule type="beginsWith" dxfId="8434" priority="21332" operator="beginsWith" text="Entreprise">
      <formula>LEFT(DR80,LEN("Entreprise"))="Entreprise"</formula>
    </cfRule>
    <cfRule type="beginsWith" dxfId="8433" priority="21333" operator="beginsWith" text="TOMIC">
      <formula>LEFT(DR80,LEN("TOMIC"))="TOMIC"</formula>
    </cfRule>
    <cfRule type="beginsWith" dxfId="8432" priority="21334" operator="beginsWith" text="Voltaire">
      <formula>LEFT(DR80,LEN("Voltaire"))="Voltaire"</formula>
    </cfRule>
  </conditionalFormatting>
  <conditionalFormatting sqref="DR224">
    <cfRule type="beginsWith" dxfId="8431" priority="15143" operator="beginsWith" text="Lancement Projet fil rouge">
      <formula>LEFT(DR224,LEN("Lancement Projet fil rouge"))="Lancement Projet fil rouge"</formula>
    </cfRule>
    <cfRule type="beginsWith" dxfId="8430" priority="15144" operator="beginsWith" text="Vacances">
      <formula>LEFT(DR224,LEN("Vacances"))="Vacances"</formula>
    </cfRule>
    <cfRule type="beginsWith" dxfId="8429" priority="15145" operator="beginsWith" text="Séminaire d'intégration">
      <formula>LEFT(DR224,LEN("Séminaire d'intégration"))="Séminaire d'intégration"</formula>
    </cfRule>
    <cfRule type="beginsWith" dxfId="8428" priority="15146" operator="beginsWith" text="Accueil">
      <formula>LEFT(DR224,LEN("Accueil"))="Accueil"</formula>
    </cfRule>
    <cfRule type="beginsWith" dxfId="8427" priority="15147" operator="beginsWith" text="TOPHYC">
      <formula>LEFT(DR224,LEN("TOPHYC"))="TOPHYC"</formula>
    </cfRule>
    <cfRule type="beginsWith" dxfId="8426" priority="15148" operator="beginsWith" text="Global Exam">
      <formula>LEFT(DR224,LEN("Global Exam"))="Global Exam"</formula>
    </cfRule>
    <cfRule type="beginsWith" dxfId="8425" priority="15149" operator="beginsWith" text="Stage">
      <formula>LEFT(DR224,LEN("Stage"))="Stage"</formula>
    </cfRule>
    <cfRule type="beginsWith" dxfId="8424" priority="15150" operator="beginsWith" text="Entreprise">
      <formula>LEFT(DR224,LEN("Entreprise"))="Entreprise"</formula>
    </cfRule>
    <cfRule type="beginsWith" dxfId="8423" priority="15151" operator="beginsWith" text="TOMIC">
      <formula>LEFT(DR224,LEN("TOMIC"))="TOMIC"</formula>
    </cfRule>
    <cfRule type="beginsWith" dxfId="8422" priority="15152" operator="beginsWith" text="Voltaire">
      <formula>LEFT(DR224,LEN("Voltaire"))="Voltaire"</formula>
    </cfRule>
  </conditionalFormatting>
  <conditionalFormatting sqref="DR226:DR230 DP216 DQ221:DR223 DQ225:DR225 DQ224 DR216:DS220">
    <cfRule type="beginsWith" dxfId="8421" priority="24147" operator="beginsWith" text="Lancement Projet fil rouge">
      <formula>LEFT(DP216,LEN("Lancement Projet fil rouge"))="Lancement Projet fil rouge"</formula>
    </cfRule>
    <cfRule type="beginsWith" dxfId="8420" priority="24148" operator="beginsWith" text="Vacances">
      <formula>LEFT(DP216,LEN("Vacances"))="Vacances"</formula>
    </cfRule>
    <cfRule type="beginsWith" dxfId="8419" priority="24149" operator="beginsWith" text="Séminaire d'intégration">
      <formula>LEFT(DP216,LEN("Séminaire d'intégration"))="Séminaire d'intégration"</formula>
    </cfRule>
    <cfRule type="beginsWith" dxfId="8418" priority="24150" operator="beginsWith" text="Accueil">
      <formula>LEFT(DP216,LEN("Accueil"))="Accueil"</formula>
    </cfRule>
    <cfRule type="beginsWith" dxfId="8417" priority="24153" operator="beginsWith" text="Stage">
      <formula>LEFT(DP216,LEN("Stage"))="Stage"</formula>
    </cfRule>
    <cfRule type="beginsWith" dxfId="8416" priority="24154" operator="beginsWith" text="Entreprise">
      <formula>LEFT(DP216,LEN("Entreprise"))="Entreprise"</formula>
    </cfRule>
    <cfRule type="beginsWith" dxfId="8415" priority="24156" operator="beginsWith" text="Voltaire">
      <formula>LEFT(DP216,LEN("Voltaire"))="Voltaire"</formula>
    </cfRule>
  </conditionalFormatting>
  <conditionalFormatting sqref="DR6:DS6">
    <cfRule type="beginsWith" dxfId="8414" priority="18313" operator="beginsWith" text="TOPHYC">
      <formula>LEFT(DR6,LEN("TOPHYC"))="TOPHYC"</formula>
    </cfRule>
    <cfRule type="beginsWith" dxfId="8413" priority="18314" operator="beginsWith" text="Global Exam">
      <formula>LEFT(DR6,LEN("Global Exam"))="Global Exam"</formula>
    </cfRule>
    <cfRule type="beginsWith" dxfId="8412" priority="18317" operator="beginsWith" text="TOMIC">
      <formula>LEFT(DR6,LEN("TOMIC"))="TOMIC"</formula>
    </cfRule>
  </conditionalFormatting>
  <conditionalFormatting sqref="DR7:DS10 DL7:DM10 CQ6:CR10 CK6:CL10 CW6:CY10 DY6:DZ10 EE6:EF10 EK6:EL10 AL6:AM10 M6:N10 DF6:DG10 CE6:CF10 BY6:BZ10 AZ6:BA10 A6:B10">
    <cfRule type="beginsWith" dxfId="8411" priority="18334" operator="beginsWith" text="TOPHYC">
      <formula>LEFT(A6,LEN("TOPHYC"))="TOPHYC"</formula>
    </cfRule>
    <cfRule type="beginsWith" dxfId="8410" priority="18335" operator="beginsWith" text="Global Exam">
      <formula>LEFT(A6,LEN("Global Exam"))="Global Exam"</formula>
    </cfRule>
    <cfRule type="beginsWith" dxfId="8409" priority="18338" operator="beginsWith" text="TOMIC">
      <formula>LEFT(A6,LEN("TOMIC"))="TOMIC"</formula>
    </cfRule>
  </conditionalFormatting>
  <conditionalFormatting sqref="DR11:DS11">
    <cfRule type="beginsWith" dxfId="8408" priority="30972" operator="beginsWith" text="TOPHYC">
      <formula>LEFT(DR11,LEN("TOPHYC"))="TOPHYC"</formula>
    </cfRule>
    <cfRule type="beginsWith" dxfId="8407" priority="30973" operator="beginsWith" text="Global Exam">
      <formula>LEFT(DR11,LEN("Global Exam"))="Global Exam"</formula>
    </cfRule>
    <cfRule type="beginsWith" dxfId="8406" priority="30976" operator="beginsWith" text="TOMIC">
      <formula>LEFT(DR11,LEN("TOMIC"))="TOMIC"</formula>
    </cfRule>
  </conditionalFormatting>
  <conditionalFormatting sqref="DR12:DS15 DL12:DM15 CQ11:CR15 CK11:CL15 CW11:CY15 DY11:DZ15 EE11:EF15 EK11:EL15 AL11:AM15 DF11:DG15 CE11:CF15 BY11:BZ15 AZ11:BA15 A11:B15">
    <cfRule type="beginsWith" dxfId="8405" priority="30993" operator="beginsWith" text="TOPHYC">
      <formula>LEFT(A11,LEN("TOPHYC"))="TOPHYC"</formula>
    </cfRule>
    <cfRule type="beginsWith" dxfId="8404" priority="30994" operator="beginsWith" text="Global Exam">
      <formula>LEFT(A11,LEN("Global Exam"))="Global Exam"</formula>
    </cfRule>
    <cfRule type="beginsWith" dxfId="8403" priority="30997" operator="beginsWith" text="TOMIC">
      <formula>LEFT(A11,LEN("TOMIC"))="TOMIC"</formula>
    </cfRule>
  </conditionalFormatting>
  <conditionalFormatting sqref="DR16:DS16">
    <cfRule type="beginsWith" dxfId="8402" priority="31989" operator="beginsWith" text="TOPHYC">
      <formula>LEFT(DR16,LEN("TOPHYC"))="TOPHYC"</formula>
    </cfRule>
    <cfRule type="beginsWith" dxfId="8401" priority="31990" operator="beginsWith" text="Global Exam">
      <formula>LEFT(DR16,LEN("Global Exam"))="Global Exam"</formula>
    </cfRule>
    <cfRule type="beginsWith" dxfId="8400" priority="31993" operator="beginsWith" text="TOMIC">
      <formula>LEFT(DR16,LEN("TOMIC"))="TOMIC"</formula>
    </cfRule>
  </conditionalFormatting>
  <conditionalFormatting sqref="DR96:DS105">
    <cfRule type="beginsWith" dxfId="8399" priority="19889" operator="beginsWith" text="Lancement Projet fil rouge">
      <formula>LEFT(DR96,LEN("Lancement Projet fil rouge"))="Lancement Projet fil rouge"</formula>
    </cfRule>
    <cfRule type="beginsWith" dxfId="8398" priority="19890" operator="beginsWith" text="Vacances">
      <formula>LEFT(DR96,LEN("Vacances"))="Vacances"</formula>
    </cfRule>
    <cfRule type="beginsWith" dxfId="8397" priority="19891" operator="beginsWith" text="Séminaire d'intégration">
      <formula>LEFT(DR96,LEN("Séminaire d'intégration"))="Séminaire d'intégration"</formula>
    </cfRule>
    <cfRule type="beginsWith" dxfId="8396" priority="19892" operator="beginsWith" text="Accueil">
      <formula>LEFT(DR96,LEN("Accueil"))="Accueil"</formula>
    </cfRule>
    <cfRule type="beginsWith" dxfId="8395" priority="19893" operator="beginsWith" text="TOPHYC">
      <formula>LEFT(DR96,LEN("TOPHYC"))="TOPHYC"</formula>
    </cfRule>
    <cfRule type="beginsWith" dxfId="8394" priority="19894" operator="beginsWith" text="Global Exam">
      <formula>LEFT(DR96,LEN("Global Exam"))="Global Exam"</formula>
    </cfRule>
    <cfRule type="beginsWith" dxfId="8393" priority="19895" operator="beginsWith" text="Stage">
      <formula>LEFT(DR96,LEN("Stage"))="Stage"</formula>
    </cfRule>
    <cfRule type="beginsWith" dxfId="8392" priority="19896" operator="beginsWith" text="Entreprise">
      <formula>LEFT(DR96,LEN("Entreprise"))="Entreprise"</formula>
    </cfRule>
    <cfRule type="beginsWith" dxfId="8391" priority="19897" operator="beginsWith" text="TOMIC">
      <formula>LEFT(DR96,LEN("TOMIC"))="TOMIC"</formula>
    </cfRule>
    <cfRule type="beginsWith" dxfId="8390" priority="19898" operator="beginsWith" text="Voltaire">
      <formula>LEFT(DR96,LEN("Voltaire"))="Voltaire"</formula>
    </cfRule>
  </conditionalFormatting>
  <conditionalFormatting sqref="DR216:DS220 DR221:DR223 DR225:DR230">
    <cfRule type="beginsWith" dxfId="8389" priority="24151" operator="beginsWith" text="TOPHYC">
      <formula>LEFT(DR216,LEN("TOPHYC"))="TOPHYC"</formula>
    </cfRule>
    <cfRule type="beginsWith" dxfId="8388" priority="24152" operator="beginsWith" text="Global Exam">
      <formula>LEFT(DR216,LEN("Global Exam"))="Global Exam"</formula>
    </cfRule>
    <cfRule type="beginsWith" dxfId="8387" priority="24155" operator="beginsWith" text="TOMIC">
      <formula>LEFT(DR216,LEN("TOMIC"))="TOMIC"</formula>
    </cfRule>
  </conditionalFormatting>
  <conditionalFormatting sqref="DS56:DS60">
    <cfRule type="beginsWith" dxfId="8386" priority="15231" operator="beginsWith" text="Lancement Projet fil rouge">
      <formula>LEFT(DS56,LEN("Lancement Projet fil rouge"))="Lancement Projet fil rouge"</formula>
    </cfRule>
    <cfRule type="beginsWith" dxfId="8385" priority="15232" operator="beginsWith" text="Vacances">
      <formula>LEFT(DS56,LEN("Vacances"))="Vacances"</formula>
    </cfRule>
    <cfRule type="beginsWith" dxfId="8384" priority="15233" operator="beginsWith" text="Séminaire d'intégration">
      <formula>LEFT(DS56,LEN("Séminaire d'intégration"))="Séminaire d'intégration"</formula>
    </cfRule>
    <cfRule type="beginsWith" dxfId="8383" priority="15234" operator="beginsWith" text="Accueil">
      <formula>LEFT(DS56,LEN("Accueil"))="Accueil"</formula>
    </cfRule>
    <cfRule type="beginsWith" dxfId="8382" priority="15235" operator="beginsWith" text="TOPHYC">
      <formula>LEFT(DS56,LEN("TOPHYC"))="TOPHYC"</formula>
    </cfRule>
    <cfRule type="beginsWith" dxfId="8381" priority="15236" operator="beginsWith" text="Global Exam">
      <formula>LEFT(DS56,LEN("Global Exam"))="Global Exam"</formula>
    </cfRule>
    <cfRule type="beginsWith" dxfId="8380" priority="15237" operator="beginsWith" text="Stage">
      <formula>LEFT(DS56,LEN("Stage"))="Stage"</formula>
    </cfRule>
    <cfRule type="beginsWith" dxfId="8379" priority="15238" operator="beginsWith" text="Entreprise">
      <formula>LEFT(DS56,LEN("Entreprise"))="Entreprise"</formula>
    </cfRule>
    <cfRule type="beginsWith" dxfId="8378" priority="15239" operator="beginsWith" text="TOMIC">
      <formula>LEFT(DS56,LEN("TOMIC"))="TOMIC"</formula>
    </cfRule>
    <cfRule type="beginsWith" dxfId="8377" priority="15240" operator="beginsWith" text="Voltaire">
      <formula>LEFT(DS56,LEN("Voltaire"))="Voltaire"</formula>
    </cfRule>
  </conditionalFormatting>
  <conditionalFormatting sqref="DS61:DS65">
    <cfRule type="beginsWith" dxfId="8376" priority="10768" operator="beginsWith" text="Lancement Projet fil rouge">
      <formula>LEFT(DS61,LEN("Lancement Projet fil rouge"))="Lancement Projet fil rouge"</formula>
    </cfRule>
    <cfRule type="beginsWith" dxfId="8375" priority="10769" operator="beginsWith" text="Vacances">
      <formula>LEFT(DS61,LEN("Vacances"))="Vacances"</formula>
    </cfRule>
    <cfRule type="beginsWith" dxfId="8374" priority="10770" operator="beginsWith" text="Séminaire d'intégration">
      <formula>LEFT(DS61,LEN("Séminaire d'intégration"))="Séminaire d'intégration"</formula>
    </cfRule>
    <cfRule type="beginsWith" dxfId="8373" priority="10771" operator="beginsWith" text="Accueil">
      <formula>LEFT(DS61,LEN("Accueil"))="Accueil"</formula>
    </cfRule>
    <cfRule type="beginsWith" dxfId="8372" priority="10772" operator="beginsWith" text="TOPHYC">
      <formula>LEFT(DS61,LEN("TOPHYC"))="TOPHYC"</formula>
    </cfRule>
    <cfRule type="beginsWith" dxfId="8371" priority="10773" operator="beginsWith" text="Global Exam">
      <formula>LEFT(DS61,LEN("Global Exam"))="Global Exam"</formula>
    </cfRule>
    <cfRule type="beginsWith" dxfId="8370" priority="10774" operator="beginsWith" text="Stage">
      <formula>LEFT(DS61,LEN("Stage"))="Stage"</formula>
    </cfRule>
    <cfRule type="beginsWith" dxfId="8369" priority="10775" operator="beginsWith" text="Entreprise">
      <formula>LEFT(DS61,LEN("Entreprise"))="Entreprise"</formula>
    </cfRule>
    <cfRule type="beginsWith" dxfId="8368" priority="10776" operator="beginsWith" text="TOMIC">
      <formula>LEFT(DS61,LEN("TOMIC"))="TOMIC"</formula>
    </cfRule>
    <cfRule type="beginsWith" dxfId="8367" priority="10777" operator="beginsWith" text="Voltaire">
      <formula>LEFT(DS61,LEN("Voltaire"))="Voltaire"</formula>
    </cfRule>
  </conditionalFormatting>
  <conditionalFormatting sqref="DS67:DS70">
    <cfRule type="beginsWith" dxfId="8366" priority="21365" operator="beginsWith" text="Lancement Projet fil rouge">
      <formula>LEFT(DS67,LEN("Lancement Projet fil rouge"))="Lancement Projet fil rouge"</formula>
    </cfRule>
    <cfRule type="beginsWith" dxfId="8365" priority="21366" operator="beginsWith" text="Vacances">
      <formula>LEFT(DS67,LEN("Vacances"))="Vacances"</formula>
    </cfRule>
    <cfRule type="beginsWith" dxfId="8364" priority="21367" operator="beginsWith" text="Séminaire d'intégration">
      <formula>LEFT(DS67,LEN("Séminaire d'intégration"))="Séminaire d'intégration"</formula>
    </cfRule>
    <cfRule type="beginsWith" dxfId="8363" priority="21368" operator="beginsWith" text="Accueil">
      <formula>LEFT(DS67,LEN("Accueil"))="Accueil"</formula>
    </cfRule>
    <cfRule type="beginsWith" dxfId="8362" priority="21369" operator="beginsWith" text="TOPHYC">
      <formula>LEFT(DS67,LEN("TOPHYC"))="TOPHYC"</formula>
    </cfRule>
    <cfRule type="beginsWith" dxfId="8361" priority="21370" operator="beginsWith" text="Global Exam">
      <formula>LEFT(DS67,LEN("Global Exam"))="Global Exam"</formula>
    </cfRule>
    <cfRule type="beginsWith" dxfId="8360" priority="21371" operator="beginsWith" text="Stage">
      <formula>LEFT(DS67,LEN("Stage"))="Stage"</formula>
    </cfRule>
    <cfRule type="beginsWith" dxfId="8359" priority="21372" operator="beginsWith" text="Entreprise">
      <formula>LEFT(DS67,LEN("Entreprise"))="Entreprise"</formula>
    </cfRule>
    <cfRule type="beginsWith" dxfId="8358" priority="21373" operator="beginsWith" text="TOMIC">
      <formula>LEFT(DS67,LEN("TOMIC"))="TOMIC"</formula>
    </cfRule>
    <cfRule type="beginsWith" dxfId="8357" priority="21374" operator="beginsWith" text="Voltaire">
      <formula>LEFT(DS67,LEN("Voltaire"))="Voltaire"</formula>
    </cfRule>
  </conditionalFormatting>
  <conditionalFormatting sqref="DS71:DS75">
    <cfRule type="beginsWith" dxfId="8356" priority="21355" operator="beginsWith" text="Lancement Projet fil rouge">
      <formula>LEFT(DS71,LEN("Lancement Projet fil rouge"))="Lancement Projet fil rouge"</formula>
    </cfRule>
    <cfRule type="beginsWith" dxfId="8355" priority="21356" operator="beginsWith" text="Vacances">
      <formula>LEFT(DS71,LEN("Vacances"))="Vacances"</formula>
    </cfRule>
    <cfRule type="beginsWith" dxfId="8354" priority="21357" operator="beginsWith" text="Séminaire d'intégration">
      <formula>LEFT(DS71,LEN("Séminaire d'intégration"))="Séminaire d'intégration"</formula>
    </cfRule>
    <cfRule type="beginsWith" dxfId="8353" priority="21358" operator="beginsWith" text="Accueil">
      <formula>LEFT(DS71,LEN("Accueil"))="Accueil"</formula>
    </cfRule>
    <cfRule type="beginsWith" dxfId="8352" priority="21359" operator="beginsWith" text="TOPHYC">
      <formula>LEFT(DS71,LEN("TOPHYC"))="TOPHYC"</formula>
    </cfRule>
    <cfRule type="beginsWith" dxfId="8351" priority="21360" operator="beginsWith" text="Global Exam">
      <formula>LEFT(DS71,LEN("Global Exam"))="Global Exam"</formula>
    </cfRule>
    <cfRule type="beginsWith" dxfId="8350" priority="21361" operator="beginsWith" text="Stage">
      <formula>LEFT(DS71,LEN("Stage"))="Stage"</formula>
    </cfRule>
    <cfRule type="beginsWith" dxfId="8349" priority="21362" operator="beginsWith" text="Entreprise">
      <formula>LEFT(DS71,LEN("Entreprise"))="Entreprise"</formula>
    </cfRule>
    <cfRule type="beginsWith" dxfId="8348" priority="21363" operator="beginsWith" text="TOMIC">
      <formula>LEFT(DS71,LEN("TOMIC"))="TOMIC"</formula>
    </cfRule>
    <cfRule type="beginsWith" dxfId="8347" priority="21364" operator="beginsWith" text="Voltaire">
      <formula>LEFT(DS71,LEN("Voltaire"))="Voltaire"</formula>
    </cfRule>
  </conditionalFormatting>
  <conditionalFormatting sqref="DS76:DS80">
    <cfRule type="beginsWith" dxfId="8346" priority="10848" operator="beginsWith" text="Lancement Projet fil rouge">
      <formula>LEFT(DS76,LEN("Lancement Projet fil rouge"))="Lancement Projet fil rouge"</formula>
    </cfRule>
    <cfRule type="beginsWith" dxfId="8345" priority="10849" operator="beginsWith" text="Vacances">
      <formula>LEFT(DS76,LEN("Vacances"))="Vacances"</formula>
    </cfRule>
    <cfRule type="beginsWith" dxfId="8344" priority="10850" operator="beginsWith" text="Séminaire d'intégration">
      <formula>LEFT(DS76,LEN("Séminaire d'intégration"))="Séminaire d'intégration"</formula>
    </cfRule>
    <cfRule type="beginsWith" dxfId="8343" priority="10851" operator="beginsWith" text="Accueil">
      <formula>LEFT(DS76,LEN("Accueil"))="Accueil"</formula>
    </cfRule>
    <cfRule type="beginsWith" dxfId="8342" priority="10852" operator="beginsWith" text="TOPHYC">
      <formula>LEFT(DS76,LEN("TOPHYC"))="TOPHYC"</formula>
    </cfRule>
    <cfRule type="beginsWith" dxfId="8341" priority="10853" operator="beginsWith" text="Global Exam">
      <formula>LEFT(DS76,LEN("Global Exam"))="Global Exam"</formula>
    </cfRule>
    <cfRule type="beginsWith" dxfId="8340" priority="10854" operator="beginsWith" text="Stage">
      <formula>LEFT(DS76,LEN("Stage"))="Stage"</formula>
    </cfRule>
    <cfRule type="beginsWith" dxfId="8339" priority="10855" operator="beginsWith" text="Entreprise">
      <formula>LEFT(DS76,LEN("Entreprise"))="Entreprise"</formula>
    </cfRule>
    <cfRule type="beginsWith" dxfId="8338" priority="10856" operator="beginsWith" text="TOMIC">
      <formula>LEFT(DS76,LEN("TOMIC"))="TOMIC"</formula>
    </cfRule>
    <cfRule type="beginsWith" dxfId="8337" priority="10857" operator="beginsWith" text="Voltaire">
      <formula>LEFT(DS76,LEN("Voltaire"))="Voltaire"</formula>
    </cfRule>
  </conditionalFormatting>
  <conditionalFormatting sqref="DS221:DS225">
    <cfRule type="beginsWith" dxfId="8336" priority="20770" operator="beginsWith" text="Lancement Projet fil rouge">
      <formula>LEFT(DS221,LEN("Lancement Projet fil rouge"))="Lancement Projet fil rouge"</formula>
    </cfRule>
    <cfRule type="beginsWith" dxfId="8335" priority="20771" operator="beginsWith" text="Vacances">
      <formula>LEFT(DS221,LEN("Vacances"))="Vacances"</formula>
    </cfRule>
    <cfRule type="beginsWith" dxfId="8334" priority="20772" operator="beginsWith" text="Séminaire d'intégration">
      <formula>LEFT(DS221,LEN("Séminaire d'intégration"))="Séminaire d'intégration"</formula>
    </cfRule>
    <cfRule type="beginsWith" dxfId="8333" priority="20773" operator="beginsWith" text="Accueil">
      <formula>LEFT(DS221,LEN("Accueil"))="Accueil"</formula>
    </cfRule>
    <cfRule type="beginsWith" dxfId="8332" priority="20774" operator="beginsWith" text="TOPHYC">
      <formula>LEFT(DS221,LEN("TOPHYC"))="TOPHYC"</formula>
    </cfRule>
    <cfRule type="beginsWith" dxfId="8331" priority="20775" operator="beginsWith" text="Global Exam">
      <formula>LEFT(DS221,LEN("Global Exam"))="Global Exam"</formula>
    </cfRule>
    <cfRule type="beginsWith" dxfId="8330" priority="20776" operator="beginsWith" text="Stage">
      <formula>LEFT(DS221,LEN("Stage"))="Stage"</formula>
    </cfRule>
    <cfRule type="beginsWith" dxfId="8329" priority="20777" operator="beginsWith" text="Entreprise">
      <formula>LEFT(DS221,LEN("Entreprise"))="Entreprise"</formula>
    </cfRule>
    <cfRule type="beginsWith" dxfId="8328" priority="20778" operator="beginsWith" text="TOMIC">
      <formula>LEFT(DS221,LEN("TOMIC"))="TOMIC"</formula>
    </cfRule>
    <cfRule type="beginsWith" dxfId="8327" priority="20779" operator="beginsWith" text="Voltaire">
      <formula>LEFT(DS221,LEN("Voltaire"))="Voltaire"</formula>
    </cfRule>
  </conditionalFormatting>
  <conditionalFormatting sqref="DS226">
    <cfRule type="beginsWith" dxfId="8326" priority="20780" operator="beginsWith" text="Lancement Projet fil rouge">
      <formula>LEFT(DS226,LEN("Lancement Projet fil rouge"))="Lancement Projet fil rouge"</formula>
    </cfRule>
    <cfRule type="beginsWith" dxfId="8325" priority="20781" operator="beginsWith" text="Vacances">
      <formula>LEFT(DS226,LEN("Vacances"))="Vacances"</formula>
    </cfRule>
    <cfRule type="beginsWith" dxfId="8324" priority="20782" operator="beginsWith" text="Séminaire d'intégration">
      <formula>LEFT(DS226,LEN("Séminaire d'intégration"))="Séminaire d'intégration"</formula>
    </cfRule>
    <cfRule type="beginsWith" dxfId="8323" priority="20783" operator="beginsWith" text="Accueil">
      <formula>LEFT(DS226,LEN("Accueil"))="Accueil"</formula>
    </cfRule>
    <cfRule type="beginsWith" dxfId="8322" priority="20784" operator="beginsWith" text="TOPHYC">
      <formula>LEFT(DS226,LEN("TOPHYC"))="TOPHYC"</formula>
    </cfRule>
    <cfRule type="beginsWith" dxfId="8321" priority="20785" operator="beginsWith" text="Global Exam">
      <formula>LEFT(DS226,LEN("Global Exam"))="Global Exam"</formula>
    </cfRule>
    <cfRule type="beginsWith" dxfId="8320" priority="20786" operator="beginsWith" text="Stage">
      <formula>LEFT(DS226,LEN("Stage"))="Stage"</formula>
    </cfRule>
    <cfRule type="beginsWith" dxfId="8319" priority="20787" operator="beginsWith" text="Entreprise">
      <formula>LEFT(DS226,LEN("Entreprise"))="Entreprise"</formula>
    </cfRule>
    <cfRule type="beginsWith" dxfId="8318" priority="20788" operator="beginsWith" text="TOMIC">
      <formula>LEFT(DS226,LEN("TOMIC"))="TOMIC"</formula>
    </cfRule>
    <cfRule type="beginsWith" dxfId="8317" priority="20789" operator="beginsWith" text="Voltaire">
      <formula>LEFT(DS226,LEN("Voltaire"))="Voltaire"</formula>
    </cfRule>
  </conditionalFormatting>
  <conditionalFormatting sqref="DU3">
    <cfRule type="beginsWith" dxfId="8316" priority="26214" operator="beginsWith" text="Lancement Projet fil rouge">
      <formula>LEFT(DU3,LEN("Lancement Projet fil rouge"))="Lancement Projet fil rouge"</formula>
    </cfRule>
    <cfRule type="beginsWith" dxfId="8315" priority="26215" operator="beginsWith" text="Vacances">
      <formula>LEFT(DU3,LEN("Vacances"))="Vacances"</formula>
    </cfRule>
    <cfRule type="beginsWith" dxfId="8314" priority="26216" operator="beginsWith" text="Séminaire d'intégration">
      <formula>LEFT(DU3,LEN("Séminaire d'intégration"))="Séminaire d'intégration"</formula>
    </cfRule>
    <cfRule type="beginsWith" dxfId="8313" priority="26217" operator="beginsWith" text="Accueil">
      <formula>LEFT(DU3,LEN("Accueil"))="Accueil"</formula>
    </cfRule>
    <cfRule type="beginsWith" dxfId="8312" priority="26218" operator="beginsWith" text="Stage">
      <formula>LEFT(DU3,LEN("Stage"))="Stage"</formula>
    </cfRule>
    <cfRule type="beginsWith" dxfId="8311" priority="26219" operator="beginsWith" text="Entreprise">
      <formula>LEFT(DU3,LEN("Entreprise"))="Entreprise"</formula>
    </cfRule>
    <cfRule type="beginsWith" dxfId="8310" priority="26220" operator="beginsWith" text="Voltaire">
      <formula>LEFT(DU3,LEN("Voltaire"))="Voltaire"</formula>
    </cfRule>
  </conditionalFormatting>
  <conditionalFormatting sqref="DU6">
    <cfRule type="beginsWith" dxfId="8309" priority="18140" operator="beginsWith" text="Projet professionnel : Séminaire PFI">
      <formula>LEFT(DU6,LEN("Projet professionnel : Séminaire PFI"))="Projet professionnel : Séminaire PFI"</formula>
    </cfRule>
    <cfRule type="beginsWith" dxfId="8308" priority="18141" operator="beginsWith" text="Lancement Projet fil rouge">
      <formula>LEFT(DU6,LEN("Lancement Projet fil rouge"))="Lancement Projet fil rouge"</formula>
    </cfRule>
    <cfRule type="beginsWith" dxfId="8307" priority="18142" operator="beginsWith" text="Vacances">
      <formula>LEFT(DU6,LEN("Vacances"))="Vacances"</formula>
    </cfRule>
    <cfRule type="beginsWith" dxfId="8306" priority="18143" operator="beginsWith" text="Séminaire d'intégration">
      <formula>LEFT(DU6,LEN("Séminaire d'intégration"))="Séminaire d'intégration"</formula>
    </cfRule>
    <cfRule type="beginsWith" dxfId="8305" priority="18144" operator="beginsWith" text="Accueil">
      <formula>LEFT(DU6,LEN("Accueil"))="Accueil"</formula>
    </cfRule>
    <cfRule type="beginsWith" dxfId="8304" priority="18145" operator="beginsWith" text="Stage">
      <formula>LEFT(DU6,LEN("Stage"))="Stage"</formula>
    </cfRule>
    <cfRule type="beginsWith" dxfId="8303" priority="18146" operator="beginsWith" text="Entreprise">
      <formula>LEFT(DU6,LEN("Entreprise"))="Entreprise"</formula>
    </cfRule>
    <cfRule type="beginsWith" dxfId="8302" priority="18147" operator="beginsWith" text="Voltaire">
      <formula>LEFT(DU6,LEN("Voltaire"))="Voltaire"</formula>
    </cfRule>
  </conditionalFormatting>
  <conditionalFormatting sqref="DU21">
    <cfRule type="beginsWith" dxfId="8301" priority="26477" operator="beginsWith" text="Projet professionnel : Séminaire PFI">
      <formula>LEFT(DU21,LEN("Projet professionnel : Séminaire PFI"))="Projet professionnel : Séminaire PFI"</formula>
    </cfRule>
    <cfRule type="beginsWith" dxfId="8300" priority="26478" operator="beginsWith" text="Lancement Projet fil rouge">
      <formula>LEFT(DU21,LEN("Lancement Projet fil rouge"))="Lancement Projet fil rouge"</formula>
    </cfRule>
    <cfRule type="beginsWith" dxfId="8299" priority="26479" operator="beginsWith" text="Vacances">
      <formula>LEFT(DU21,LEN("Vacances"))="Vacances"</formula>
    </cfRule>
    <cfRule type="beginsWith" dxfId="8298" priority="26480" operator="beginsWith" text="Séminaire d'intégration">
      <formula>LEFT(DU21,LEN("Séminaire d'intégration"))="Séminaire d'intégration"</formula>
    </cfRule>
    <cfRule type="beginsWith" dxfId="8297" priority="26481" operator="beginsWith" text="Accueil">
      <formula>LEFT(DU21,LEN("Accueil"))="Accueil"</formula>
    </cfRule>
    <cfRule type="beginsWith" dxfId="8296" priority="26482" operator="beginsWith" text="Stage">
      <formula>LEFT(DU21,LEN("Stage"))="Stage"</formula>
    </cfRule>
    <cfRule type="beginsWith" dxfId="8295" priority="26483" operator="beginsWith" text="Entreprise">
      <formula>LEFT(DU21,LEN("Entreprise"))="Entreprise"</formula>
    </cfRule>
    <cfRule type="beginsWith" dxfId="8294" priority="26484" operator="beginsWith" text="Voltaire">
      <formula>LEFT(DU21,LEN("Voltaire"))="Voltaire"</formula>
    </cfRule>
  </conditionalFormatting>
  <conditionalFormatting sqref="DU26">
    <cfRule type="beginsWith" dxfId="8293" priority="26485" operator="beginsWith" text="Projet professionnel : Séminaire PFI">
      <formula>LEFT(DU26,LEN("Projet professionnel : Séminaire PFI"))="Projet professionnel : Séminaire PFI"</formula>
    </cfRule>
    <cfRule type="beginsWith" dxfId="8292" priority="26486" operator="beginsWith" text="Lancement Projet fil rouge">
      <formula>LEFT(DU26,LEN("Lancement Projet fil rouge"))="Lancement Projet fil rouge"</formula>
    </cfRule>
    <cfRule type="beginsWith" dxfId="8291" priority="26487" operator="beginsWith" text="Vacances">
      <formula>LEFT(DU26,LEN("Vacances"))="Vacances"</formula>
    </cfRule>
    <cfRule type="beginsWith" dxfId="8290" priority="26488" operator="beginsWith" text="Séminaire d'intégration">
      <formula>LEFT(DU26,LEN("Séminaire d'intégration"))="Séminaire d'intégration"</formula>
    </cfRule>
    <cfRule type="beginsWith" dxfId="8289" priority="26489" operator="beginsWith" text="Accueil">
      <formula>LEFT(DU26,LEN("Accueil"))="Accueil"</formula>
    </cfRule>
    <cfRule type="beginsWith" dxfId="8288" priority="26490" operator="beginsWith" text="Stage">
      <formula>LEFT(DU26,LEN("Stage"))="Stage"</formula>
    </cfRule>
    <cfRule type="beginsWith" dxfId="8287" priority="26491" operator="beginsWith" text="Entreprise">
      <formula>LEFT(DU26,LEN("Entreprise"))="Entreprise"</formula>
    </cfRule>
    <cfRule type="beginsWith" dxfId="8286" priority="26492" operator="beginsWith" text="Voltaire">
      <formula>LEFT(DU26,LEN("Voltaire"))="Voltaire"</formula>
    </cfRule>
  </conditionalFormatting>
  <conditionalFormatting sqref="DU36">
    <cfRule type="beginsWith" dxfId="8285" priority="26493" operator="beginsWith" text="Projet professionnel : Séminaire PFI">
      <formula>LEFT(DU36,LEN("Projet professionnel : Séminaire PFI"))="Projet professionnel : Séminaire PFI"</formula>
    </cfRule>
    <cfRule type="beginsWith" dxfId="8284" priority="26494" operator="beginsWith" text="Lancement Projet fil rouge">
      <formula>LEFT(DU36,LEN("Lancement Projet fil rouge"))="Lancement Projet fil rouge"</formula>
    </cfRule>
    <cfRule type="beginsWith" dxfId="8283" priority="26495" operator="beginsWith" text="Vacances">
      <formula>LEFT(DU36,LEN("Vacances"))="Vacances"</formula>
    </cfRule>
    <cfRule type="beginsWith" dxfId="8282" priority="26496" operator="beginsWith" text="Séminaire d'intégration">
      <formula>LEFT(DU36,LEN("Séminaire d'intégration"))="Séminaire d'intégration"</formula>
    </cfRule>
    <cfRule type="beginsWith" dxfId="8281" priority="26497" operator="beginsWith" text="Accueil">
      <formula>LEFT(DU36,LEN("Accueil"))="Accueil"</formula>
    </cfRule>
    <cfRule type="beginsWith" dxfId="8280" priority="26498" operator="beginsWith" text="Stage">
      <formula>LEFT(DU36,LEN("Stage"))="Stage"</formula>
    </cfRule>
    <cfRule type="beginsWith" dxfId="8279" priority="26499" operator="beginsWith" text="Entreprise">
      <formula>LEFT(DU36,LEN("Entreprise"))="Entreprise"</formula>
    </cfRule>
    <cfRule type="beginsWith" dxfId="8278" priority="26500" operator="beginsWith" text="Voltaire">
      <formula>LEFT(DU36,LEN("Voltaire"))="Voltaire"</formula>
    </cfRule>
  </conditionalFormatting>
  <conditionalFormatting sqref="DU47:DU49">
    <cfRule type="beginsWith" dxfId="8277" priority="26365" operator="beginsWith" text="Projet professionnel : Séminaire PFI">
      <formula>LEFT(DU47,LEN("Projet professionnel : Séminaire PFI"))="Projet professionnel : Séminaire PFI"</formula>
    </cfRule>
    <cfRule type="beginsWith" dxfId="8276" priority="26366" operator="beginsWith" text="Lancement Projet fil rouge">
      <formula>LEFT(DU47,LEN("Lancement Projet fil rouge"))="Lancement Projet fil rouge"</formula>
    </cfRule>
    <cfRule type="beginsWith" dxfId="8275" priority="26367" operator="beginsWith" text="Vacances">
      <formula>LEFT(DU47,LEN("Vacances"))="Vacances"</formula>
    </cfRule>
    <cfRule type="beginsWith" dxfId="8274" priority="26368" operator="beginsWith" text="Séminaire d'intégration">
      <formula>LEFT(DU47,LEN("Séminaire d'intégration"))="Séminaire d'intégration"</formula>
    </cfRule>
    <cfRule type="beginsWith" dxfId="8273" priority="26369" operator="beginsWith" text="Accueil">
      <formula>LEFT(DU47,LEN("Accueil"))="Accueil"</formula>
    </cfRule>
    <cfRule type="beginsWith" dxfId="8272" priority="26370" operator="beginsWith" text="Stage">
      <formula>LEFT(DU47,LEN("Stage"))="Stage"</formula>
    </cfRule>
    <cfRule type="beginsWith" dxfId="8271" priority="26371" operator="beginsWith" text="Entreprise">
      <formula>LEFT(DU47,LEN("Entreprise"))="Entreprise"</formula>
    </cfRule>
    <cfRule type="beginsWith" dxfId="8270" priority="26372" operator="beginsWith" text="Voltaire">
      <formula>LEFT(DU47,LEN("Voltaire"))="Voltaire"</formula>
    </cfRule>
  </conditionalFormatting>
  <conditionalFormatting sqref="DU50:DU55">
    <cfRule type="beginsWith" dxfId="8269" priority="15076" operator="beginsWith" text="Projet professionnel : Séminaire PFI">
      <formula>LEFT(DU50,LEN("Projet professionnel : Séminaire PFI"))="Projet professionnel : Séminaire PFI"</formula>
    </cfRule>
    <cfRule type="beginsWith" dxfId="8268" priority="15077" operator="beginsWith" text="Lancement Projet fil rouge">
      <formula>LEFT(DU50,LEN("Lancement Projet fil rouge"))="Lancement Projet fil rouge"</formula>
    </cfRule>
    <cfRule type="beginsWith" dxfId="8267" priority="15078" operator="beginsWith" text="Vacances">
      <formula>LEFT(DU50,LEN("Vacances"))="Vacances"</formula>
    </cfRule>
    <cfRule type="beginsWith" dxfId="8266" priority="15079" operator="beginsWith" text="Séminaire d'intégration">
      <formula>LEFT(DU50,LEN("Séminaire d'intégration"))="Séminaire d'intégration"</formula>
    </cfRule>
    <cfRule type="beginsWith" dxfId="8265" priority="15080" operator="beginsWith" text="Accueil">
      <formula>LEFT(DU50,LEN("Accueil"))="Accueil"</formula>
    </cfRule>
    <cfRule type="beginsWith" dxfId="8264" priority="15081" operator="beginsWith" text="Stage">
      <formula>LEFT(DU50,LEN("Stage"))="Stage"</formula>
    </cfRule>
    <cfRule type="beginsWith" dxfId="8263" priority="15082" operator="beginsWith" text="Entreprise">
      <formula>LEFT(DU50,LEN("Entreprise"))="Entreprise"</formula>
    </cfRule>
    <cfRule type="beginsWith" dxfId="8262" priority="15083" operator="beginsWith" text="Voltaire">
      <formula>LEFT(DU50,LEN("Voltaire"))="Voltaire"</formula>
    </cfRule>
  </conditionalFormatting>
  <conditionalFormatting sqref="DU56">
    <cfRule type="beginsWith" dxfId="8261" priority="15084" operator="beginsWith" text="Projet professionnel : Séminaire PFI">
      <formula>LEFT(DU56,LEN("Projet professionnel : Séminaire PFI"))="Projet professionnel : Séminaire PFI"</formula>
    </cfRule>
    <cfRule type="beginsWith" dxfId="8260" priority="15085" operator="beginsWith" text="Lancement Projet fil rouge">
      <formula>LEFT(DU56,LEN("Lancement Projet fil rouge"))="Lancement Projet fil rouge"</formula>
    </cfRule>
    <cfRule type="beginsWith" dxfId="8259" priority="15086" operator="beginsWith" text="Vacances">
      <formula>LEFT(DU56,LEN("Vacances"))="Vacances"</formula>
    </cfRule>
    <cfRule type="beginsWith" dxfId="8258" priority="15087" operator="beginsWith" text="Séminaire d'intégration">
      <formula>LEFT(DU56,LEN("Séminaire d'intégration"))="Séminaire d'intégration"</formula>
    </cfRule>
    <cfRule type="beginsWith" dxfId="8257" priority="15088" operator="beginsWith" text="Accueil">
      <formula>LEFT(DU56,LEN("Accueil"))="Accueil"</formula>
    </cfRule>
    <cfRule type="beginsWith" dxfId="8256" priority="15089" operator="beginsWith" text="Stage">
      <formula>LEFT(DU56,LEN("Stage"))="Stage"</formula>
    </cfRule>
    <cfRule type="beginsWith" dxfId="8255" priority="15090" operator="beginsWith" text="Entreprise">
      <formula>LEFT(DU56,LEN("Entreprise"))="Entreprise"</formula>
    </cfRule>
    <cfRule type="beginsWith" dxfId="8254" priority="15091" operator="beginsWith" text="Voltaire">
      <formula>LEFT(DU56,LEN("Voltaire"))="Voltaire"</formula>
    </cfRule>
  </conditionalFormatting>
  <conditionalFormatting sqref="DU61">
    <cfRule type="beginsWith" dxfId="8253" priority="15092" operator="beginsWith" text="Projet professionnel : Séminaire PFI">
      <formula>LEFT(DU61,LEN("Projet professionnel : Séminaire PFI"))="Projet professionnel : Séminaire PFI"</formula>
    </cfRule>
    <cfRule type="beginsWith" dxfId="8252" priority="15093" operator="beginsWith" text="Lancement Projet fil rouge">
      <formula>LEFT(DU61,LEN("Lancement Projet fil rouge"))="Lancement Projet fil rouge"</formula>
    </cfRule>
    <cfRule type="beginsWith" dxfId="8251" priority="15094" operator="beginsWith" text="Vacances">
      <formula>LEFT(DU61,LEN("Vacances"))="Vacances"</formula>
    </cfRule>
    <cfRule type="beginsWith" dxfId="8250" priority="15095" operator="beginsWith" text="Séminaire d'intégration">
      <formula>LEFT(DU61,LEN("Séminaire d'intégration"))="Séminaire d'intégration"</formula>
    </cfRule>
    <cfRule type="beginsWith" dxfId="8249" priority="15096" operator="beginsWith" text="Accueil">
      <formula>LEFT(DU61,LEN("Accueil"))="Accueil"</formula>
    </cfRule>
    <cfRule type="beginsWith" dxfId="8248" priority="15097" operator="beginsWith" text="Stage">
      <formula>LEFT(DU61,LEN("Stage"))="Stage"</formula>
    </cfRule>
    <cfRule type="beginsWith" dxfId="8247" priority="15098" operator="beginsWith" text="Entreprise">
      <formula>LEFT(DU61,LEN("Entreprise"))="Entreprise"</formula>
    </cfRule>
    <cfRule type="beginsWith" dxfId="8246" priority="15099" operator="beginsWith" text="Voltaire">
      <formula>LEFT(DU61,LEN("Voltaire"))="Voltaire"</formula>
    </cfRule>
  </conditionalFormatting>
  <conditionalFormatting sqref="DU66">
    <cfRule type="beginsWith" dxfId="8245" priority="26341" operator="beginsWith" text="Projet professionnel : Séminaire PFI">
      <formula>LEFT(DU66,LEN("Projet professionnel : Séminaire PFI"))="Projet professionnel : Séminaire PFI"</formula>
    </cfRule>
    <cfRule type="beginsWith" dxfId="8244" priority="26342" operator="beginsWith" text="Lancement Projet fil rouge">
      <formula>LEFT(DU66,LEN("Lancement Projet fil rouge"))="Lancement Projet fil rouge"</formula>
    </cfRule>
    <cfRule type="beginsWith" dxfId="8243" priority="26343" operator="beginsWith" text="Vacances">
      <formula>LEFT(DU66,LEN("Vacances"))="Vacances"</formula>
    </cfRule>
    <cfRule type="beginsWith" dxfId="8242" priority="26344" operator="beginsWith" text="Séminaire d'intégration">
      <formula>LEFT(DU66,LEN("Séminaire d'intégration"))="Séminaire d'intégration"</formula>
    </cfRule>
    <cfRule type="beginsWith" dxfId="8241" priority="26345" operator="beginsWith" text="Accueil">
      <formula>LEFT(DU66,LEN("Accueil"))="Accueil"</formula>
    </cfRule>
    <cfRule type="beginsWith" dxfId="8240" priority="26346" operator="beginsWith" text="Stage">
      <formula>LEFT(DU66,LEN("Stage"))="Stage"</formula>
    </cfRule>
    <cfRule type="beginsWith" dxfId="8239" priority="26347" operator="beginsWith" text="Entreprise">
      <formula>LEFT(DU66,LEN("Entreprise"))="Entreprise"</formula>
    </cfRule>
    <cfRule type="beginsWith" dxfId="8238" priority="26348" operator="beginsWith" text="Voltaire">
      <formula>LEFT(DU66,LEN("Voltaire"))="Voltaire"</formula>
    </cfRule>
  </conditionalFormatting>
  <conditionalFormatting sqref="DU66:DU74">
    <cfRule type="beginsWith" dxfId="8237" priority="26421" operator="beginsWith" text="Projet professionnel : Séminaire PFI">
      <formula>LEFT(DU66,LEN("Projet professionnel : Séminaire PFI"))="Projet professionnel : Séminaire PFI"</formula>
    </cfRule>
    <cfRule type="beginsWith" dxfId="8236" priority="26422" operator="beginsWith" text="Lancement Projet fil rouge">
      <formula>LEFT(DU66,LEN("Lancement Projet fil rouge"))="Lancement Projet fil rouge"</formula>
    </cfRule>
    <cfRule type="beginsWith" dxfId="8235" priority="26423" operator="beginsWith" text="Vacances">
      <formula>LEFT(DU66,LEN("Vacances"))="Vacances"</formula>
    </cfRule>
    <cfRule type="beginsWith" dxfId="8234" priority="26424" operator="beginsWith" text="Séminaire d'intégration">
      <formula>LEFT(DU66,LEN("Séminaire d'intégration"))="Séminaire d'intégration"</formula>
    </cfRule>
    <cfRule type="beginsWith" dxfId="8233" priority="26425" operator="beginsWith" text="Accueil">
      <formula>LEFT(DU66,LEN("Accueil"))="Accueil"</formula>
    </cfRule>
    <cfRule type="beginsWith" dxfId="8232" priority="26426" operator="beginsWith" text="Stage">
      <formula>LEFT(DU66,LEN("Stage"))="Stage"</formula>
    </cfRule>
    <cfRule type="beginsWith" dxfId="8231" priority="26427" operator="beginsWith" text="Entreprise">
      <formula>LEFT(DU66,LEN("Entreprise"))="Entreprise"</formula>
    </cfRule>
    <cfRule type="beginsWith" dxfId="8230" priority="26428" operator="beginsWith" text="Voltaire">
      <formula>LEFT(DU66,LEN("Voltaire"))="Voltaire"</formula>
    </cfRule>
  </conditionalFormatting>
  <conditionalFormatting sqref="DU75">
    <cfRule type="beginsWith" dxfId="8229" priority="26389" operator="beginsWith" text="Projet professionnel : Séminaire PFI">
      <formula>LEFT(DU75,LEN("Projet professionnel : Séminaire PFI"))="Projet professionnel : Séminaire PFI"</formula>
    </cfRule>
    <cfRule type="beginsWith" dxfId="8228" priority="26390" operator="beginsWith" text="Lancement Projet fil rouge">
      <formula>LEFT(DU75,LEN("Lancement Projet fil rouge"))="Lancement Projet fil rouge"</formula>
    </cfRule>
    <cfRule type="beginsWith" dxfId="8227" priority="26391" operator="beginsWith" text="Vacances">
      <formula>LEFT(DU75,LEN("Vacances"))="Vacances"</formula>
    </cfRule>
    <cfRule type="beginsWith" dxfId="8226" priority="26392" operator="beginsWith" text="Séminaire d'intégration">
      <formula>LEFT(DU75,LEN("Séminaire d'intégration"))="Séminaire d'intégration"</formula>
    </cfRule>
    <cfRule type="beginsWith" dxfId="8225" priority="26393" operator="beginsWith" text="Accueil">
      <formula>LEFT(DU75,LEN("Accueil"))="Accueil"</formula>
    </cfRule>
    <cfRule type="beginsWith" dxfId="8224" priority="26394" operator="beginsWith" text="Stage">
      <formula>LEFT(DU75,LEN("Stage"))="Stage"</formula>
    </cfRule>
    <cfRule type="beginsWith" dxfId="8223" priority="26395" operator="beginsWith" text="Entreprise">
      <formula>LEFT(DU75,LEN("Entreprise"))="Entreprise"</formula>
    </cfRule>
    <cfRule type="beginsWith" dxfId="8222" priority="26396" operator="beginsWith" text="Voltaire">
      <formula>LEFT(DU75,LEN("Voltaire"))="Voltaire"</formula>
    </cfRule>
  </conditionalFormatting>
  <conditionalFormatting sqref="DU81">
    <cfRule type="beginsWith" dxfId="8221" priority="26397" operator="beginsWith" text="Projet professionnel : Séminaire PFI">
      <formula>LEFT(DU81,LEN("Projet professionnel : Séminaire PFI"))="Projet professionnel : Séminaire PFI"</formula>
    </cfRule>
    <cfRule type="beginsWith" dxfId="8220" priority="26398" operator="beginsWith" text="Lancement Projet fil rouge">
      <formula>LEFT(DU81,LEN("Lancement Projet fil rouge"))="Lancement Projet fil rouge"</formula>
    </cfRule>
    <cfRule type="beginsWith" dxfId="8219" priority="26399" operator="beginsWith" text="Vacances">
      <formula>LEFT(DU81,LEN("Vacances"))="Vacances"</formula>
    </cfRule>
    <cfRule type="beginsWith" dxfId="8218" priority="26400" operator="beginsWith" text="Séminaire d'intégration">
      <formula>LEFT(DU81,LEN("Séminaire d'intégration"))="Séminaire d'intégration"</formula>
    </cfRule>
    <cfRule type="beginsWith" dxfId="8217" priority="26401" operator="beginsWith" text="Accueil">
      <formula>LEFT(DU81,LEN("Accueil"))="Accueil"</formula>
    </cfRule>
    <cfRule type="beginsWith" dxfId="8216" priority="26402" operator="beginsWith" text="Stage">
      <formula>LEFT(DU81,LEN("Stage"))="Stage"</formula>
    </cfRule>
    <cfRule type="beginsWith" dxfId="8215" priority="26403" operator="beginsWith" text="Entreprise">
      <formula>LEFT(DU81,LEN("Entreprise"))="Entreprise"</formula>
    </cfRule>
    <cfRule type="beginsWith" dxfId="8214" priority="26404" operator="beginsWith" text="Voltaire">
      <formula>LEFT(DU81,LEN("Voltaire"))="Voltaire"</formula>
    </cfRule>
  </conditionalFormatting>
  <conditionalFormatting sqref="DU86">
    <cfRule type="beginsWith" dxfId="8213" priority="26405" operator="beginsWith" text="Projet professionnel : Séminaire PFI">
      <formula>LEFT(DU86,LEN("Projet professionnel : Séminaire PFI"))="Projet professionnel : Séminaire PFI"</formula>
    </cfRule>
    <cfRule type="beginsWith" dxfId="8212" priority="26406" operator="beginsWith" text="Lancement Projet fil rouge">
      <formula>LEFT(DU86,LEN("Lancement Projet fil rouge"))="Lancement Projet fil rouge"</formula>
    </cfRule>
    <cfRule type="beginsWith" dxfId="8211" priority="26407" operator="beginsWith" text="Vacances">
      <formula>LEFT(DU86,LEN("Vacances"))="Vacances"</formula>
    </cfRule>
    <cfRule type="beginsWith" dxfId="8210" priority="26408" operator="beginsWith" text="Séminaire d'intégration">
      <formula>LEFT(DU86,LEN("Séminaire d'intégration"))="Séminaire d'intégration"</formula>
    </cfRule>
    <cfRule type="beginsWith" dxfId="8209" priority="26409" operator="beginsWith" text="Accueil">
      <formula>LEFT(DU86,LEN("Accueil"))="Accueil"</formula>
    </cfRule>
    <cfRule type="beginsWith" dxfId="8208" priority="26410" operator="beginsWith" text="Stage">
      <formula>LEFT(DU86,LEN("Stage"))="Stage"</formula>
    </cfRule>
    <cfRule type="beginsWith" dxfId="8207" priority="26411" operator="beginsWith" text="Entreprise">
      <formula>LEFT(DU86,LEN("Entreprise"))="Entreprise"</formula>
    </cfRule>
    <cfRule type="beginsWith" dxfId="8206" priority="26412" operator="beginsWith" text="Voltaire">
      <formula>LEFT(DU86,LEN("Voltaire"))="Voltaire"</formula>
    </cfRule>
  </conditionalFormatting>
  <conditionalFormatting sqref="DU91">
    <cfRule type="beginsWith" dxfId="8205" priority="26333" operator="beginsWith" text="Projet professionnel : Séminaire PFI">
      <formula>LEFT(DU91,LEN("Projet professionnel : Séminaire PFI"))="Projet professionnel : Séminaire PFI"</formula>
    </cfRule>
    <cfRule type="beginsWith" dxfId="8204" priority="26334" operator="beginsWith" text="Lancement Projet fil rouge">
      <formula>LEFT(DU91,LEN("Lancement Projet fil rouge"))="Lancement Projet fil rouge"</formula>
    </cfRule>
    <cfRule type="beginsWith" dxfId="8203" priority="26335" operator="beginsWith" text="Vacances">
      <formula>LEFT(DU91,LEN("Vacances"))="Vacances"</formula>
    </cfRule>
    <cfRule type="beginsWith" dxfId="8202" priority="26336" operator="beginsWith" text="Séminaire d'intégration">
      <formula>LEFT(DU91,LEN("Séminaire d'intégration"))="Séminaire d'intégration"</formula>
    </cfRule>
    <cfRule type="beginsWith" dxfId="8201" priority="26337" operator="beginsWith" text="Accueil">
      <formula>LEFT(DU91,LEN("Accueil"))="Accueil"</formula>
    </cfRule>
    <cfRule type="beginsWith" dxfId="8200" priority="26338" operator="beginsWith" text="Stage">
      <formula>LEFT(DU91,LEN("Stage"))="Stage"</formula>
    </cfRule>
    <cfRule type="beginsWith" dxfId="8199" priority="26339" operator="beginsWith" text="Entreprise">
      <formula>LEFT(DU91,LEN("Entreprise"))="Entreprise"</formula>
    </cfRule>
    <cfRule type="beginsWith" dxfId="8198" priority="26340" operator="beginsWith" text="Voltaire">
      <formula>LEFT(DU91,LEN("Voltaire"))="Voltaire"</formula>
    </cfRule>
  </conditionalFormatting>
  <conditionalFormatting sqref="DU96">
    <cfRule type="beginsWith" dxfId="8197" priority="26413" operator="beginsWith" text="Projet professionnel : Séminaire PFI">
      <formula>LEFT(DU96,LEN("Projet professionnel : Séminaire PFI"))="Projet professionnel : Séminaire PFI"</formula>
    </cfRule>
    <cfRule type="beginsWith" dxfId="8196" priority="26414" operator="beginsWith" text="Lancement Projet fil rouge">
      <formula>LEFT(DU96,LEN("Lancement Projet fil rouge"))="Lancement Projet fil rouge"</formula>
    </cfRule>
    <cfRule type="beginsWith" dxfId="8195" priority="26415" operator="beginsWith" text="Vacances">
      <formula>LEFT(DU96,LEN("Vacances"))="Vacances"</formula>
    </cfRule>
    <cfRule type="beginsWith" dxfId="8194" priority="26416" operator="beginsWith" text="Séminaire d'intégration">
      <formula>LEFT(DU96,LEN("Séminaire d'intégration"))="Séminaire d'intégration"</formula>
    </cfRule>
    <cfRule type="beginsWith" dxfId="8193" priority="26417" operator="beginsWith" text="Accueil">
      <formula>LEFT(DU96,LEN("Accueil"))="Accueil"</formula>
    </cfRule>
    <cfRule type="beginsWith" dxfId="8192" priority="26418" operator="beginsWith" text="Stage">
      <formula>LEFT(DU96,LEN("Stage"))="Stage"</formula>
    </cfRule>
    <cfRule type="beginsWith" dxfId="8191" priority="26419" operator="beginsWith" text="Entreprise">
      <formula>LEFT(DU96,LEN("Entreprise"))="Entreprise"</formula>
    </cfRule>
    <cfRule type="beginsWith" dxfId="8190" priority="26420" operator="beginsWith" text="Voltaire">
      <formula>LEFT(DU96,LEN("Voltaire"))="Voltaire"</formula>
    </cfRule>
  </conditionalFormatting>
  <conditionalFormatting sqref="DU1:DU2 DU5 DU46">
    <cfRule type="beginsWith" dxfId="8189" priority="26549" operator="beginsWith" text="Projet professionnel : Séminaire PFI">
      <formula>LEFT(DU1,LEN("Projet professionnel : Séminaire PFI"))="Projet professionnel : Séminaire PFI"</formula>
    </cfRule>
    <cfRule type="beginsWith" dxfId="8188" priority="26550" operator="beginsWith" text="Lancement Projet fil rouge">
      <formula>LEFT(DU1,LEN("Lancement Projet fil rouge"))="Lancement Projet fil rouge"</formula>
    </cfRule>
    <cfRule type="beginsWith" dxfId="8187" priority="26551" operator="beginsWith" text="Vacances">
      <formula>LEFT(DU1,LEN("Vacances"))="Vacances"</formula>
    </cfRule>
    <cfRule type="beginsWith" dxfId="8186" priority="26552" operator="beginsWith" text="Séminaire d'intégration">
      <formula>LEFT(DU1,LEN("Séminaire d'intégration"))="Séminaire d'intégration"</formula>
    </cfRule>
    <cfRule type="beginsWith" dxfId="8185" priority="26553" operator="beginsWith" text="Accueil">
      <formula>LEFT(DU1,LEN("Accueil"))="Accueil"</formula>
    </cfRule>
    <cfRule type="beginsWith" dxfId="8184" priority="26554" operator="beginsWith" text="Stage">
      <formula>LEFT(DU1,LEN("Stage"))="Stage"</formula>
    </cfRule>
    <cfRule type="beginsWith" dxfId="8183" priority="26555" operator="beginsWith" text="Entreprise">
      <formula>LEFT(DU1,LEN("Entreprise"))="Entreprise"</formula>
    </cfRule>
    <cfRule type="beginsWith" dxfId="8182" priority="26556" operator="beginsWith" text="Voltaire">
      <formula>LEFT(DU1,LEN("Voltaire"))="Voltaire"</formula>
    </cfRule>
  </conditionalFormatting>
  <conditionalFormatting sqref="DU106:DU108">
    <cfRule type="beginsWith" dxfId="8181" priority="26381" operator="beginsWith" text="Projet professionnel : Séminaire PFI">
      <formula>LEFT(DU106,LEN("Projet professionnel : Séminaire PFI"))="Projet professionnel : Séminaire PFI"</formula>
    </cfRule>
    <cfRule type="beginsWith" dxfId="8180" priority="26382" operator="beginsWith" text="Lancement Projet fil rouge">
      <formula>LEFT(DU106,LEN("Lancement Projet fil rouge"))="Lancement Projet fil rouge"</formula>
    </cfRule>
    <cfRule type="beginsWith" dxfId="8179" priority="26383" operator="beginsWith" text="Vacances">
      <formula>LEFT(DU106,LEN("Vacances"))="Vacances"</formula>
    </cfRule>
    <cfRule type="beginsWith" dxfId="8178" priority="26384" operator="beginsWith" text="Séminaire d'intégration">
      <formula>LEFT(DU106,LEN("Séminaire d'intégration"))="Séminaire d'intégration"</formula>
    </cfRule>
    <cfRule type="beginsWith" dxfId="8177" priority="26385" operator="beginsWith" text="Accueil">
      <formula>LEFT(DU106,LEN("Accueil"))="Accueil"</formula>
    </cfRule>
    <cfRule type="beginsWith" dxfId="8176" priority="26386" operator="beginsWith" text="Stage">
      <formula>LEFT(DU106,LEN("Stage"))="Stage"</formula>
    </cfRule>
    <cfRule type="beginsWith" dxfId="8175" priority="26387" operator="beginsWith" text="Entreprise">
      <formula>LEFT(DU106,LEN("Entreprise"))="Entreprise"</formula>
    </cfRule>
    <cfRule type="beginsWith" dxfId="8174" priority="26388" operator="beginsWith" text="Voltaire">
      <formula>LEFT(DU106,LEN("Voltaire"))="Voltaire"</formula>
    </cfRule>
  </conditionalFormatting>
  <conditionalFormatting sqref="DU109:DU115">
    <cfRule type="beginsWith" dxfId="8173" priority="26325" operator="beginsWith" text="Projet professionnel : Séminaire PFI">
      <formula>LEFT(DU109,LEN("Projet professionnel : Séminaire PFI"))="Projet professionnel : Séminaire PFI"</formula>
    </cfRule>
    <cfRule type="beginsWith" dxfId="8172" priority="26326" operator="beginsWith" text="Lancement Projet fil rouge">
      <formula>LEFT(DU109,LEN("Lancement Projet fil rouge"))="Lancement Projet fil rouge"</formula>
    </cfRule>
    <cfRule type="beginsWith" dxfId="8171" priority="26327" operator="beginsWith" text="Vacances">
      <formula>LEFT(DU109,LEN("Vacances"))="Vacances"</formula>
    </cfRule>
    <cfRule type="beginsWith" dxfId="8170" priority="26328" operator="beginsWith" text="Séminaire d'intégration">
      <formula>LEFT(DU109,LEN("Séminaire d'intégration"))="Séminaire d'intégration"</formula>
    </cfRule>
    <cfRule type="beginsWith" dxfId="8169" priority="26329" operator="beginsWith" text="Accueil">
      <formula>LEFT(DU109,LEN("Accueil"))="Accueil"</formula>
    </cfRule>
    <cfRule type="beginsWith" dxfId="8168" priority="26330" operator="beginsWith" text="Stage">
      <formula>LEFT(DU109,LEN("Stage"))="Stage"</formula>
    </cfRule>
    <cfRule type="beginsWith" dxfId="8167" priority="26331" operator="beginsWith" text="Entreprise">
      <formula>LEFT(DU109,LEN("Entreprise"))="Entreprise"</formula>
    </cfRule>
    <cfRule type="beginsWith" dxfId="8166" priority="26332" operator="beginsWith" text="Voltaire">
      <formula>LEFT(DU109,LEN("Voltaire"))="Voltaire"</formula>
    </cfRule>
  </conditionalFormatting>
  <conditionalFormatting sqref="DU116">
    <cfRule type="beginsWith" dxfId="8165" priority="26317" operator="beginsWith" text="Projet professionnel : Séminaire PFI">
      <formula>LEFT(DU116,LEN("Projet professionnel : Séminaire PFI"))="Projet professionnel : Séminaire PFI"</formula>
    </cfRule>
    <cfRule type="beginsWith" dxfId="8164" priority="26318" operator="beginsWith" text="Lancement Projet fil rouge">
      <formula>LEFT(DU116,LEN("Lancement Projet fil rouge"))="Lancement Projet fil rouge"</formula>
    </cfRule>
    <cfRule type="beginsWith" dxfId="8163" priority="26319" operator="beginsWith" text="Vacances">
      <formula>LEFT(DU116,LEN("Vacances"))="Vacances"</formula>
    </cfRule>
    <cfRule type="beginsWith" dxfId="8162" priority="26320" operator="beginsWith" text="Séminaire d'intégration">
      <formula>LEFT(DU116,LEN("Séminaire d'intégration"))="Séminaire d'intégration"</formula>
    </cfRule>
    <cfRule type="beginsWith" dxfId="8161" priority="26321" operator="beginsWith" text="Accueil">
      <formula>LEFT(DU116,LEN("Accueil"))="Accueil"</formula>
    </cfRule>
    <cfRule type="beginsWith" dxfId="8160" priority="26322" operator="beginsWith" text="Stage">
      <formula>LEFT(DU116,LEN("Stage"))="Stage"</formula>
    </cfRule>
    <cfRule type="beginsWith" dxfId="8159" priority="26323" operator="beginsWith" text="Entreprise">
      <formula>LEFT(DU116,LEN("Entreprise"))="Entreprise"</formula>
    </cfRule>
    <cfRule type="beginsWith" dxfId="8158" priority="26324" operator="beginsWith" text="Voltaire">
      <formula>LEFT(DU116,LEN("Voltaire"))="Voltaire"</formula>
    </cfRule>
  </conditionalFormatting>
  <conditionalFormatting sqref="DU121">
    <cfRule type="beginsWith" dxfId="8157" priority="26309" operator="beginsWith" text="Projet professionnel : Séminaire PFI">
      <formula>LEFT(DU121,LEN("Projet professionnel : Séminaire PFI"))="Projet professionnel : Séminaire PFI"</formula>
    </cfRule>
    <cfRule type="beginsWith" dxfId="8156" priority="26310" operator="beginsWith" text="Lancement Projet fil rouge">
      <formula>LEFT(DU121,LEN("Lancement Projet fil rouge"))="Lancement Projet fil rouge"</formula>
    </cfRule>
    <cfRule type="beginsWith" dxfId="8155" priority="26311" operator="beginsWith" text="Vacances">
      <formula>LEFT(DU121,LEN("Vacances"))="Vacances"</formula>
    </cfRule>
    <cfRule type="beginsWith" dxfId="8154" priority="26312" operator="beginsWith" text="Séminaire d'intégration">
      <formula>LEFT(DU121,LEN("Séminaire d'intégration"))="Séminaire d'intégration"</formula>
    </cfRule>
    <cfRule type="beginsWith" dxfId="8153" priority="26313" operator="beginsWith" text="Accueil">
      <formula>LEFT(DU121,LEN("Accueil"))="Accueil"</formula>
    </cfRule>
    <cfRule type="beginsWith" dxfId="8152" priority="26314" operator="beginsWith" text="Stage">
      <formula>LEFT(DU121,LEN("Stage"))="Stage"</formula>
    </cfRule>
    <cfRule type="beginsWith" dxfId="8151" priority="26315" operator="beginsWith" text="Entreprise">
      <formula>LEFT(DU121,LEN("Entreprise"))="Entreprise"</formula>
    </cfRule>
    <cfRule type="beginsWith" dxfId="8150" priority="26316" operator="beginsWith" text="Voltaire">
      <formula>LEFT(DU121,LEN("Voltaire"))="Voltaire"</formula>
    </cfRule>
  </conditionalFormatting>
  <conditionalFormatting sqref="DU126">
    <cfRule type="beginsWith" dxfId="8149" priority="26285" operator="beginsWith" text="Projet professionnel : Séminaire PFI">
      <formula>LEFT(DU126,LEN("Projet professionnel : Séminaire PFI"))="Projet professionnel : Séminaire PFI"</formula>
    </cfRule>
    <cfRule type="beginsWith" dxfId="8148" priority="26286" operator="beginsWith" text="Lancement Projet fil rouge">
      <formula>LEFT(DU126,LEN("Lancement Projet fil rouge"))="Lancement Projet fil rouge"</formula>
    </cfRule>
    <cfRule type="beginsWith" dxfId="8147" priority="26287" operator="beginsWith" text="Vacances">
      <formula>LEFT(DU126,LEN("Vacances"))="Vacances"</formula>
    </cfRule>
    <cfRule type="beginsWith" dxfId="8146" priority="26288" operator="beginsWith" text="Séminaire d'intégration">
      <formula>LEFT(DU126,LEN("Séminaire d'intégration"))="Séminaire d'intégration"</formula>
    </cfRule>
    <cfRule type="beginsWith" dxfId="8145" priority="26289" operator="beginsWith" text="Accueil">
      <formula>LEFT(DU126,LEN("Accueil"))="Accueil"</formula>
    </cfRule>
    <cfRule type="beginsWith" dxfId="8144" priority="26290" operator="beginsWith" text="Stage">
      <formula>LEFT(DU126,LEN("Stage"))="Stage"</formula>
    </cfRule>
    <cfRule type="beginsWith" dxfId="8143" priority="26291" operator="beginsWith" text="Entreprise">
      <formula>LEFT(DU126,LEN("Entreprise"))="Entreprise"</formula>
    </cfRule>
    <cfRule type="beginsWith" dxfId="8142" priority="26292" operator="beginsWith" text="Voltaire">
      <formula>LEFT(DU126,LEN("Voltaire"))="Voltaire"</formula>
    </cfRule>
  </conditionalFormatting>
  <conditionalFormatting sqref="DU141:DU149">
    <cfRule type="beginsWith" dxfId="8141" priority="26293" operator="beginsWith" text="Projet professionnel : Séminaire PFI">
      <formula>LEFT(DU141,LEN("Projet professionnel : Séminaire PFI"))="Projet professionnel : Séminaire PFI"</formula>
    </cfRule>
    <cfRule type="beginsWith" dxfId="8140" priority="26294" operator="beginsWith" text="Lancement Projet fil rouge">
      <formula>LEFT(DU141,LEN("Lancement Projet fil rouge"))="Lancement Projet fil rouge"</formula>
    </cfRule>
    <cfRule type="beginsWith" dxfId="8139" priority="26295" operator="beginsWith" text="Vacances">
      <formula>LEFT(DU141,LEN("Vacances"))="Vacances"</formula>
    </cfRule>
    <cfRule type="beginsWith" dxfId="8138" priority="26296" operator="beginsWith" text="Séminaire d'intégration">
      <formula>LEFT(DU141,LEN("Séminaire d'intégration"))="Séminaire d'intégration"</formula>
    </cfRule>
    <cfRule type="beginsWith" dxfId="8137" priority="26297" operator="beginsWith" text="Accueil">
      <formula>LEFT(DU141,LEN("Accueil"))="Accueil"</formula>
    </cfRule>
    <cfRule type="beginsWith" dxfId="8136" priority="26298" operator="beginsWith" text="Stage">
      <formula>LEFT(DU141,LEN("Stage"))="Stage"</formula>
    </cfRule>
    <cfRule type="beginsWith" dxfId="8135" priority="26299" operator="beginsWith" text="Entreprise">
      <formula>LEFT(DU141,LEN("Entreprise"))="Entreprise"</formula>
    </cfRule>
    <cfRule type="beginsWith" dxfId="8134" priority="26300" operator="beginsWith" text="Voltaire">
      <formula>LEFT(DU141,LEN("Voltaire"))="Voltaire"</formula>
    </cfRule>
  </conditionalFormatting>
  <conditionalFormatting sqref="DU150:DU155">
    <cfRule type="beginsWith" dxfId="8133" priority="26277" operator="beginsWith" text="Projet professionnel : Séminaire PFI">
      <formula>LEFT(DU150,LEN("Projet professionnel : Séminaire PFI"))="Projet professionnel : Séminaire PFI"</formula>
    </cfRule>
    <cfRule type="beginsWith" dxfId="8132" priority="26278" operator="beginsWith" text="Lancement Projet fil rouge">
      <formula>LEFT(DU150,LEN("Lancement Projet fil rouge"))="Lancement Projet fil rouge"</formula>
    </cfRule>
    <cfRule type="beginsWith" dxfId="8131" priority="26279" operator="beginsWith" text="Vacances">
      <formula>LEFT(DU150,LEN("Vacances"))="Vacances"</formula>
    </cfRule>
    <cfRule type="beginsWith" dxfId="8130" priority="26280" operator="beginsWith" text="Séminaire d'intégration">
      <formula>LEFT(DU150,LEN("Séminaire d'intégration"))="Séminaire d'intégration"</formula>
    </cfRule>
    <cfRule type="beginsWith" dxfId="8129" priority="26281" operator="beginsWith" text="Accueil">
      <formula>LEFT(DU150,LEN("Accueil"))="Accueil"</formula>
    </cfRule>
    <cfRule type="beginsWith" dxfId="8128" priority="26282" operator="beginsWith" text="Stage">
      <formula>LEFT(DU150,LEN("Stage"))="Stage"</formula>
    </cfRule>
    <cfRule type="beginsWith" dxfId="8127" priority="26283" operator="beginsWith" text="Entreprise">
      <formula>LEFT(DU150,LEN("Entreprise"))="Entreprise"</formula>
    </cfRule>
    <cfRule type="beginsWith" dxfId="8126" priority="26284" operator="beginsWith" text="Voltaire">
      <formula>LEFT(DU150,LEN("Voltaire"))="Voltaire"</formula>
    </cfRule>
  </conditionalFormatting>
  <conditionalFormatting sqref="DU156">
    <cfRule type="beginsWith" dxfId="8125" priority="25432" operator="beginsWith" text="Projet professionnel : Séminaire PFI">
      <formula>LEFT(DU156,LEN("Projet professionnel : Séminaire PFI"))="Projet professionnel : Séminaire PFI"</formula>
    </cfRule>
    <cfRule type="beginsWith" dxfId="8124" priority="25433" operator="beginsWith" text="Lancement Projet fil rouge">
      <formula>LEFT(DU156,LEN("Lancement Projet fil rouge"))="Lancement Projet fil rouge"</formula>
    </cfRule>
    <cfRule type="beginsWith" dxfId="8123" priority="25434" operator="beginsWith" text="Vacances">
      <formula>LEFT(DU156,LEN("Vacances"))="Vacances"</formula>
    </cfRule>
    <cfRule type="beginsWith" dxfId="8122" priority="25435" operator="beginsWith" text="Séminaire d'intégration">
      <formula>LEFT(DU156,LEN("Séminaire d'intégration"))="Séminaire d'intégration"</formula>
    </cfRule>
    <cfRule type="beginsWith" dxfId="8121" priority="25436" operator="beginsWith" text="Accueil">
      <formula>LEFT(DU156,LEN("Accueil"))="Accueil"</formula>
    </cfRule>
    <cfRule type="beginsWith" dxfId="8120" priority="25437" operator="beginsWith" text="Stage">
      <formula>LEFT(DU156,LEN("Stage"))="Stage"</formula>
    </cfRule>
    <cfRule type="beginsWith" dxfId="8119" priority="25438" operator="beginsWith" text="Entreprise">
      <formula>LEFT(DU156,LEN("Entreprise"))="Entreprise"</formula>
    </cfRule>
    <cfRule type="beginsWith" dxfId="8118" priority="25439" operator="beginsWith" text="Voltaire">
      <formula>LEFT(DU156,LEN("Voltaire"))="Voltaire"</formula>
    </cfRule>
    <cfRule type="beginsWith" dxfId="8117" priority="25440" operator="beginsWith" text="Projet professionnel : Séminaire PFI">
      <formula>LEFT(DU156,LEN("Projet professionnel : Séminaire PFI"))="Projet professionnel : Séminaire PFI"</formula>
    </cfRule>
    <cfRule type="beginsWith" dxfId="8116" priority="25441" operator="beginsWith" text="Lancement Projet fil rouge">
      <formula>LEFT(DU156,LEN("Lancement Projet fil rouge"))="Lancement Projet fil rouge"</formula>
    </cfRule>
    <cfRule type="beginsWith" dxfId="8115" priority="25442" operator="beginsWith" text="Vacances">
      <formula>LEFT(DU156,LEN("Vacances"))="Vacances"</formula>
    </cfRule>
    <cfRule type="beginsWith" dxfId="8114" priority="25443" operator="beginsWith" text="Séminaire d'intégration">
      <formula>LEFT(DU156,LEN("Séminaire d'intégration"))="Séminaire d'intégration"</formula>
    </cfRule>
    <cfRule type="beginsWith" dxfId="8113" priority="25444" operator="beginsWith" text="Accueil">
      <formula>LEFT(DU156,LEN("Accueil"))="Accueil"</formula>
    </cfRule>
    <cfRule type="beginsWith" dxfId="8112" priority="25445" operator="beginsWith" text="Stage">
      <formula>LEFT(DU156,LEN("Stage"))="Stage"</formula>
    </cfRule>
    <cfRule type="beginsWith" dxfId="8111" priority="25446" operator="beginsWith" text="Entreprise">
      <formula>LEFT(DU156,LEN("Entreprise"))="Entreprise"</formula>
    </cfRule>
    <cfRule type="beginsWith" dxfId="8110" priority="25447" operator="beginsWith" text="Voltaire">
      <formula>LEFT(DU156,LEN("Voltaire"))="Voltaire"</formula>
    </cfRule>
  </conditionalFormatting>
  <conditionalFormatting sqref="DU161">
    <cfRule type="beginsWith" dxfId="8109" priority="26301" operator="beginsWith" text="Projet professionnel : Séminaire PFI">
      <formula>LEFT(DU161,LEN("Projet professionnel : Séminaire PFI"))="Projet professionnel : Séminaire PFI"</formula>
    </cfRule>
    <cfRule type="beginsWith" dxfId="8108" priority="26302" operator="beginsWith" text="Lancement Projet fil rouge">
      <formula>LEFT(DU161,LEN("Lancement Projet fil rouge"))="Lancement Projet fil rouge"</formula>
    </cfRule>
    <cfRule type="beginsWith" dxfId="8107" priority="26303" operator="beginsWith" text="Vacances">
      <formula>LEFT(DU161,LEN("Vacances"))="Vacances"</formula>
    </cfRule>
    <cfRule type="beginsWith" dxfId="8106" priority="26304" operator="beginsWith" text="Séminaire d'intégration">
      <formula>LEFT(DU161,LEN("Séminaire d'intégration"))="Séminaire d'intégration"</formula>
    </cfRule>
    <cfRule type="beginsWith" dxfId="8105" priority="26305" operator="beginsWith" text="Accueil">
      <formula>LEFT(DU161,LEN("Accueil"))="Accueil"</formula>
    </cfRule>
    <cfRule type="beginsWith" dxfId="8104" priority="26306" operator="beginsWith" text="Stage">
      <formula>LEFT(DU161,LEN("Stage"))="Stage"</formula>
    </cfRule>
    <cfRule type="beginsWith" dxfId="8103" priority="26307" operator="beginsWith" text="Entreprise">
      <formula>LEFT(DU161,LEN("Entreprise"))="Entreprise"</formula>
    </cfRule>
    <cfRule type="beginsWith" dxfId="8102" priority="26308" operator="beginsWith" text="Voltaire">
      <formula>LEFT(DU161,LEN("Voltaire"))="Voltaire"</formula>
    </cfRule>
  </conditionalFormatting>
  <conditionalFormatting sqref="DU166">
    <cfRule type="beginsWith" dxfId="8101" priority="15068" operator="beginsWith" text="Projet professionnel : Séminaire PFI">
      <formula>LEFT(DU166,LEN("Projet professionnel : Séminaire PFI"))="Projet professionnel : Séminaire PFI"</formula>
    </cfRule>
    <cfRule type="beginsWith" dxfId="8100" priority="15069" operator="beginsWith" text="Lancement Projet fil rouge">
      <formula>LEFT(DU166,LEN("Lancement Projet fil rouge"))="Lancement Projet fil rouge"</formula>
    </cfRule>
    <cfRule type="beginsWith" dxfId="8099" priority="15070" operator="beginsWith" text="Vacances">
      <formula>LEFT(DU166,LEN("Vacances"))="Vacances"</formula>
    </cfRule>
    <cfRule type="beginsWith" dxfId="8098" priority="15071" operator="beginsWith" text="Séminaire d'intégration">
      <formula>LEFT(DU166,LEN("Séminaire d'intégration"))="Séminaire d'intégration"</formula>
    </cfRule>
    <cfRule type="beginsWith" dxfId="8097" priority="15072" operator="beginsWith" text="Accueil">
      <formula>LEFT(DU166,LEN("Accueil"))="Accueil"</formula>
    </cfRule>
    <cfRule type="beginsWith" dxfId="8096" priority="15073" operator="beginsWith" text="Stage">
      <formula>LEFT(DU166,LEN("Stage"))="Stage"</formula>
    </cfRule>
    <cfRule type="beginsWith" dxfId="8095" priority="15074" operator="beginsWith" text="Entreprise">
      <formula>LEFT(DU166,LEN("Entreprise"))="Entreprise"</formula>
    </cfRule>
    <cfRule type="beginsWith" dxfId="8094" priority="15075" operator="beginsWith" text="Voltaire">
      <formula>LEFT(DU166,LEN("Voltaire"))="Voltaire"</formula>
    </cfRule>
  </conditionalFormatting>
  <conditionalFormatting sqref="DU171:DU177">
    <cfRule type="beginsWith" dxfId="8093" priority="15060" operator="beginsWith" text="Projet professionnel : Séminaire PFI">
      <formula>LEFT(DU171,LEN("Projet professionnel : Séminaire PFI"))="Projet professionnel : Séminaire PFI"</formula>
    </cfRule>
    <cfRule type="beginsWith" dxfId="8092" priority="15061" operator="beginsWith" text="Lancement Projet fil rouge">
      <formula>LEFT(DU171,LEN("Lancement Projet fil rouge"))="Lancement Projet fil rouge"</formula>
    </cfRule>
    <cfRule type="beginsWith" dxfId="8091" priority="15062" operator="beginsWith" text="Vacances">
      <formula>LEFT(DU171,LEN("Vacances"))="Vacances"</formula>
    </cfRule>
    <cfRule type="beginsWith" dxfId="8090" priority="15063" operator="beginsWith" text="Séminaire d'intégration">
      <formula>LEFT(DU171,LEN("Séminaire d'intégration"))="Séminaire d'intégration"</formula>
    </cfRule>
    <cfRule type="beginsWith" dxfId="8089" priority="15064" operator="beginsWith" text="Accueil">
      <formula>LEFT(DU171,LEN("Accueil"))="Accueil"</formula>
    </cfRule>
    <cfRule type="beginsWith" dxfId="8088" priority="15065" operator="beginsWith" text="Stage">
      <formula>LEFT(DU171,LEN("Stage"))="Stage"</formula>
    </cfRule>
    <cfRule type="beginsWith" dxfId="8087" priority="15066" operator="beginsWith" text="Entreprise">
      <formula>LEFT(DU171,LEN("Entreprise"))="Entreprise"</formula>
    </cfRule>
    <cfRule type="beginsWith" dxfId="8086" priority="15067" operator="beginsWith" text="Voltaire">
      <formula>LEFT(DU171,LEN("Voltaire"))="Voltaire"</formula>
    </cfRule>
  </conditionalFormatting>
  <conditionalFormatting sqref="DU178:DU179">
    <cfRule type="beginsWith" dxfId="8085" priority="26445" operator="beginsWith" text="Projet professionnel : Séminaire PFI">
      <formula>LEFT(DU178,LEN("Projet professionnel : Séminaire PFI"))="Projet professionnel : Séminaire PFI"</formula>
    </cfRule>
    <cfRule type="beginsWith" dxfId="8084" priority="26446" operator="beginsWith" text="Lancement Projet fil rouge">
      <formula>LEFT(DU178,LEN("Lancement Projet fil rouge"))="Lancement Projet fil rouge"</formula>
    </cfRule>
    <cfRule type="beginsWith" dxfId="8083" priority="26447" operator="beginsWith" text="Vacances">
      <formula>LEFT(DU178,LEN("Vacances"))="Vacances"</formula>
    </cfRule>
    <cfRule type="beginsWith" dxfId="8082" priority="26448" operator="beginsWith" text="Séminaire d'intégration">
      <formula>LEFT(DU178,LEN("Séminaire d'intégration"))="Séminaire d'intégration"</formula>
    </cfRule>
    <cfRule type="beginsWith" dxfId="8081" priority="26449" operator="beginsWith" text="Accueil">
      <formula>LEFT(DU178,LEN("Accueil"))="Accueil"</formula>
    </cfRule>
    <cfRule type="beginsWith" dxfId="8080" priority="26450" operator="beginsWith" text="Stage">
      <formula>LEFT(DU178,LEN("Stage"))="Stage"</formula>
    </cfRule>
    <cfRule type="beginsWith" dxfId="8079" priority="26451" operator="beginsWith" text="Entreprise">
      <formula>LEFT(DU178,LEN("Entreprise"))="Entreprise"</formula>
    </cfRule>
    <cfRule type="beginsWith" dxfId="8078" priority="26452" operator="beginsWith" text="Voltaire">
      <formula>LEFT(DU178,LEN("Voltaire"))="Voltaire"</formula>
    </cfRule>
  </conditionalFormatting>
  <conditionalFormatting sqref="DU180">
    <cfRule type="beginsWith" dxfId="8077" priority="26261" operator="beginsWith" text="Projet professionnel : Séminaire PFI">
      <formula>LEFT(DU180,LEN("Projet professionnel : Séminaire PFI"))="Projet professionnel : Séminaire PFI"</formula>
    </cfRule>
    <cfRule type="beginsWith" dxfId="8076" priority="26262" operator="beginsWith" text="Lancement Projet fil rouge">
      <formula>LEFT(DU180,LEN("Lancement Projet fil rouge"))="Lancement Projet fil rouge"</formula>
    </cfRule>
    <cfRule type="beginsWith" dxfId="8075" priority="26263" operator="beginsWith" text="Vacances">
      <formula>LEFT(DU180,LEN("Vacances"))="Vacances"</formula>
    </cfRule>
    <cfRule type="beginsWith" dxfId="8074" priority="26264" operator="beginsWith" text="Séminaire d'intégration">
      <formula>LEFT(DU180,LEN("Séminaire d'intégration"))="Séminaire d'intégration"</formula>
    </cfRule>
    <cfRule type="beginsWith" dxfId="8073" priority="26265" operator="beginsWith" text="Accueil">
      <formula>LEFT(DU180,LEN("Accueil"))="Accueil"</formula>
    </cfRule>
    <cfRule type="beginsWith" dxfId="8072" priority="26266" operator="beginsWith" text="Stage">
      <formula>LEFT(DU180,LEN("Stage"))="Stage"</formula>
    </cfRule>
    <cfRule type="beginsWith" dxfId="8071" priority="26267" operator="beginsWith" text="Entreprise">
      <formula>LEFT(DU180,LEN("Entreprise"))="Entreprise"</formula>
    </cfRule>
    <cfRule type="beginsWith" dxfId="8070" priority="26268" operator="beginsWith" text="Voltaire">
      <formula>LEFT(DU180,LEN("Voltaire"))="Voltaire"</formula>
    </cfRule>
  </conditionalFormatting>
  <conditionalFormatting sqref="DU191:DU192">
    <cfRule type="beginsWith" dxfId="8069" priority="26229" operator="beginsWith" text="Projet professionnel : Séminaire PFI">
      <formula>LEFT(DU191,LEN("Projet professionnel : Séminaire PFI"))="Projet professionnel : Séminaire PFI"</formula>
    </cfRule>
    <cfRule type="beginsWith" dxfId="8068" priority="26230" operator="beginsWith" text="Lancement Projet fil rouge">
      <formula>LEFT(DU191,LEN("Lancement Projet fil rouge"))="Lancement Projet fil rouge"</formula>
    </cfRule>
    <cfRule type="beginsWith" dxfId="8067" priority="26231" operator="beginsWith" text="Vacances">
      <formula>LEFT(DU191,LEN("Vacances"))="Vacances"</formula>
    </cfRule>
    <cfRule type="beginsWith" dxfId="8066" priority="26232" operator="beginsWith" text="Séminaire d'intégration">
      <formula>LEFT(DU191,LEN("Séminaire d'intégration"))="Séminaire d'intégration"</formula>
    </cfRule>
    <cfRule type="beginsWith" dxfId="8065" priority="26233" operator="beginsWith" text="Accueil">
      <formula>LEFT(DU191,LEN("Accueil"))="Accueil"</formula>
    </cfRule>
    <cfRule type="beginsWith" dxfId="8064" priority="26234" operator="beginsWith" text="Stage">
      <formula>LEFT(DU191,LEN("Stage"))="Stage"</formula>
    </cfRule>
    <cfRule type="beginsWith" dxfId="8063" priority="26235" operator="beginsWith" text="Entreprise">
      <formula>LEFT(DU191,LEN("Entreprise"))="Entreprise"</formula>
    </cfRule>
    <cfRule type="beginsWith" dxfId="8062" priority="26236" operator="beginsWith" text="Voltaire">
      <formula>LEFT(DU191,LEN("Voltaire"))="Voltaire"</formula>
    </cfRule>
  </conditionalFormatting>
  <conditionalFormatting sqref="DU201">
    <cfRule type="beginsWith" dxfId="8061" priority="15052" operator="beginsWith" text="Projet professionnel : Séminaire PFI">
      <formula>LEFT(DU201,LEN("Projet professionnel : Séminaire PFI"))="Projet professionnel : Séminaire PFI"</formula>
    </cfRule>
    <cfRule type="beginsWith" dxfId="8060" priority="15053" operator="beginsWith" text="Lancement Projet fil rouge">
      <formula>LEFT(DU201,LEN("Lancement Projet fil rouge"))="Lancement Projet fil rouge"</formula>
    </cfRule>
    <cfRule type="beginsWith" dxfId="8059" priority="15054" operator="beginsWith" text="Vacances">
      <formula>LEFT(DU201,LEN("Vacances"))="Vacances"</formula>
    </cfRule>
    <cfRule type="beginsWith" dxfId="8058" priority="15055" operator="beginsWith" text="Séminaire d'intégration">
      <formula>LEFT(DU201,LEN("Séminaire d'intégration"))="Séminaire d'intégration"</formula>
    </cfRule>
    <cfRule type="beginsWith" dxfId="8057" priority="15056" operator="beginsWith" text="Accueil">
      <formula>LEFT(DU201,LEN("Accueil"))="Accueil"</formula>
    </cfRule>
    <cfRule type="beginsWith" dxfId="8056" priority="15057" operator="beginsWith" text="Stage">
      <formula>LEFT(DU201,LEN("Stage"))="Stage"</formula>
    </cfRule>
    <cfRule type="beginsWith" dxfId="8055" priority="15058" operator="beginsWith" text="Entreprise">
      <formula>LEFT(DU201,LEN("Entreprise"))="Entreprise"</formula>
    </cfRule>
    <cfRule type="beginsWith" dxfId="8054" priority="15059" operator="beginsWith" text="Voltaire">
      <formula>LEFT(DU201,LEN("Voltaire"))="Voltaire"</formula>
    </cfRule>
  </conditionalFormatting>
  <conditionalFormatting sqref="DU206">
    <cfRule type="beginsWith" dxfId="8053" priority="15044" operator="beginsWith" text="Projet professionnel : Séminaire PFI">
      <formula>LEFT(DU206,LEN("Projet professionnel : Séminaire PFI"))="Projet professionnel : Séminaire PFI"</formula>
    </cfRule>
    <cfRule type="beginsWith" dxfId="8052" priority="15045" operator="beginsWith" text="Lancement Projet fil rouge">
      <formula>LEFT(DU206,LEN("Lancement Projet fil rouge"))="Lancement Projet fil rouge"</formula>
    </cfRule>
    <cfRule type="beginsWith" dxfId="8051" priority="15046" operator="beginsWith" text="Vacances">
      <formula>LEFT(DU206,LEN("Vacances"))="Vacances"</formula>
    </cfRule>
    <cfRule type="beginsWith" dxfId="8050" priority="15047" operator="beginsWith" text="Séminaire d'intégration">
      <formula>LEFT(DU206,LEN("Séminaire d'intégration"))="Séminaire d'intégration"</formula>
    </cfRule>
    <cfRule type="beginsWith" dxfId="8049" priority="15048" operator="beginsWith" text="Accueil">
      <formula>LEFT(DU206,LEN("Accueil"))="Accueil"</formula>
    </cfRule>
    <cfRule type="beginsWith" dxfId="8048" priority="15049" operator="beginsWith" text="Stage">
      <formula>LEFT(DU206,LEN("Stage"))="Stage"</formula>
    </cfRule>
    <cfRule type="beginsWith" dxfId="8047" priority="15050" operator="beginsWith" text="Entreprise">
      <formula>LEFT(DU206,LEN("Entreprise"))="Entreprise"</formula>
    </cfRule>
    <cfRule type="beginsWith" dxfId="8046" priority="15051" operator="beginsWith" text="Voltaire">
      <formula>LEFT(DU206,LEN("Voltaire"))="Voltaire"</formula>
    </cfRule>
  </conditionalFormatting>
  <conditionalFormatting sqref="DU211">
    <cfRule type="beginsWith" dxfId="8045" priority="15036" operator="beginsWith" text="Projet professionnel : Séminaire PFI">
      <formula>LEFT(DU211,LEN("Projet professionnel : Séminaire PFI"))="Projet professionnel : Séminaire PFI"</formula>
    </cfRule>
    <cfRule type="beginsWith" dxfId="8044" priority="15037" operator="beginsWith" text="Lancement Projet fil rouge">
      <formula>LEFT(DU211,LEN("Lancement Projet fil rouge"))="Lancement Projet fil rouge"</formula>
    </cfRule>
    <cfRule type="beginsWith" dxfId="8043" priority="15038" operator="beginsWith" text="Vacances">
      <formula>LEFT(DU211,LEN("Vacances"))="Vacances"</formula>
    </cfRule>
    <cfRule type="beginsWith" dxfId="8042" priority="15039" operator="beginsWith" text="Séminaire d'intégration">
      <formula>LEFT(DU211,LEN("Séminaire d'intégration"))="Séminaire d'intégration"</formula>
    </cfRule>
    <cfRule type="beginsWith" dxfId="8041" priority="15040" operator="beginsWith" text="Accueil">
      <formula>LEFT(DU211,LEN("Accueil"))="Accueil"</formula>
    </cfRule>
    <cfRule type="beginsWith" dxfId="8040" priority="15041" operator="beginsWith" text="Stage">
      <formula>LEFT(DU211,LEN("Stage"))="Stage"</formula>
    </cfRule>
    <cfRule type="beginsWith" dxfId="8039" priority="15042" operator="beginsWith" text="Entreprise">
      <formula>LEFT(DU211,LEN("Entreprise"))="Entreprise"</formula>
    </cfRule>
    <cfRule type="beginsWith" dxfId="8038" priority="15043" operator="beginsWith" text="Voltaire">
      <formula>LEFT(DU211,LEN("Voltaire"))="Voltaire"</formula>
    </cfRule>
  </conditionalFormatting>
  <conditionalFormatting sqref="DU231">
    <cfRule type="beginsWith" dxfId="8037" priority="15010" operator="beginsWith" text="Projet professionnel : Séminaire PFI">
      <formula>LEFT(DU231,LEN("Projet professionnel : Séminaire PFI"))="Projet professionnel : Séminaire PFI"</formula>
    </cfRule>
    <cfRule type="beginsWith" dxfId="8036" priority="15011" operator="beginsWith" text="Lancement Projet fil rouge">
      <formula>LEFT(DU231,LEN("Lancement Projet fil rouge"))="Lancement Projet fil rouge"</formula>
    </cfRule>
    <cfRule type="beginsWith" dxfId="8035" priority="15012" operator="beginsWith" text="Vacances">
      <formula>LEFT(DU231,LEN("Vacances"))="Vacances"</formula>
    </cfRule>
    <cfRule type="beginsWith" dxfId="8034" priority="15013" operator="beginsWith" text="Séminaire d'intégration">
      <formula>LEFT(DU231,LEN("Séminaire d'intégration"))="Séminaire d'intégration"</formula>
    </cfRule>
    <cfRule type="beginsWith" dxfId="8033" priority="15014" operator="beginsWith" text="Accueil">
      <formula>LEFT(DU231,LEN("Accueil"))="Accueil"</formula>
    </cfRule>
    <cfRule type="beginsWith" dxfId="8032" priority="15015" operator="beginsWith" text="Stage">
      <formula>LEFT(DU231,LEN("Stage"))="Stage"</formula>
    </cfRule>
    <cfRule type="beginsWith" dxfId="8031" priority="15016" operator="beginsWith" text="Entreprise">
      <formula>LEFT(DU231,LEN("Entreprise"))="Entreprise"</formula>
    </cfRule>
    <cfRule type="beginsWith" dxfId="8030" priority="15017" operator="beginsWith" text="Voltaire">
      <formula>LEFT(DU231,LEN("Voltaire"))="Voltaire"</formula>
    </cfRule>
  </conditionalFormatting>
  <conditionalFormatting sqref="DU236">
    <cfRule type="beginsWith" dxfId="8029" priority="26221" operator="beginsWith" text="Projet professionnel : Séminaire PFI">
      <formula>LEFT(DU236,LEN("Projet professionnel : Séminaire PFI"))="Projet professionnel : Séminaire PFI"</formula>
    </cfRule>
    <cfRule type="beginsWith" dxfId="8028" priority="26222" operator="beginsWith" text="Lancement Projet fil rouge">
      <formula>LEFT(DU236,LEN("Lancement Projet fil rouge"))="Lancement Projet fil rouge"</formula>
    </cfRule>
    <cfRule type="beginsWith" dxfId="8027" priority="26223" operator="beginsWith" text="Vacances">
      <formula>LEFT(DU236,LEN("Vacances"))="Vacances"</formula>
    </cfRule>
    <cfRule type="beginsWith" dxfId="8026" priority="26224" operator="beginsWith" text="Séminaire d'intégration">
      <formula>LEFT(DU236,LEN("Séminaire d'intégration"))="Séminaire d'intégration"</formula>
    </cfRule>
    <cfRule type="beginsWith" dxfId="8025" priority="26225" operator="beginsWith" text="Accueil">
      <formula>LEFT(DU236,LEN("Accueil"))="Accueil"</formula>
    </cfRule>
    <cfRule type="beginsWith" dxfId="8024" priority="26226" operator="beginsWith" text="Stage">
      <formula>LEFT(DU236,LEN("Stage"))="Stage"</formula>
    </cfRule>
    <cfRule type="beginsWith" dxfId="8023" priority="26227" operator="beginsWith" text="Entreprise">
      <formula>LEFT(DU236,LEN("Entreprise"))="Entreprise"</formula>
    </cfRule>
    <cfRule type="beginsWith" dxfId="8022" priority="26228" operator="beginsWith" text="Voltaire">
      <formula>LEFT(DU236,LEN("Voltaire"))="Voltaire"</formula>
    </cfRule>
  </conditionalFormatting>
  <conditionalFormatting sqref="DU241">
    <cfRule type="beginsWith" dxfId="8021" priority="25448" operator="beginsWith" text="Projet professionnel : Séminaire PFI">
      <formula>LEFT(DU241,LEN("Projet professionnel : Séminaire PFI"))="Projet professionnel : Séminaire PFI"</formula>
    </cfRule>
    <cfRule type="beginsWith" dxfId="8020" priority="25449" operator="beginsWith" text="Lancement Projet fil rouge">
      <formula>LEFT(DU241,LEN("Lancement Projet fil rouge"))="Lancement Projet fil rouge"</formula>
    </cfRule>
    <cfRule type="beginsWith" dxfId="8019" priority="25450" operator="beginsWith" text="Vacances">
      <formula>LEFT(DU241,LEN("Vacances"))="Vacances"</formula>
    </cfRule>
    <cfRule type="beginsWith" dxfId="8018" priority="25451" operator="beginsWith" text="Séminaire d'intégration">
      <formula>LEFT(DU241,LEN("Séminaire d'intégration"))="Séminaire d'intégration"</formula>
    </cfRule>
    <cfRule type="beginsWith" dxfId="8017" priority="25452" operator="beginsWith" text="Accueil">
      <formula>LEFT(DU241,LEN("Accueil"))="Accueil"</formula>
    </cfRule>
    <cfRule type="beginsWith" dxfId="8016" priority="25453" operator="beginsWith" text="Stage">
      <formula>LEFT(DU241,LEN("Stage"))="Stage"</formula>
    </cfRule>
    <cfRule type="beginsWith" dxfId="8015" priority="25454" operator="beginsWith" text="Entreprise">
      <formula>LEFT(DU241,LEN("Entreprise"))="Entreprise"</formula>
    </cfRule>
    <cfRule type="beginsWith" dxfId="8014" priority="25455" operator="beginsWith" text="Voltaire">
      <formula>LEFT(DU241,LEN("Voltaire"))="Voltaire"</formula>
    </cfRule>
    <cfRule type="beginsWith" dxfId="8013" priority="25456" operator="beginsWith" text="Projet professionnel : Séminaire PFI">
      <formula>LEFT(DU241,LEN("Projet professionnel : Séminaire PFI"))="Projet professionnel : Séminaire PFI"</formula>
    </cfRule>
    <cfRule type="beginsWith" dxfId="8012" priority="25457" operator="beginsWith" text="Lancement Projet fil rouge">
      <formula>LEFT(DU241,LEN("Lancement Projet fil rouge"))="Lancement Projet fil rouge"</formula>
    </cfRule>
    <cfRule type="beginsWith" dxfId="8011" priority="25458" operator="beginsWith" text="Vacances">
      <formula>LEFT(DU241,LEN("Vacances"))="Vacances"</formula>
    </cfRule>
    <cfRule type="beginsWith" dxfId="8010" priority="25459" operator="beginsWith" text="Séminaire d'intégration">
      <formula>LEFT(DU241,LEN("Séminaire d'intégration"))="Séminaire d'intégration"</formula>
    </cfRule>
    <cfRule type="beginsWith" dxfId="8009" priority="25460" operator="beginsWith" text="Accueil">
      <formula>LEFT(DU241,LEN("Accueil"))="Accueil"</formula>
    </cfRule>
    <cfRule type="beginsWith" dxfId="8008" priority="25461" operator="beginsWith" text="Stage">
      <formula>LEFT(DU241,LEN("Stage"))="Stage"</formula>
    </cfRule>
    <cfRule type="beginsWith" dxfId="8007" priority="25462" operator="beginsWith" text="Entreprise">
      <formula>LEFT(DU241,LEN("Entreprise"))="Entreprise"</formula>
    </cfRule>
    <cfRule type="beginsWith" dxfId="8006" priority="25463" operator="beginsWith" text="Voltaire">
      <formula>LEFT(DU241,LEN("Voltaire"))="Voltaire"</formula>
    </cfRule>
  </conditionalFormatting>
  <conditionalFormatting sqref="DU250:DU251">
    <cfRule type="beginsWith" dxfId="8005" priority="26501" operator="beginsWith" text="Projet professionnel : Séminaire PFI">
      <formula>LEFT(DU250,LEN("Projet professionnel : Séminaire PFI"))="Projet professionnel : Séminaire PFI"</formula>
    </cfRule>
    <cfRule type="beginsWith" dxfId="8004" priority="26502" operator="beginsWith" text="Lancement Projet fil rouge">
      <formula>LEFT(DU250,LEN("Lancement Projet fil rouge"))="Lancement Projet fil rouge"</formula>
    </cfRule>
    <cfRule type="beginsWith" dxfId="8003" priority="26503" operator="beginsWith" text="Vacances">
      <formula>LEFT(DU250,LEN("Vacances"))="Vacances"</formula>
    </cfRule>
    <cfRule type="beginsWith" dxfId="8002" priority="26504" operator="beginsWith" text="Séminaire d'intégration">
      <formula>LEFT(DU250,LEN("Séminaire d'intégration"))="Séminaire d'intégration"</formula>
    </cfRule>
    <cfRule type="beginsWith" dxfId="8001" priority="26505" operator="beginsWith" text="Accueil">
      <formula>LEFT(DU250,LEN("Accueil"))="Accueil"</formula>
    </cfRule>
    <cfRule type="beginsWith" dxfId="8000" priority="26506" operator="beginsWith" text="Stage">
      <formula>LEFT(DU250,LEN("Stage"))="Stage"</formula>
    </cfRule>
    <cfRule type="beginsWith" dxfId="7999" priority="26507" operator="beginsWith" text="Entreprise">
      <formula>LEFT(DU250,LEN("Entreprise"))="Entreprise"</formula>
    </cfRule>
    <cfRule type="beginsWith" dxfId="7998" priority="26508" operator="beginsWith" text="Voltaire">
      <formula>LEFT(DU250,LEN("Voltaire"))="Voltaire"</formula>
    </cfRule>
  </conditionalFormatting>
  <conditionalFormatting sqref="DV6:DV10">
    <cfRule type="beginsWith" dxfId="7997" priority="18012" operator="beginsWith" text="Lancement Projet fil rouge">
      <formula>LEFT(DV6,LEN("Lancement Projet fil rouge"))="Lancement Projet fil rouge"</formula>
    </cfRule>
    <cfRule type="beginsWith" dxfId="7996" priority="18013" operator="beginsWith" text="Vacances">
      <formula>LEFT(DV6,LEN("Vacances"))="Vacances"</formula>
    </cfRule>
    <cfRule type="beginsWith" dxfId="7995" priority="18014" operator="beginsWith" text="Séminaire d'intégration">
      <formula>LEFT(DV6,LEN("Séminaire d'intégration"))="Séminaire d'intégration"</formula>
    </cfRule>
    <cfRule type="beginsWith" dxfId="7994" priority="18015" operator="beginsWith" text="Accueil">
      <formula>LEFT(DV6,LEN("Accueil"))="Accueil"</formula>
    </cfRule>
    <cfRule type="beginsWith" dxfId="7993" priority="18016" operator="beginsWith" text="Stage">
      <formula>LEFT(DV6,LEN("Stage"))="Stage"</formula>
    </cfRule>
    <cfRule type="beginsWith" dxfId="7992" priority="18017" operator="beginsWith" text="Entreprise">
      <formula>LEFT(DV6,LEN("Entreprise"))="Entreprise"</formula>
    </cfRule>
    <cfRule type="beginsWith" dxfId="7991" priority="18018" operator="beginsWith" text="Voltaire">
      <formula>LEFT(DV6,LEN("Voltaire"))="Voltaire"</formula>
    </cfRule>
  </conditionalFormatting>
  <conditionalFormatting sqref="DV41:DV45">
    <cfRule type="beginsWith" dxfId="7990" priority="15136" operator="beginsWith" text="Lancement Projet fil rouge">
      <formula>LEFT(DV41,LEN("Lancement Projet fil rouge"))="Lancement Projet fil rouge"</formula>
    </cfRule>
    <cfRule type="beginsWith" dxfId="7989" priority="15137" operator="beginsWith" text="Vacances">
      <formula>LEFT(DV41,LEN("Vacances"))="Vacances"</formula>
    </cfRule>
    <cfRule type="beginsWith" dxfId="7988" priority="15138" operator="beginsWith" text="Séminaire d'intégration">
      <formula>LEFT(DV41,LEN("Séminaire d'intégration"))="Séminaire d'intégration"</formula>
    </cfRule>
    <cfRule type="beginsWith" dxfId="7987" priority="15139" operator="beginsWith" text="Accueil">
      <formula>LEFT(DV41,LEN("Accueil"))="Accueil"</formula>
    </cfRule>
    <cfRule type="beginsWith" dxfId="7986" priority="15140" operator="beginsWith" text="Stage">
      <formula>LEFT(DV41,LEN("Stage"))="Stage"</formula>
    </cfRule>
    <cfRule type="beginsWith" dxfId="7985" priority="15141" operator="beginsWith" text="Entreprise">
      <formula>LEFT(DV41,LEN("Entreprise"))="Entreprise"</formula>
    </cfRule>
    <cfRule type="beginsWith" dxfId="7984" priority="15142" operator="beginsWith" text="Voltaire">
      <formula>LEFT(DV41,LEN("Voltaire"))="Voltaire"</formula>
    </cfRule>
  </conditionalFormatting>
  <conditionalFormatting sqref="DV46">
    <cfRule type="beginsWith" dxfId="7983" priority="15100" operator="beginsWith" text="Lancement Projet fil rouge">
      <formula>LEFT(DV46,LEN("Lancement Projet fil rouge"))="Lancement Projet fil rouge"</formula>
    </cfRule>
    <cfRule type="beginsWith" dxfId="7982" priority="15101" operator="beginsWith" text="Vacances">
      <formula>LEFT(DV46,LEN("Vacances"))="Vacances"</formula>
    </cfRule>
    <cfRule type="beginsWith" dxfId="7981" priority="15102" operator="beginsWith" text="Séminaire d'intégration">
      <formula>LEFT(DV46,LEN("Séminaire d'intégration"))="Séminaire d'intégration"</formula>
    </cfRule>
    <cfRule type="beginsWith" dxfId="7980" priority="15103" operator="beginsWith" text="Accueil">
      <formula>LEFT(DV46,LEN("Accueil"))="Accueil"</formula>
    </cfRule>
    <cfRule type="beginsWith" dxfId="7979" priority="15104" operator="beginsWith" text="Stage">
      <formula>LEFT(DV46,LEN("Stage"))="Stage"</formula>
    </cfRule>
    <cfRule type="beginsWith" dxfId="7978" priority="15105" operator="beginsWith" text="Entreprise">
      <formula>LEFT(DV46,LEN("Entreprise"))="Entreprise"</formula>
    </cfRule>
    <cfRule type="beginsWith" dxfId="7977" priority="15106" operator="beginsWith" text="Voltaire">
      <formula>LEFT(DV46,LEN("Voltaire"))="Voltaire"</formula>
    </cfRule>
  </conditionalFormatting>
  <conditionalFormatting sqref="DV195">
    <cfRule type="beginsWith" dxfId="7976" priority="31664" operator="beginsWith" text="Lancement Projet fil rouge">
      <formula>LEFT(DV195,LEN("Lancement Projet fil rouge"))="Lancement Projet fil rouge"</formula>
    </cfRule>
    <cfRule type="beginsWith" dxfId="7975" priority="31665" operator="beginsWith" text="Vacances">
      <formula>LEFT(DV195,LEN("Vacances"))="Vacances"</formula>
    </cfRule>
    <cfRule type="beginsWith" dxfId="7974" priority="31666" operator="beginsWith" text="Séminaire d'intégration">
      <formula>LEFT(DV195,LEN("Séminaire d'intégration"))="Séminaire d'intégration"</formula>
    </cfRule>
    <cfRule type="beginsWith" dxfId="7973" priority="31667" operator="beginsWith" text="Accueil">
      <formula>LEFT(DV195,LEN("Accueil"))="Accueil"</formula>
    </cfRule>
    <cfRule type="beginsWith" dxfId="7972" priority="31668" operator="beginsWith" text="Stage">
      <formula>LEFT(DV195,LEN("Stage"))="Stage"</formula>
    </cfRule>
    <cfRule type="beginsWith" dxfId="7971" priority="31669" operator="beginsWith" text="Entreprise">
      <formula>LEFT(DV195,LEN("Entreprise"))="Entreprise"</formula>
    </cfRule>
    <cfRule type="beginsWith" dxfId="7970" priority="31670" operator="beginsWith" text="Voltaire">
      <formula>LEFT(DV195,LEN("Voltaire"))="Voltaire"</formula>
    </cfRule>
  </conditionalFormatting>
  <conditionalFormatting sqref="DV196">
    <cfRule type="beginsWith" dxfId="7969" priority="18600" operator="beginsWith" text="Lancement Projet fil rouge">
      <formula>LEFT(DV196,LEN("Lancement Projet fil rouge"))="Lancement Projet fil rouge"</formula>
    </cfRule>
    <cfRule type="beginsWith" dxfId="7968" priority="18601" operator="beginsWith" text="Vacances">
      <formula>LEFT(DV196,LEN("Vacances"))="Vacances"</formula>
    </cfRule>
    <cfRule type="beginsWith" dxfId="7967" priority="18602" operator="beginsWith" text="Séminaire d'intégration">
      <formula>LEFT(DV196,LEN("Séminaire d'intégration"))="Séminaire d'intégration"</formula>
    </cfRule>
    <cfRule type="beginsWith" dxfId="7966" priority="18603" operator="beginsWith" text="Accueil">
      <formula>LEFT(DV196,LEN("Accueil"))="Accueil"</formula>
    </cfRule>
    <cfRule type="beginsWith" dxfId="7965" priority="18604" operator="beginsWith" text="Stage">
      <formula>LEFT(DV196,LEN("Stage"))="Stage"</formula>
    </cfRule>
    <cfRule type="beginsWith" dxfId="7964" priority="18605" operator="beginsWith" text="Entreprise">
      <formula>LEFT(DV196,LEN("Entreprise"))="Entreprise"</formula>
    </cfRule>
    <cfRule type="beginsWith" dxfId="7963" priority="18606" operator="beginsWith" text="Voltaire">
      <formula>LEFT(DV196,LEN("Voltaire"))="Voltaire"</formula>
    </cfRule>
  </conditionalFormatting>
  <conditionalFormatting sqref="DV201">
    <cfRule type="beginsWith" dxfId="7962" priority="18607" operator="beginsWith" text="Lancement Projet fil rouge">
      <formula>LEFT(DV201,LEN("Lancement Projet fil rouge"))="Lancement Projet fil rouge"</formula>
    </cfRule>
    <cfRule type="beginsWith" dxfId="7961" priority="18608" operator="beginsWith" text="Vacances">
      <formula>LEFT(DV201,LEN("Vacances"))="Vacances"</formula>
    </cfRule>
    <cfRule type="beginsWith" dxfId="7960" priority="18609" operator="beginsWith" text="Séminaire d'intégration">
      <formula>LEFT(DV201,LEN("Séminaire d'intégration"))="Séminaire d'intégration"</formula>
    </cfRule>
    <cfRule type="beginsWith" dxfId="7959" priority="18610" operator="beginsWith" text="Accueil">
      <formula>LEFT(DV201,LEN("Accueil"))="Accueil"</formula>
    </cfRule>
    <cfRule type="beginsWith" dxfId="7958" priority="18611" operator="beginsWith" text="Stage">
      <formula>LEFT(DV201,LEN("Stage"))="Stage"</formula>
    </cfRule>
    <cfRule type="beginsWith" dxfId="7957" priority="18612" operator="beginsWith" text="Entreprise">
      <formula>LEFT(DV201,LEN("Entreprise"))="Entreprise"</formula>
    </cfRule>
    <cfRule type="beginsWith" dxfId="7956" priority="18613" operator="beginsWith" text="Voltaire">
      <formula>LEFT(DV201,LEN("Voltaire"))="Voltaire"</formula>
    </cfRule>
  </conditionalFormatting>
  <conditionalFormatting sqref="DV205">
    <cfRule type="beginsWith" dxfId="7955" priority="9928" operator="beginsWith" text="Lancement Projet fil rouge">
      <formula>LEFT(DV205,LEN("Lancement Projet fil rouge"))="Lancement Projet fil rouge"</formula>
    </cfRule>
    <cfRule type="beginsWith" dxfId="7954" priority="9929" operator="beginsWith" text="Vacances">
      <formula>LEFT(DV205,LEN("Vacances"))="Vacances"</formula>
    </cfRule>
    <cfRule type="beginsWith" dxfId="7953" priority="9930" operator="beginsWith" text="Séminaire d'intégration">
      <formula>LEFT(DV205,LEN("Séminaire d'intégration"))="Séminaire d'intégration"</formula>
    </cfRule>
    <cfRule type="beginsWith" dxfId="7952" priority="9931" operator="beginsWith" text="Accueil">
      <formula>LEFT(DV205,LEN("Accueil"))="Accueil"</formula>
    </cfRule>
    <cfRule type="beginsWith" dxfId="7951" priority="9932" operator="beginsWith" text="Stage">
      <formula>LEFT(DV205,LEN("Stage"))="Stage"</formula>
    </cfRule>
    <cfRule type="beginsWith" dxfId="7950" priority="9933" operator="beginsWith" text="Entreprise">
      <formula>LEFT(DV205,LEN("Entreprise"))="Entreprise"</formula>
    </cfRule>
    <cfRule type="beginsWith" dxfId="7949" priority="9934" operator="beginsWith" text="Voltaire">
      <formula>LEFT(DV205,LEN("Voltaire"))="Voltaire"</formula>
    </cfRule>
  </conditionalFormatting>
  <conditionalFormatting sqref="DV236">
    <cfRule type="beginsWith" dxfId="7948" priority="15029" operator="beginsWith" text="Lancement Projet fil rouge">
      <formula>LEFT(DV236,LEN("Lancement Projet fil rouge"))="Lancement Projet fil rouge"</formula>
    </cfRule>
    <cfRule type="beginsWith" dxfId="7947" priority="15030" operator="beginsWith" text="Vacances">
      <formula>LEFT(DV236,LEN("Vacances"))="Vacances"</formula>
    </cfRule>
    <cfRule type="beginsWith" dxfId="7946" priority="15031" operator="beginsWith" text="Séminaire d'intégration">
      <formula>LEFT(DV236,LEN("Séminaire d'intégration"))="Séminaire d'intégration"</formula>
    </cfRule>
    <cfRule type="beginsWith" dxfId="7945" priority="15032" operator="beginsWith" text="Accueil">
      <formula>LEFT(DV236,LEN("Accueil"))="Accueil"</formula>
    </cfRule>
    <cfRule type="beginsWith" dxfId="7944" priority="15033" operator="beginsWith" text="Stage">
      <formula>LEFT(DV236,LEN("Stage"))="Stage"</formula>
    </cfRule>
    <cfRule type="beginsWith" dxfId="7943" priority="15034" operator="beginsWith" text="Entreprise">
      <formula>LEFT(DV236,LEN("Entreprise"))="Entreprise"</formula>
    </cfRule>
    <cfRule type="beginsWith" dxfId="7942" priority="15035" operator="beginsWith" text="Voltaire">
      <formula>LEFT(DV236,LEN("Voltaire"))="Voltaire"</formula>
    </cfRule>
  </conditionalFormatting>
  <conditionalFormatting sqref="DW36:DW40">
    <cfRule type="notContainsBlanks" dxfId="7941" priority="15135">
      <formula>LEN(TRIM(DW36))&gt;0</formula>
    </cfRule>
  </conditionalFormatting>
  <conditionalFormatting sqref="DW41:DW45">
    <cfRule type="notContainsBlanks" dxfId="7940" priority="15124">
      <formula>LEN(TRIM(DW41))&gt;0</formula>
    </cfRule>
  </conditionalFormatting>
  <conditionalFormatting sqref="DW96:DW105">
    <cfRule type="notContainsBlanks" dxfId="7939" priority="19881">
      <formula>LEN(TRIM(DW96))&gt;0</formula>
    </cfRule>
  </conditionalFormatting>
  <conditionalFormatting sqref="DW236:DW240">
    <cfRule type="notContainsBlanks" dxfId="7938" priority="15028">
      <formula>LEN(TRIM(DW236))&gt;0</formula>
    </cfRule>
  </conditionalFormatting>
  <conditionalFormatting sqref="DW41:DY45">
    <cfRule type="beginsWith" dxfId="7937" priority="15114" operator="beginsWith" text="Lancement Projet fil rouge">
      <formula>LEFT(DW41,LEN("Lancement Projet fil rouge"))="Lancement Projet fil rouge"</formula>
    </cfRule>
    <cfRule type="beginsWith" dxfId="7936" priority="15115" operator="beginsWith" text="Vacances">
      <formula>LEFT(DW41,LEN("Vacances"))="Vacances"</formula>
    </cfRule>
    <cfRule type="beginsWith" dxfId="7935" priority="15116" operator="beginsWith" text="Séminaire d'intégration">
      <formula>LEFT(DW41,LEN("Séminaire d'intégration"))="Séminaire d'intégration"</formula>
    </cfRule>
    <cfRule type="beginsWith" dxfId="7934" priority="15117" operator="beginsWith" text="Accueil">
      <formula>LEFT(DW41,LEN("Accueil"))="Accueil"</formula>
    </cfRule>
    <cfRule type="beginsWith" dxfId="7933" priority="15120" operator="beginsWith" text="Stage">
      <formula>LEFT(DW41,LEN("Stage"))="Stage"</formula>
    </cfRule>
    <cfRule type="beginsWith" dxfId="7932" priority="15121" operator="beginsWith" text="Entreprise">
      <formula>LEFT(DW41,LEN("Entreprise"))="Entreprise"</formula>
    </cfRule>
    <cfRule type="beginsWith" dxfId="7931" priority="15123" operator="beginsWith" text="Voltaire">
      <formula>LEFT(DW41,LEN("Voltaire"))="Voltaire"</formula>
    </cfRule>
  </conditionalFormatting>
  <conditionalFormatting sqref="DW36:DZ40">
    <cfRule type="beginsWith" dxfId="7930" priority="15125" operator="beginsWith" text="Lancement Projet fil rouge">
      <formula>LEFT(DW36,LEN("Lancement Projet fil rouge"))="Lancement Projet fil rouge"</formula>
    </cfRule>
    <cfRule type="beginsWith" dxfId="7929" priority="15126" operator="beginsWith" text="Vacances">
      <formula>LEFT(DW36,LEN("Vacances"))="Vacances"</formula>
    </cfRule>
    <cfRule type="beginsWith" dxfId="7928" priority="15127" operator="beginsWith" text="Séminaire d'intégration">
      <formula>LEFT(DW36,LEN("Séminaire d'intégration"))="Séminaire d'intégration"</formula>
    </cfRule>
    <cfRule type="beginsWith" dxfId="7927" priority="15128" operator="beginsWith" text="Accueil">
      <formula>LEFT(DW36,LEN("Accueil"))="Accueil"</formula>
    </cfRule>
    <cfRule type="beginsWith" dxfId="7926" priority="15131" operator="beginsWith" text="Stage">
      <formula>LEFT(DW36,LEN("Stage"))="Stage"</formula>
    </cfRule>
    <cfRule type="beginsWith" dxfId="7925" priority="15132" operator="beginsWith" text="Entreprise">
      <formula>LEFT(DW36,LEN("Entreprise"))="Entreprise"</formula>
    </cfRule>
    <cfRule type="beginsWith" dxfId="7924" priority="15134" operator="beginsWith" text="Voltaire">
      <formula>LEFT(DW36,LEN("Voltaire"))="Voltaire"</formula>
    </cfRule>
  </conditionalFormatting>
  <conditionalFormatting sqref="DW96:DZ105">
    <cfRule type="beginsWith" dxfId="7923" priority="19871" operator="beginsWith" text="Lancement Projet fil rouge">
      <formula>LEFT(DW96,LEN("Lancement Projet fil rouge"))="Lancement Projet fil rouge"</formula>
    </cfRule>
    <cfRule type="beginsWith" dxfId="7922" priority="19872" operator="beginsWith" text="Vacances">
      <formula>LEFT(DW96,LEN("Vacances"))="Vacances"</formula>
    </cfRule>
    <cfRule type="beginsWith" dxfId="7921" priority="19873" operator="beginsWith" text="Séminaire d'intégration">
      <formula>LEFT(DW96,LEN("Séminaire d'intégration"))="Séminaire d'intégration"</formula>
    </cfRule>
    <cfRule type="beginsWith" dxfId="7920" priority="19874" operator="beginsWith" text="Accueil">
      <formula>LEFT(DW96,LEN("Accueil"))="Accueil"</formula>
    </cfRule>
    <cfRule type="beginsWith" dxfId="7919" priority="19877" operator="beginsWith" text="Stage">
      <formula>LEFT(DW96,LEN("Stage"))="Stage"</formula>
    </cfRule>
    <cfRule type="beginsWith" dxfId="7918" priority="19878" operator="beginsWith" text="Entreprise">
      <formula>LEFT(DW96,LEN("Entreprise"))="Entreprise"</formula>
    </cfRule>
    <cfRule type="beginsWith" dxfId="7917" priority="19880" operator="beginsWith" text="Voltaire">
      <formula>LEFT(DW96,LEN("Voltaire"))="Voltaire"</formula>
    </cfRule>
  </conditionalFormatting>
  <conditionalFormatting sqref="DX221:DX225">
    <cfRule type="beginsWith" dxfId="7916" priority="18579" operator="beginsWith" text="Lancement Projet fil rouge">
      <formula>LEFT(DX221,LEN("Lancement Projet fil rouge"))="Lancement Projet fil rouge"</formula>
    </cfRule>
    <cfRule type="beginsWith" dxfId="7915" priority="18580" operator="beginsWith" text="Vacances">
      <formula>LEFT(DX221,LEN("Vacances"))="Vacances"</formula>
    </cfRule>
    <cfRule type="beginsWith" dxfId="7914" priority="18581" operator="beginsWith" text="Séminaire d'intégration">
      <formula>LEFT(DX221,LEN("Séminaire d'intégration"))="Séminaire d'intégration"</formula>
    </cfRule>
    <cfRule type="beginsWith" dxfId="7913" priority="18582" operator="beginsWith" text="Accueil">
      <formula>LEFT(DX221,LEN("Accueil"))="Accueil"</formula>
    </cfRule>
    <cfRule type="beginsWith" dxfId="7912" priority="18583" operator="beginsWith" text="Stage">
      <formula>LEFT(DX221,LEN("Stage"))="Stage"</formula>
    </cfRule>
    <cfRule type="beginsWith" dxfId="7911" priority="18584" operator="beginsWith" text="Entreprise">
      <formula>LEFT(DX221,LEN("Entreprise"))="Entreprise"</formula>
    </cfRule>
    <cfRule type="beginsWith" dxfId="7910" priority="18585" operator="beginsWith" text="Voltaire">
      <formula>LEFT(DX221,LEN("Voltaire"))="Voltaire"</formula>
    </cfRule>
  </conditionalFormatting>
  <conditionalFormatting sqref="DX226:DX230">
    <cfRule type="beginsWith" dxfId="7909" priority="18586" operator="beginsWith" text="Lancement Projet fil rouge">
      <formula>LEFT(DX226,LEN("Lancement Projet fil rouge"))="Lancement Projet fil rouge"</formula>
    </cfRule>
    <cfRule type="beginsWith" dxfId="7908" priority="18587" operator="beginsWith" text="Vacances">
      <formula>LEFT(DX226,LEN("Vacances"))="Vacances"</formula>
    </cfRule>
    <cfRule type="beginsWith" dxfId="7907" priority="18588" operator="beginsWith" text="Séminaire d'intégration">
      <formula>LEFT(DX226,LEN("Séminaire d'intégration"))="Séminaire d'intégration"</formula>
    </cfRule>
    <cfRule type="beginsWith" dxfId="7906" priority="18589" operator="beginsWith" text="Accueil">
      <formula>LEFT(DX226,LEN("Accueil"))="Accueil"</formula>
    </cfRule>
    <cfRule type="beginsWith" dxfId="7905" priority="18590" operator="beginsWith" text="Stage">
      <formula>LEFT(DX226,LEN("Stage"))="Stage"</formula>
    </cfRule>
    <cfRule type="beginsWith" dxfId="7904" priority="18591" operator="beginsWith" text="Entreprise">
      <formula>LEFT(DX226,LEN("Entreprise"))="Entreprise"</formula>
    </cfRule>
    <cfRule type="beginsWith" dxfId="7903" priority="18592" operator="beginsWith" text="Voltaire">
      <formula>LEFT(DX226,LEN("Voltaire"))="Voltaire"</formula>
    </cfRule>
  </conditionalFormatting>
  <conditionalFormatting sqref="DX231:DX235">
    <cfRule type="beginsWith" dxfId="7902" priority="18593" operator="beginsWith" text="Lancement Projet fil rouge">
      <formula>LEFT(DX231,LEN("Lancement Projet fil rouge"))="Lancement Projet fil rouge"</formula>
    </cfRule>
    <cfRule type="beginsWith" dxfId="7901" priority="18594" operator="beginsWith" text="Vacances">
      <formula>LEFT(DX231,LEN("Vacances"))="Vacances"</formula>
    </cfRule>
    <cfRule type="beginsWith" dxfId="7900" priority="18595" operator="beginsWith" text="Séminaire d'intégration">
      <formula>LEFT(DX231,LEN("Séminaire d'intégration"))="Séminaire d'intégration"</formula>
    </cfRule>
    <cfRule type="beginsWith" dxfId="7899" priority="18596" operator="beginsWith" text="Accueil">
      <formula>LEFT(DX231,LEN("Accueil"))="Accueil"</formula>
    </cfRule>
    <cfRule type="beginsWith" dxfId="7898" priority="18597" operator="beginsWith" text="Stage">
      <formula>LEFT(DX231,LEN("Stage"))="Stage"</formula>
    </cfRule>
    <cfRule type="beginsWith" dxfId="7897" priority="18598" operator="beginsWith" text="Entreprise">
      <formula>LEFT(DX231,LEN("Entreprise"))="Entreprise"</formula>
    </cfRule>
    <cfRule type="beginsWith" dxfId="7896" priority="18599" operator="beginsWith" text="Voltaire">
      <formula>LEFT(DX231,LEN("Voltaire"))="Voltaire"</formula>
    </cfRule>
  </conditionalFormatting>
  <conditionalFormatting sqref="DY41:DY45">
    <cfRule type="beginsWith" dxfId="7895" priority="15118" operator="beginsWith" text="TOPHYC">
      <formula>LEFT(DY41,LEN("TOPHYC"))="TOPHYC"</formula>
    </cfRule>
    <cfRule type="beginsWith" dxfId="7894" priority="15119" operator="beginsWith" text="Global Exam">
      <formula>LEFT(DY41,LEN("Global Exam"))="Global Exam"</formula>
    </cfRule>
    <cfRule type="beginsWith" dxfId="7893" priority="15122" operator="beginsWith" text="TOMIC">
      <formula>LEFT(DY41,LEN("TOMIC"))="TOMIC"</formula>
    </cfRule>
  </conditionalFormatting>
  <conditionalFormatting sqref="DY205">
    <cfRule type="beginsWith" dxfId="7892" priority="9921" operator="beginsWith" text="Lancement Projet fil rouge">
      <formula>LEFT(DY205,LEN("Lancement Projet fil rouge"))="Lancement Projet fil rouge"</formula>
    </cfRule>
    <cfRule type="beginsWith" dxfId="7891" priority="9922" operator="beginsWith" text="Vacances">
      <formula>LEFT(DY205,LEN("Vacances"))="Vacances"</formula>
    </cfRule>
    <cfRule type="beginsWith" dxfId="7890" priority="9923" operator="beginsWith" text="Séminaire d'intégration">
      <formula>LEFT(DY205,LEN("Séminaire d'intégration"))="Séminaire d'intégration"</formula>
    </cfRule>
    <cfRule type="beginsWith" dxfId="7889" priority="9924" operator="beginsWith" text="Accueil">
      <formula>LEFT(DY205,LEN("Accueil"))="Accueil"</formula>
    </cfRule>
    <cfRule type="beginsWith" dxfId="7888" priority="9925" operator="beginsWith" text="Stage">
      <formula>LEFT(DY205,LEN("Stage"))="Stage"</formula>
    </cfRule>
    <cfRule type="beginsWith" dxfId="7887" priority="9926" operator="beginsWith" text="Entreprise">
      <formula>LEFT(DY205,LEN("Entreprise"))="Entreprise"</formula>
    </cfRule>
    <cfRule type="beginsWith" dxfId="7886" priority="9927" operator="beginsWith" text="Voltaire">
      <formula>LEFT(DY205,LEN("Voltaire"))="Voltaire"</formula>
    </cfRule>
  </conditionalFormatting>
  <conditionalFormatting sqref="DY235">
    <cfRule type="beginsWith" dxfId="7885" priority="9914" operator="beginsWith" text="Lancement Projet fil rouge">
      <formula>LEFT(DY235,LEN("Lancement Projet fil rouge"))="Lancement Projet fil rouge"</formula>
    </cfRule>
    <cfRule type="beginsWith" dxfId="7884" priority="9915" operator="beginsWith" text="Vacances">
      <formula>LEFT(DY235,LEN("Vacances"))="Vacances"</formula>
    </cfRule>
    <cfRule type="beginsWith" dxfId="7883" priority="9916" operator="beginsWith" text="Séminaire d'intégration">
      <formula>LEFT(DY235,LEN("Séminaire d'intégration"))="Séminaire d'intégration"</formula>
    </cfRule>
    <cfRule type="beginsWith" dxfId="7882" priority="9917" operator="beginsWith" text="Accueil">
      <formula>LEFT(DY235,LEN("Accueil"))="Accueil"</formula>
    </cfRule>
    <cfRule type="beginsWith" dxfId="7881" priority="9918" operator="beginsWith" text="Stage">
      <formula>LEFT(DY235,LEN("Stage"))="Stage"</formula>
    </cfRule>
    <cfRule type="beginsWith" dxfId="7880" priority="9919" operator="beginsWith" text="Entreprise">
      <formula>LEFT(DY235,LEN("Entreprise"))="Entreprise"</formula>
    </cfRule>
    <cfRule type="beginsWith" dxfId="7879" priority="9920" operator="beginsWith" text="Voltaire">
      <formula>LEFT(DY235,LEN("Voltaire"))="Voltaire"</formula>
    </cfRule>
  </conditionalFormatting>
  <conditionalFormatting sqref="DY36:DZ40">
    <cfRule type="beginsWith" dxfId="7878" priority="15129" operator="beginsWith" text="TOPHYC">
      <formula>LEFT(DY36,LEN("TOPHYC"))="TOPHYC"</formula>
    </cfRule>
    <cfRule type="beginsWith" dxfId="7877" priority="15130" operator="beginsWith" text="Global Exam">
      <formula>LEFT(DY36,LEN("Global Exam"))="Global Exam"</formula>
    </cfRule>
    <cfRule type="beginsWith" dxfId="7876" priority="15133" operator="beginsWith" text="TOMIC">
      <formula>LEFT(DY36,LEN("TOMIC"))="TOMIC"</formula>
    </cfRule>
  </conditionalFormatting>
  <conditionalFormatting sqref="DY96:DZ105">
    <cfRule type="beginsWith" dxfId="7875" priority="19875" operator="beginsWith" text="TOPHYC">
      <formula>LEFT(DY96,LEN("TOPHYC"))="TOPHYC"</formula>
    </cfRule>
    <cfRule type="beginsWith" dxfId="7874" priority="19876" operator="beginsWith" text="Global Exam">
      <formula>LEFT(DY96,LEN("Global Exam"))="Global Exam"</formula>
    </cfRule>
    <cfRule type="beginsWith" dxfId="7873" priority="19879" operator="beginsWith" text="TOMIC">
      <formula>LEFT(DY96,LEN("TOMIC"))="TOMIC"</formula>
    </cfRule>
  </conditionalFormatting>
  <conditionalFormatting sqref="DZ41:DZ45">
    <cfRule type="beginsWith" dxfId="7872" priority="9814" operator="beginsWith" text="Lancement Projet fil rouge">
      <formula>LEFT(DZ41,LEN("Lancement Projet fil rouge"))="Lancement Projet fil rouge"</formula>
    </cfRule>
    <cfRule type="beginsWith" dxfId="7871" priority="9815" operator="beginsWith" text="Vacances">
      <formula>LEFT(DZ41,LEN("Vacances"))="Vacances"</formula>
    </cfRule>
    <cfRule type="beginsWith" dxfId="7870" priority="9816" operator="beginsWith" text="Séminaire d'intégration">
      <formula>LEFT(DZ41,LEN("Séminaire d'intégration"))="Séminaire d'intégration"</formula>
    </cfRule>
    <cfRule type="beginsWith" dxfId="7869" priority="9817" operator="beginsWith" text="Accueil">
      <formula>LEFT(DZ41,LEN("Accueil"))="Accueil"</formula>
    </cfRule>
    <cfRule type="beginsWith" dxfId="7868" priority="9818" operator="beginsWith" text="TOPHYC">
      <formula>LEFT(DZ41,LEN("TOPHYC"))="TOPHYC"</formula>
    </cfRule>
    <cfRule type="beginsWith" dxfId="7867" priority="9819" operator="beginsWith" text="Global Exam">
      <formula>LEFT(DZ41,LEN("Global Exam"))="Global Exam"</formula>
    </cfRule>
    <cfRule type="beginsWith" dxfId="7866" priority="9820" operator="beginsWith" text="Stage">
      <formula>LEFT(DZ41,LEN("Stage"))="Stage"</formula>
    </cfRule>
    <cfRule type="beginsWith" dxfId="7865" priority="9821" operator="beginsWith" text="Entreprise">
      <formula>LEFT(DZ41,LEN("Entreprise"))="Entreprise"</formula>
    </cfRule>
    <cfRule type="beginsWith" dxfId="7864" priority="9822" operator="beginsWith" text="TOMIC">
      <formula>LEFT(DZ41,LEN("TOMIC"))="TOMIC"</formula>
    </cfRule>
    <cfRule type="beginsWith" dxfId="7863" priority="9823" operator="beginsWith" text="Voltaire">
      <formula>LEFT(DZ41,LEN("Voltaire"))="Voltaire"</formula>
    </cfRule>
  </conditionalFormatting>
  <conditionalFormatting sqref="DZ239 DW239:DX239 DW240:DZ240 DW236:DZ238">
    <cfRule type="beginsWith" dxfId="7862" priority="15018" operator="beginsWith" text="Lancement Projet fil rouge">
      <formula>LEFT(DW236,LEN("Lancement Projet fil rouge"))="Lancement Projet fil rouge"</formula>
    </cfRule>
    <cfRule type="beginsWith" dxfId="7861" priority="15019" operator="beginsWith" text="Vacances">
      <formula>LEFT(DW236,LEN("Vacances"))="Vacances"</formula>
    </cfRule>
    <cfRule type="beginsWith" dxfId="7860" priority="15020" operator="beginsWith" text="Séminaire d'intégration">
      <formula>LEFT(DW236,LEN("Séminaire d'intégration"))="Séminaire d'intégration"</formula>
    </cfRule>
    <cfRule type="beginsWith" dxfId="7859" priority="15021" operator="beginsWith" text="Accueil">
      <formula>LEFT(DW236,LEN("Accueil"))="Accueil"</formula>
    </cfRule>
    <cfRule type="beginsWith" dxfId="7858" priority="15024" operator="beginsWith" text="Stage">
      <formula>LEFT(DW236,LEN("Stage"))="Stage"</formula>
    </cfRule>
    <cfRule type="beginsWith" dxfId="7857" priority="15025" operator="beginsWith" text="Entreprise">
      <formula>LEFT(DW236,LEN("Entreprise"))="Entreprise"</formula>
    </cfRule>
    <cfRule type="beginsWith" dxfId="7856" priority="15027" operator="beginsWith" text="Voltaire">
      <formula>LEFT(DW236,LEN("Voltaire"))="Voltaire"</formula>
    </cfRule>
  </conditionalFormatting>
  <conditionalFormatting sqref="DZ239 DY236:DZ238 DY240:DZ240">
    <cfRule type="beginsWith" dxfId="7855" priority="15022" operator="beginsWith" text="TOPHYC">
      <formula>LEFT(DY236,LEN("TOPHYC"))="TOPHYC"</formula>
    </cfRule>
    <cfRule type="beginsWith" dxfId="7854" priority="15023" operator="beginsWith" text="Global Exam">
      <formula>LEFT(DY236,LEN("Global Exam"))="Global Exam"</formula>
    </cfRule>
    <cfRule type="beginsWith" dxfId="7853" priority="15026" operator="beginsWith" text="TOMIC">
      <formula>LEFT(DY236,LEN("TOMIC"))="TOMIC"</formula>
    </cfRule>
  </conditionalFormatting>
  <conditionalFormatting sqref="EB3">
    <cfRule type="beginsWith" dxfId="7852" priority="25871" operator="beginsWith" text="Lancement Projet fil rouge">
      <formula>LEFT(EB3,LEN("Lancement Projet fil rouge"))="Lancement Projet fil rouge"</formula>
    </cfRule>
    <cfRule type="beginsWith" dxfId="7851" priority="25872" operator="beginsWith" text="Vacances">
      <formula>LEFT(EB3,LEN("Vacances"))="Vacances"</formula>
    </cfRule>
    <cfRule type="beginsWith" dxfId="7850" priority="25873" operator="beginsWith" text="Séminaire d'intégration">
      <formula>LEFT(EB3,LEN("Séminaire d'intégration"))="Séminaire d'intégration"</formula>
    </cfRule>
    <cfRule type="beginsWith" dxfId="7849" priority="25874" operator="beginsWith" text="Accueil">
      <formula>LEFT(EB3,LEN("Accueil"))="Accueil"</formula>
    </cfRule>
    <cfRule type="beginsWith" dxfId="7848" priority="25875" operator="beginsWith" text="Stage">
      <formula>LEFT(EB3,LEN("Stage"))="Stage"</formula>
    </cfRule>
    <cfRule type="beginsWith" dxfId="7847" priority="25876" operator="beginsWith" text="Entreprise">
      <formula>LEFT(EB3,LEN("Entreprise"))="Entreprise"</formula>
    </cfRule>
    <cfRule type="beginsWith" dxfId="7846" priority="25877" operator="beginsWith" text="Voltaire">
      <formula>LEFT(EB3,LEN("Voltaire"))="Voltaire"</formula>
    </cfRule>
  </conditionalFormatting>
  <conditionalFormatting sqref="EB6">
    <cfRule type="beginsWith" dxfId="7845" priority="18132" operator="beginsWith" text="Projet professionnel : Séminaire PFI">
      <formula>LEFT(EB6,LEN("Projet professionnel : Séminaire PFI"))="Projet professionnel : Séminaire PFI"</formula>
    </cfRule>
    <cfRule type="beginsWith" dxfId="7844" priority="18133" operator="beginsWith" text="Lancement Projet fil rouge">
      <formula>LEFT(EB6,LEN("Lancement Projet fil rouge"))="Lancement Projet fil rouge"</formula>
    </cfRule>
    <cfRule type="beginsWith" dxfId="7843" priority="18134" operator="beginsWith" text="Vacances">
      <formula>LEFT(EB6,LEN("Vacances"))="Vacances"</formula>
    </cfRule>
    <cfRule type="beginsWith" dxfId="7842" priority="18135" operator="beginsWith" text="Séminaire d'intégration">
      <formula>LEFT(EB6,LEN("Séminaire d'intégration"))="Séminaire d'intégration"</formula>
    </cfRule>
    <cfRule type="beginsWith" dxfId="7841" priority="18136" operator="beginsWith" text="Accueil">
      <formula>LEFT(EB6,LEN("Accueil"))="Accueil"</formula>
    </cfRule>
    <cfRule type="beginsWith" dxfId="7840" priority="18137" operator="beginsWith" text="Stage">
      <formula>LEFT(EB6,LEN("Stage"))="Stage"</formula>
    </cfRule>
    <cfRule type="beginsWith" dxfId="7839" priority="18138" operator="beginsWith" text="Entreprise">
      <formula>LEFT(EB6,LEN("Entreprise"))="Entreprise"</formula>
    </cfRule>
    <cfRule type="beginsWith" dxfId="7838" priority="18139" operator="beginsWith" text="Voltaire">
      <formula>LEFT(EB6,LEN("Voltaire"))="Voltaire"</formula>
    </cfRule>
  </conditionalFormatting>
  <conditionalFormatting sqref="EB26">
    <cfRule type="beginsWith" dxfId="7837" priority="26134" operator="beginsWith" text="Projet professionnel : Séminaire PFI">
      <formula>LEFT(EB26,LEN("Projet professionnel : Séminaire PFI"))="Projet professionnel : Séminaire PFI"</formula>
    </cfRule>
    <cfRule type="beginsWith" dxfId="7836" priority="26135" operator="beginsWith" text="Lancement Projet fil rouge">
      <formula>LEFT(EB26,LEN("Lancement Projet fil rouge"))="Lancement Projet fil rouge"</formula>
    </cfRule>
    <cfRule type="beginsWith" dxfId="7835" priority="26136" operator="beginsWith" text="Vacances">
      <formula>LEFT(EB26,LEN("Vacances"))="Vacances"</formula>
    </cfRule>
    <cfRule type="beginsWith" dxfId="7834" priority="26137" operator="beginsWith" text="Séminaire d'intégration">
      <formula>LEFT(EB26,LEN("Séminaire d'intégration"))="Séminaire d'intégration"</formula>
    </cfRule>
    <cfRule type="beginsWith" dxfId="7833" priority="26138" operator="beginsWith" text="Accueil">
      <formula>LEFT(EB26,LEN("Accueil"))="Accueil"</formula>
    </cfRule>
    <cfRule type="beginsWith" dxfId="7832" priority="26139" operator="beginsWith" text="Stage">
      <formula>LEFT(EB26,LEN("Stage"))="Stage"</formula>
    </cfRule>
    <cfRule type="beginsWith" dxfId="7831" priority="26140" operator="beginsWith" text="Entreprise">
      <formula>LEFT(EB26,LEN("Entreprise"))="Entreprise"</formula>
    </cfRule>
    <cfRule type="beginsWith" dxfId="7830" priority="26141" operator="beginsWith" text="Voltaire">
      <formula>LEFT(EB26,LEN("Voltaire"))="Voltaire"</formula>
    </cfRule>
  </conditionalFormatting>
  <conditionalFormatting sqref="EB36:EB46">
    <cfRule type="beginsWith" dxfId="7829" priority="26070" operator="beginsWith" text="Projet professionnel : Séminaire PFI">
      <formula>LEFT(EB36,LEN("Projet professionnel : Séminaire PFI"))="Projet professionnel : Séminaire PFI"</formula>
    </cfRule>
    <cfRule type="beginsWith" dxfId="7828" priority="26071" operator="beginsWith" text="Lancement Projet fil rouge">
      <formula>LEFT(EB36,LEN("Lancement Projet fil rouge"))="Lancement Projet fil rouge"</formula>
    </cfRule>
    <cfRule type="beginsWith" dxfId="7827" priority="26072" operator="beginsWith" text="Vacances">
      <formula>LEFT(EB36,LEN("Vacances"))="Vacances"</formula>
    </cfRule>
    <cfRule type="beginsWith" dxfId="7826" priority="26073" operator="beginsWith" text="Séminaire d'intégration">
      <formula>LEFT(EB36,LEN("Séminaire d'intégration"))="Séminaire d'intégration"</formula>
    </cfRule>
    <cfRule type="beginsWith" dxfId="7825" priority="26074" operator="beginsWith" text="Accueil">
      <formula>LEFT(EB36,LEN("Accueil"))="Accueil"</formula>
    </cfRule>
    <cfRule type="beginsWith" dxfId="7824" priority="26075" operator="beginsWith" text="Stage">
      <formula>LEFT(EB36,LEN("Stage"))="Stage"</formula>
    </cfRule>
    <cfRule type="beginsWith" dxfId="7823" priority="26076" operator="beginsWith" text="Entreprise">
      <formula>LEFT(EB36,LEN("Entreprise"))="Entreprise"</formula>
    </cfRule>
    <cfRule type="beginsWith" dxfId="7822" priority="26077" operator="beginsWith" text="Voltaire">
      <formula>LEFT(EB36,LEN("Voltaire"))="Voltaire"</formula>
    </cfRule>
  </conditionalFormatting>
  <conditionalFormatting sqref="EB51">
    <cfRule type="beginsWith" dxfId="7821" priority="14988" operator="beginsWith" text="Projet professionnel : Séminaire PFI">
      <formula>LEFT(EB51,LEN("Projet professionnel : Séminaire PFI"))="Projet professionnel : Séminaire PFI"</formula>
    </cfRule>
    <cfRule type="beginsWith" dxfId="7820" priority="14989" operator="beginsWith" text="Lancement Projet fil rouge">
      <formula>LEFT(EB51,LEN("Lancement Projet fil rouge"))="Lancement Projet fil rouge"</formula>
    </cfRule>
    <cfRule type="beginsWith" dxfId="7819" priority="14990" operator="beginsWith" text="Vacances">
      <formula>LEFT(EB51,LEN("Vacances"))="Vacances"</formula>
    </cfRule>
    <cfRule type="beginsWith" dxfId="7818" priority="14991" operator="beginsWith" text="Séminaire d'intégration">
      <formula>LEFT(EB51,LEN("Séminaire d'intégration"))="Séminaire d'intégration"</formula>
    </cfRule>
    <cfRule type="beginsWith" dxfId="7817" priority="14992" operator="beginsWith" text="Accueil">
      <formula>LEFT(EB51,LEN("Accueil"))="Accueil"</formula>
    </cfRule>
    <cfRule type="beginsWith" dxfId="7816" priority="14993" operator="beginsWith" text="Stage">
      <formula>LEFT(EB51,LEN("Stage"))="Stage"</formula>
    </cfRule>
    <cfRule type="beginsWith" dxfId="7815" priority="14994" operator="beginsWith" text="Entreprise">
      <formula>LEFT(EB51,LEN("Entreprise"))="Entreprise"</formula>
    </cfRule>
    <cfRule type="beginsWith" dxfId="7814" priority="14995" operator="beginsWith" text="Voltaire">
      <formula>LEFT(EB51,LEN("Voltaire"))="Voltaire"</formula>
    </cfRule>
  </conditionalFormatting>
  <conditionalFormatting sqref="EB56">
    <cfRule type="beginsWith" dxfId="7813" priority="25958" operator="beginsWith" text="Projet professionnel : Séminaire PFI">
      <formula>LEFT(EB56,LEN("Projet professionnel : Séminaire PFI"))="Projet professionnel : Séminaire PFI"</formula>
    </cfRule>
    <cfRule type="beginsWith" dxfId="7812" priority="25959" operator="beginsWith" text="Lancement Projet fil rouge">
      <formula>LEFT(EB56,LEN("Lancement Projet fil rouge"))="Lancement Projet fil rouge"</formula>
    </cfRule>
    <cfRule type="beginsWith" dxfId="7811" priority="25960" operator="beginsWith" text="Vacances">
      <formula>LEFT(EB56,LEN("Vacances"))="Vacances"</formula>
    </cfRule>
    <cfRule type="beginsWith" dxfId="7810" priority="25961" operator="beginsWith" text="Séminaire d'intégration">
      <formula>LEFT(EB56,LEN("Séminaire d'intégration"))="Séminaire d'intégration"</formula>
    </cfRule>
    <cfRule type="beginsWith" dxfId="7809" priority="25962" operator="beginsWith" text="Accueil">
      <formula>LEFT(EB56,LEN("Accueil"))="Accueil"</formula>
    </cfRule>
    <cfRule type="beginsWith" dxfId="7808" priority="25963" operator="beginsWith" text="Stage">
      <formula>LEFT(EB56,LEN("Stage"))="Stage"</formula>
    </cfRule>
    <cfRule type="beginsWith" dxfId="7807" priority="25964" operator="beginsWith" text="Entreprise">
      <formula>LEFT(EB56,LEN("Entreprise"))="Entreprise"</formula>
    </cfRule>
    <cfRule type="beginsWith" dxfId="7806" priority="25965" operator="beginsWith" text="Voltaire">
      <formula>LEFT(EB56,LEN("Voltaire"))="Voltaire"</formula>
    </cfRule>
  </conditionalFormatting>
  <conditionalFormatting sqref="EB61">
    <cfRule type="beginsWith" dxfId="7805" priority="25966" operator="beginsWith" text="Projet professionnel : Séminaire PFI">
      <formula>LEFT(EB61,LEN("Projet professionnel : Séminaire PFI"))="Projet professionnel : Séminaire PFI"</formula>
    </cfRule>
    <cfRule type="beginsWith" dxfId="7804" priority="25967" operator="beginsWith" text="Lancement Projet fil rouge">
      <formula>LEFT(EB61,LEN("Lancement Projet fil rouge"))="Lancement Projet fil rouge"</formula>
    </cfRule>
    <cfRule type="beginsWith" dxfId="7803" priority="25968" operator="beginsWith" text="Vacances">
      <formula>LEFT(EB61,LEN("Vacances"))="Vacances"</formula>
    </cfRule>
    <cfRule type="beginsWith" dxfId="7802" priority="25969" operator="beginsWith" text="Séminaire d'intégration">
      <formula>LEFT(EB61,LEN("Séminaire d'intégration"))="Séminaire d'intégration"</formula>
    </cfRule>
    <cfRule type="beginsWith" dxfId="7801" priority="25970" operator="beginsWith" text="Accueil">
      <formula>LEFT(EB61,LEN("Accueil"))="Accueil"</formula>
    </cfRule>
    <cfRule type="beginsWith" dxfId="7800" priority="25971" operator="beginsWith" text="Stage">
      <formula>LEFT(EB61,LEN("Stage"))="Stage"</formula>
    </cfRule>
    <cfRule type="beginsWith" dxfId="7799" priority="25972" operator="beginsWith" text="Entreprise">
      <formula>LEFT(EB61,LEN("Entreprise"))="Entreprise"</formula>
    </cfRule>
    <cfRule type="beginsWith" dxfId="7798" priority="25973" operator="beginsWith" text="Voltaire">
      <formula>LEFT(EB61,LEN("Voltaire"))="Voltaire"</formula>
    </cfRule>
  </conditionalFormatting>
  <conditionalFormatting sqref="EB66:EB67">
    <cfRule type="beginsWith" dxfId="7797" priority="26126" operator="beginsWith" text="Projet professionnel : Séminaire PFI">
      <formula>LEFT(EB66,LEN("Projet professionnel : Séminaire PFI"))="Projet professionnel : Séminaire PFI"</formula>
    </cfRule>
    <cfRule type="beginsWith" dxfId="7796" priority="26127" operator="beginsWith" text="Lancement Projet fil rouge">
      <formula>LEFT(EB66,LEN("Lancement Projet fil rouge"))="Lancement Projet fil rouge"</formula>
    </cfRule>
    <cfRule type="beginsWith" dxfId="7795" priority="26128" operator="beginsWith" text="Vacances">
      <formula>LEFT(EB66,LEN("Vacances"))="Vacances"</formula>
    </cfRule>
    <cfRule type="beginsWith" dxfId="7794" priority="26129" operator="beginsWith" text="Séminaire d'intégration">
      <formula>LEFT(EB66,LEN("Séminaire d'intégration"))="Séminaire d'intégration"</formula>
    </cfRule>
    <cfRule type="beginsWith" dxfId="7793" priority="26130" operator="beginsWith" text="Accueil">
      <formula>LEFT(EB66,LEN("Accueil"))="Accueil"</formula>
    </cfRule>
    <cfRule type="beginsWith" dxfId="7792" priority="26131" operator="beginsWith" text="Stage">
      <formula>LEFT(EB66,LEN("Stage"))="Stage"</formula>
    </cfRule>
    <cfRule type="beginsWith" dxfId="7791" priority="26132" operator="beginsWith" text="Entreprise">
      <formula>LEFT(EB66,LEN("Entreprise"))="Entreprise"</formula>
    </cfRule>
    <cfRule type="beginsWith" dxfId="7790" priority="26133" operator="beginsWith" text="Voltaire">
      <formula>LEFT(EB66,LEN("Voltaire"))="Voltaire"</formula>
    </cfRule>
  </conditionalFormatting>
  <conditionalFormatting sqref="EB68:EB74">
    <cfRule type="beginsWith" dxfId="7789" priority="26078" operator="beginsWith" text="Projet professionnel : Séminaire PFI">
      <formula>LEFT(EB68,LEN("Projet professionnel : Séminaire PFI"))="Projet professionnel : Séminaire PFI"</formula>
    </cfRule>
    <cfRule type="beginsWith" dxfId="7788" priority="26079" operator="beginsWith" text="Lancement Projet fil rouge">
      <formula>LEFT(EB68,LEN("Lancement Projet fil rouge"))="Lancement Projet fil rouge"</formula>
    </cfRule>
    <cfRule type="beginsWith" dxfId="7787" priority="26080" operator="beginsWith" text="Vacances">
      <formula>LEFT(EB68,LEN("Vacances"))="Vacances"</formula>
    </cfRule>
    <cfRule type="beginsWith" dxfId="7786" priority="26081" operator="beginsWith" text="Séminaire d'intégration">
      <formula>LEFT(EB68,LEN("Séminaire d'intégration"))="Séminaire d'intégration"</formula>
    </cfRule>
    <cfRule type="beginsWith" dxfId="7785" priority="26082" operator="beginsWith" text="Accueil">
      <formula>LEFT(EB68,LEN("Accueil"))="Accueil"</formula>
    </cfRule>
    <cfRule type="beginsWith" dxfId="7784" priority="26083" operator="beginsWith" text="Stage">
      <formula>LEFT(EB68,LEN("Stage"))="Stage"</formula>
    </cfRule>
    <cfRule type="beginsWith" dxfId="7783" priority="26084" operator="beginsWith" text="Entreprise">
      <formula>LEFT(EB68,LEN("Entreprise"))="Entreprise"</formula>
    </cfRule>
    <cfRule type="beginsWith" dxfId="7782" priority="26085" operator="beginsWith" text="Voltaire">
      <formula>LEFT(EB68,LEN("Voltaire"))="Voltaire"</formula>
    </cfRule>
  </conditionalFormatting>
  <conditionalFormatting sqref="EB75:EB86">
    <cfRule type="beginsWith" dxfId="7781" priority="25950" operator="beginsWith" text="Projet professionnel : Séminaire PFI">
      <formula>LEFT(EB75,LEN("Projet professionnel : Séminaire PFI"))="Projet professionnel : Séminaire PFI"</formula>
    </cfRule>
    <cfRule type="beginsWith" dxfId="7780" priority="25951" operator="beginsWith" text="Lancement Projet fil rouge">
      <formula>LEFT(EB75,LEN("Lancement Projet fil rouge"))="Lancement Projet fil rouge"</formula>
    </cfRule>
    <cfRule type="beginsWith" dxfId="7779" priority="25952" operator="beginsWith" text="Vacances">
      <formula>LEFT(EB75,LEN("Vacances"))="Vacances"</formula>
    </cfRule>
    <cfRule type="beginsWith" dxfId="7778" priority="25953" operator="beginsWith" text="Séminaire d'intégration">
      <formula>LEFT(EB75,LEN("Séminaire d'intégration"))="Séminaire d'intégration"</formula>
    </cfRule>
    <cfRule type="beginsWith" dxfId="7777" priority="25954" operator="beginsWith" text="Accueil">
      <formula>LEFT(EB75,LEN("Accueil"))="Accueil"</formula>
    </cfRule>
    <cfRule type="beginsWith" dxfId="7776" priority="25955" operator="beginsWith" text="Stage">
      <formula>LEFT(EB75,LEN("Stage"))="Stage"</formula>
    </cfRule>
    <cfRule type="beginsWith" dxfId="7775" priority="25956" operator="beginsWith" text="Entreprise">
      <formula>LEFT(EB75,LEN("Entreprise"))="Entreprise"</formula>
    </cfRule>
    <cfRule type="beginsWith" dxfId="7774" priority="25957" operator="beginsWith" text="Voltaire">
      <formula>LEFT(EB75,LEN("Voltaire"))="Voltaire"</formula>
    </cfRule>
  </conditionalFormatting>
  <conditionalFormatting sqref="EB87:EB92">
    <cfRule type="beginsWith" dxfId="7773" priority="26086" operator="beginsWith" text="Projet professionnel : Séminaire PFI">
      <formula>LEFT(EB87,LEN("Projet professionnel : Séminaire PFI"))="Projet professionnel : Séminaire PFI"</formula>
    </cfRule>
    <cfRule type="beginsWith" dxfId="7772" priority="26087" operator="beginsWith" text="Lancement Projet fil rouge">
      <formula>LEFT(EB87,LEN("Lancement Projet fil rouge"))="Lancement Projet fil rouge"</formula>
    </cfRule>
    <cfRule type="beginsWith" dxfId="7771" priority="26088" operator="beginsWith" text="Vacances">
      <formula>LEFT(EB87,LEN("Vacances"))="Vacances"</formula>
    </cfRule>
    <cfRule type="beginsWith" dxfId="7770" priority="26089" operator="beginsWith" text="Séminaire d'intégration">
      <formula>LEFT(EB87,LEN("Séminaire d'intégration"))="Séminaire d'intégration"</formula>
    </cfRule>
    <cfRule type="beginsWith" dxfId="7769" priority="26090" operator="beginsWith" text="Accueil">
      <formula>LEFT(EB87,LEN("Accueil"))="Accueil"</formula>
    </cfRule>
    <cfRule type="beginsWith" dxfId="7768" priority="26091" operator="beginsWith" text="Stage">
      <formula>LEFT(EB87,LEN("Stage"))="Stage"</formula>
    </cfRule>
    <cfRule type="beginsWith" dxfId="7767" priority="26092" operator="beginsWith" text="Entreprise">
      <formula>LEFT(EB87,LEN("Entreprise"))="Entreprise"</formula>
    </cfRule>
    <cfRule type="beginsWith" dxfId="7766" priority="26093" operator="beginsWith" text="Voltaire">
      <formula>LEFT(EB87,LEN("Voltaire"))="Voltaire"</formula>
    </cfRule>
  </conditionalFormatting>
  <conditionalFormatting sqref="EB93">
    <cfRule type="beginsWith" dxfId="7765" priority="26094" operator="beginsWith" text="Projet professionnel : Séminaire PFI">
      <formula>LEFT(EB93,LEN("Projet professionnel : Séminaire PFI"))="Projet professionnel : Séminaire PFI"</formula>
    </cfRule>
    <cfRule type="beginsWith" dxfId="7764" priority="26095" operator="beginsWith" text="Lancement Projet fil rouge">
      <formula>LEFT(EB93,LEN("Lancement Projet fil rouge"))="Lancement Projet fil rouge"</formula>
    </cfRule>
    <cfRule type="beginsWith" dxfId="7763" priority="26096" operator="beginsWith" text="Vacances">
      <formula>LEFT(EB93,LEN("Vacances"))="Vacances"</formula>
    </cfRule>
    <cfRule type="beginsWith" dxfId="7762" priority="26097" operator="beginsWith" text="Séminaire d'intégration">
      <formula>LEFT(EB93,LEN("Séminaire d'intégration"))="Séminaire d'intégration"</formula>
    </cfRule>
    <cfRule type="beginsWith" dxfId="7761" priority="26098" operator="beginsWith" text="Accueil">
      <formula>LEFT(EB93,LEN("Accueil"))="Accueil"</formula>
    </cfRule>
    <cfRule type="beginsWith" dxfId="7760" priority="26099" operator="beginsWith" text="Stage">
      <formula>LEFT(EB93,LEN("Stage"))="Stage"</formula>
    </cfRule>
    <cfRule type="beginsWith" dxfId="7759" priority="26100" operator="beginsWith" text="Entreprise">
      <formula>LEFT(EB93,LEN("Entreprise"))="Entreprise"</formula>
    </cfRule>
    <cfRule type="beginsWith" dxfId="7758" priority="26101" operator="beginsWith" text="Voltaire">
      <formula>LEFT(EB93,LEN("Voltaire"))="Voltaire"</formula>
    </cfRule>
  </conditionalFormatting>
  <conditionalFormatting sqref="EB94:EB100">
    <cfRule type="beginsWith" dxfId="7757" priority="14980" operator="beginsWith" text="Projet professionnel : Séminaire PFI">
      <formula>LEFT(EB94,LEN("Projet professionnel : Séminaire PFI"))="Projet professionnel : Séminaire PFI"</formula>
    </cfRule>
    <cfRule type="beginsWith" dxfId="7756" priority="14981" operator="beginsWith" text="Lancement Projet fil rouge">
      <formula>LEFT(EB94,LEN("Lancement Projet fil rouge"))="Lancement Projet fil rouge"</formula>
    </cfRule>
    <cfRule type="beginsWith" dxfId="7755" priority="14982" operator="beginsWith" text="Vacances">
      <formula>LEFT(EB94,LEN("Vacances"))="Vacances"</formula>
    </cfRule>
    <cfRule type="beginsWith" dxfId="7754" priority="14983" operator="beginsWith" text="Séminaire d'intégration">
      <formula>LEFT(EB94,LEN("Séminaire d'intégration"))="Séminaire d'intégration"</formula>
    </cfRule>
    <cfRule type="beginsWith" dxfId="7753" priority="14984" operator="beginsWith" text="Accueil">
      <formula>LEFT(EB94,LEN("Accueil"))="Accueil"</formula>
    </cfRule>
    <cfRule type="beginsWith" dxfId="7752" priority="14985" operator="beginsWith" text="Stage">
      <formula>LEFT(EB94,LEN("Stage"))="Stage"</formula>
    </cfRule>
    <cfRule type="beginsWith" dxfId="7751" priority="14986" operator="beginsWith" text="Entreprise">
      <formula>LEFT(EB94,LEN("Entreprise"))="Entreprise"</formula>
    </cfRule>
    <cfRule type="beginsWith" dxfId="7750" priority="14987" operator="beginsWith" text="Voltaire">
      <formula>LEFT(EB94,LEN("Voltaire"))="Voltaire"</formula>
    </cfRule>
  </conditionalFormatting>
  <conditionalFormatting sqref="EB106:EB108">
    <cfRule type="beginsWith" dxfId="7749" priority="25934" operator="beginsWith" text="Projet professionnel : Séminaire PFI">
      <formula>LEFT(EB106,LEN("Projet professionnel : Séminaire PFI"))="Projet professionnel : Séminaire PFI"</formula>
    </cfRule>
    <cfRule type="beginsWith" dxfId="7748" priority="25935" operator="beginsWith" text="Lancement Projet fil rouge">
      <formula>LEFT(EB106,LEN("Lancement Projet fil rouge"))="Lancement Projet fil rouge"</formula>
    </cfRule>
    <cfRule type="beginsWith" dxfId="7747" priority="25936" operator="beginsWith" text="Vacances">
      <formula>LEFT(EB106,LEN("Vacances"))="Vacances"</formula>
    </cfRule>
    <cfRule type="beginsWith" dxfId="7746" priority="25937" operator="beginsWith" text="Séminaire d'intégration">
      <formula>LEFT(EB106,LEN("Séminaire d'intégration"))="Séminaire d'intégration"</formula>
    </cfRule>
    <cfRule type="beginsWith" dxfId="7745" priority="25938" operator="beginsWith" text="Accueil">
      <formula>LEFT(EB106,LEN("Accueil"))="Accueil"</formula>
    </cfRule>
    <cfRule type="beginsWith" dxfId="7744" priority="25939" operator="beginsWith" text="Stage">
      <formula>LEFT(EB106,LEN("Stage"))="Stage"</formula>
    </cfRule>
    <cfRule type="beginsWith" dxfId="7743" priority="25940" operator="beginsWith" text="Entreprise">
      <formula>LEFT(EB106,LEN("Entreprise"))="Entreprise"</formula>
    </cfRule>
    <cfRule type="beginsWith" dxfId="7742" priority="25941" operator="beginsWith" text="Voltaire">
      <formula>LEFT(EB106,LEN("Voltaire"))="Voltaire"</formula>
    </cfRule>
  </conditionalFormatting>
  <conditionalFormatting sqref="EB109:EB110">
    <cfRule type="beginsWith" dxfId="7741" priority="26046" operator="beginsWith" text="Projet professionnel : Séminaire PFI">
      <formula>LEFT(EB109,LEN("Projet professionnel : Séminaire PFI"))="Projet professionnel : Séminaire PFI"</formula>
    </cfRule>
    <cfRule type="beginsWith" dxfId="7740" priority="26047" operator="beginsWith" text="Lancement Projet fil rouge">
      <formula>LEFT(EB109,LEN("Lancement Projet fil rouge"))="Lancement Projet fil rouge"</formula>
    </cfRule>
    <cfRule type="beginsWith" dxfId="7739" priority="26048" operator="beginsWith" text="Vacances">
      <formula>LEFT(EB109,LEN("Vacances"))="Vacances"</formula>
    </cfRule>
    <cfRule type="beginsWith" dxfId="7738" priority="26049" operator="beginsWith" text="Séminaire d'intégration">
      <formula>LEFT(EB109,LEN("Séminaire d'intégration"))="Séminaire d'intégration"</formula>
    </cfRule>
    <cfRule type="beginsWith" dxfId="7737" priority="26050" operator="beginsWith" text="Accueil">
      <formula>LEFT(EB109,LEN("Accueil"))="Accueil"</formula>
    </cfRule>
    <cfRule type="beginsWith" dxfId="7736" priority="26051" operator="beginsWith" text="Stage">
      <formula>LEFT(EB109,LEN("Stage"))="Stage"</formula>
    </cfRule>
    <cfRule type="beginsWith" dxfId="7735" priority="26052" operator="beginsWith" text="Entreprise">
      <formula>LEFT(EB109,LEN("Entreprise"))="Entreprise"</formula>
    </cfRule>
    <cfRule type="beginsWith" dxfId="7734" priority="26053" operator="beginsWith" text="Voltaire">
      <formula>LEFT(EB109,LEN("Voltaire"))="Voltaire"</formula>
    </cfRule>
  </conditionalFormatting>
  <conditionalFormatting sqref="EB121:EB124 EB1:EB2 EB5 EB47:EB50">
    <cfRule type="beginsWith" dxfId="7733" priority="26206" operator="beginsWith" text="Projet professionnel : Séminaire PFI">
      <formula>LEFT(EB1,LEN("Projet professionnel : Séminaire PFI"))="Projet professionnel : Séminaire PFI"</formula>
    </cfRule>
    <cfRule type="beginsWith" dxfId="7732" priority="26207" operator="beginsWith" text="Lancement Projet fil rouge">
      <formula>LEFT(EB1,LEN("Lancement Projet fil rouge"))="Lancement Projet fil rouge"</formula>
    </cfRule>
    <cfRule type="beginsWith" dxfId="7731" priority="26208" operator="beginsWith" text="Vacances">
      <formula>LEFT(EB1,LEN("Vacances"))="Vacances"</formula>
    </cfRule>
    <cfRule type="beginsWith" dxfId="7730" priority="26209" operator="beginsWith" text="Séminaire d'intégration">
      <formula>LEFT(EB1,LEN("Séminaire d'intégration"))="Séminaire d'intégration"</formula>
    </cfRule>
    <cfRule type="beginsWith" dxfId="7729" priority="26210" operator="beginsWith" text="Accueil">
      <formula>LEFT(EB1,LEN("Accueil"))="Accueil"</formula>
    </cfRule>
    <cfRule type="beginsWith" dxfId="7728" priority="26211" operator="beginsWith" text="Stage">
      <formula>LEFT(EB1,LEN("Stage"))="Stage"</formula>
    </cfRule>
    <cfRule type="beginsWith" dxfId="7727" priority="26212" operator="beginsWith" text="Entreprise">
      <formula>LEFT(EB1,LEN("Entreprise"))="Entreprise"</formula>
    </cfRule>
    <cfRule type="beginsWith" dxfId="7726" priority="26213" operator="beginsWith" text="Voltaire">
      <formula>LEFT(EB1,LEN("Voltaire"))="Voltaire"</formula>
    </cfRule>
  </conditionalFormatting>
  <conditionalFormatting sqref="EB125">
    <cfRule type="beginsWith" dxfId="7725" priority="26166" operator="beginsWith" text="Projet professionnel : Séminaire PFI">
      <formula>LEFT(EB125,LEN("Projet professionnel : Séminaire PFI"))="Projet professionnel : Séminaire PFI"</formula>
    </cfRule>
    <cfRule type="beginsWith" dxfId="7724" priority="26167" operator="beginsWith" text="Lancement Projet fil rouge">
      <formula>LEFT(EB125,LEN("Lancement Projet fil rouge"))="Lancement Projet fil rouge"</formula>
    </cfRule>
    <cfRule type="beginsWith" dxfId="7723" priority="26168" operator="beginsWith" text="Vacances">
      <formula>LEFT(EB125,LEN("Vacances"))="Vacances"</formula>
    </cfRule>
    <cfRule type="beginsWith" dxfId="7722" priority="26169" operator="beginsWith" text="Séminaire d'intégration">
      <formula>LEFT(EB125,LEN("Séminaire d'intégration"))="Séminaire d'intégration"</formula>
    </cfRule>
    <cfRule type="beginsWith" dxfId="7721" priority="26170" operator="beginsWith" text="Accueil">
      <formula>LEFT(EB125,LEN("Accueil"))="Accueil"</formula>
    </cfRule>
    <cfRule type="beginsWith" dxfId="7720" priority="26171" operator="beginsWith" text="Stage">
      <formula>LEFT(EB125,LEN("Stage"))="Stage"</formula>
    </cfRule>
    <cfRule type="beginsWith" dxfId="7719" priority="26172" operator="beginsWith" text="Entreprise">
      <formula>LEFT(EB125,LEN("Entreprise"))="Entreprise"</formula>
    </cfRule>
    <cfRule type="beginsWith" dxfId="7718" priority="26173" operator="beginsWith" text="Voltaire">
      <formula>LEFT(EB125,LEN("Voltaire"))="Voltaire"</formula>
    </cfRule>
  </conditionalFormatting>
  <conditionalFormatting sqref="EB126">
    <cfRule type="beginsWith" dxfId="7717" priority="25926" operator="beginsWith" text="Projet professionnel : Séminaire PFI">
      <formula>LEFT(EB126,LEN("Projet professionnel : Séminaire PFI"))="Projet professionnel : Séminaire PFI"</formula>
    </cfRule>
    <cfRule type="beginsWith" dxfId="7716" priority="25927" operator="beginsWith" text="Lancement Projet fil rouge">
      <formula>LEFT(EB126,LEN("Lancement Projet fil rouge"))="Lancement Projet fil rouge"</formula>
    </cfRule>
    <cfRule type="beginsWith" dxfId="7715" priority="25928" operator="beginsWith" text="Vacances">
      <formula>LEFT(EB126,LEN("Vacances"))="Vacances"</formula>
    </cfRule>
    <cfRule type="beginsWith" dxfId="7714" priority="25929" operator="beginsWith" text="Séminaire d'intégration">
      <formula>LEFT(EB126,LEN("Séminaire d'intégration"))="Séminaire d'intégration"</formula>
    </cfRule>
    <cfRule type="beginsWith" dxfId="7713" priority="25930" operator="beginsWith" text="Accueil">
      <formula>LEFT(EB126,LEN("Accueil"))="Accueil"</formula>
    </cfRule>
    <cfRule type="beginsWith" dxfId="7712" priority="25931" operator="beginsWith" text="Stage">
      <formula>LEFT(EB126,LEN("Stage"))="Stage"</formula>
    </cfRule>
    <cfRule type="beginsWith" dxfId="7711" priority="25932" operator="beginsWith" text="Entreprise">
      <formula>LEFT(EB126,LEN("Entreprise"))="Entreprise"</formula>
    </cfRule>
    <cfRule type="beginsWith" dxfId="7710" priority="25933" operator="beginsWith" text="Voltaire">
      <formula>LEFT(EB126,LEN("Voltaire"))="Voltaire"</formula>
    </cfRule>
  </conditionalFormatting>
  <conditionalFormatting sqref="EB131:EB135">
    <cfRule type="beginsWith" dxfId="7709" priority="25974" operator="beginsWith" text="Projet professionnel : Séminaire PFI">
      <formula>LEFT(EB131,LEN("Projet professionnel : Séminaire PFI"))="Projet professionnel : Séminaire PFI"</formula>
    </cfRule>
    <cfRule type="beginsWith" dxfId="7708" priority="25975" operator="beginsWith" text="Lancement Projet fil rouge">
      <formula>LEFT(EB131,LEN("Lancement Projet fil rouge"))="Lancement Projet fil rouge"</formula>
    </cfRule>
    <cfRule type="beginsWith" dxfId="7707" priority="25976" operator="beginsWith" text="Vacances">
      <formula>LEFT(EB131,LEN("Vacances"))="Vacances"</formula>
    </cfRule>
    <cfRule type="beginsWith" dxfId="7706" priority="25977" operator="beginsWith" text="Séminaire d'intégration">
      <formula>LEFT(EB131,LEN("Séminaire d'intégration"))="Séminaire d'intégration"</formula>
    </cfRule>
    <cfRule type="beginsWith" dxfId="7705" priority="25978" operator="beginsWith" text="Accueil">
      <formula>LEFT(EB131,LEN("Accueil"))="Accueil"</formula>
    </cfRule>
    <cfRule type="beginsWith" dxfId="7704" priority="25979" operator="beginsWith" text="Stage">
      <formula>LEFT(EB131,LEN("Stage"))="Stage"</formula>
    </cfRule>
    <cfRule type="beginsWith" dxfId="7703" priority="25980" operator="beginsWith" text="Entreprise">
      <formula>LEFT(EB131,LEN("Entreprise"))="Entreprise"</formula>
    </cfRule>
    <cfRule type="beginsWith" dxfId="7702" priority="25981" operator="beginsWith" text="Voltaire">
      <formula>LEFT(EB131,LEN("Voltaire"))="Voltaire"</formula>
    </cfRule>
  </conditionalFormatting>
  <conditionalFormatting sqref="EB136">
    <cfRule type="beginsWith" dxfId="7701" priority="25990" operator="beginsWith" text="Projet professionnel : Séminaire PFI">
      <formula>LEFT(EB136,LEN("Projet professionnel : Séminaire PFI"))="Projet professionnel : Séminaire PFI"</formula>
    </cfRule>
    <cfRule type="beginsWith" dxfId="7700" priority="25991" operator="beginsWith" text="Lancement Projet fil rouge">
      <formula>LEFT(EB136,LEN("Lancement Projet fil rouge"))="Lancement Projet fil rouge"</formula>
    </cfRule>
    <cfRule type="beginsWith" dxfId="7699" priority="25992" operator="beginsWith" text="Vacances">
      <formula>LEFT(EB136,LEN("Vacances"))="Vacances"</formula>
    </cfRule>
    <cfRule type="beginsWith" dxfId="7698" priority="25993" operator="beginsWith" text="Séminaire d'intégration">
      <formula>LEFT(EB136,LEN("Séminaire d'intégration"))="Séminaire d'intégration"</formula>
    </cfRule>
    <cfRule type="beginsWith" dxfId="7697" priority="25994" operator="beginsWith" text="Accueil">
      <formula>LEFT(EB136,LEN("Accueil"))="Accueil"</formula>
    </cfRule>
    <cfRule type="beginsWith" dxfId="7696" priority="25995" operator="beginsWith" text="Stage">
      <formula>LEFT(EB136,LEN("Stage"))="Stage"</formula>
    </cfRule>
    <cfRule type="beginsWith" dxfId="7695" priority="25996" operator="beginsWith" text="Entreprise">
      <formula>LEFT(EB136,LEN("Entreprise"))="Entreprise"</formula>
    </cfRule>
    <cfRule type="beginsWith" dxfId="7694" priority="25997" operator="beginsWith" text="Voltaire">
      <formula>LEFT(EB136,LEN("Voltaire"))="Voltaire"</formula>
    </cfRule>
  </conditionalFormatting>
  <conditionalFormatting sqref="EB141">
    <cfRule type="beginsWith" dxfId="7693" priority="25982" operator="beginsWith" text="Projet professionnel : Séminaire PFI">
      <formula>LEFT(EB141,LEN("Projet professionnel : Séminaire PFI"))="Projet professionnel : Séminaire PFI"</formula>
    </cfRule>
    <cfRule type="beginsWith" dxfId="7692" priority="25983" operator="beginsWith" text="Lancement Projet fil rouge">
      <formula>LEFT(EB141,LEN("Lancement Projet fil rouge"))="Lancement Projet fil rouge"</formula>
    </cfRule>
    <cfRule type="beginsWith" dxfId="7691" priority="25984" operator="beginsWith" text="Vacances">
      <formula>LEFT(EB141,LEN("Vacances"))="Vacances"</formula>
    </cfRule>
    <cfRule type="beginsWith" dxfId="7690" priority="25985" operator="beginsWith" text="Séminaire d'intégration">
      <formula>LEFT(EB141,LEN("Séminaire d'intégration"))="Séminaire d'intégration"</formula>
    </cfRule>
    <cfRule type="beginsWith" dxfId="7689" priority="25986" operator="beginsWith" text="Accueil">
      <formula>LEFT(EB141,LEN("Accueil"))="Accueil"</formula>
    </cfRule>
    <cfRule type="beginsWith" dxfId="7688" priority="25987" operator="beginsWith" text="Stage">
      <formula>LEFT(EB141,LEN("Stage"))="Stage"</formula>
    </cfRule>
    <cfRule type="beginsWith" dxfId="7687" priority="25988" operator="beginsWith" text="Entreprise">
      <formula>LEFT(EB141,LEN("Entreprise"))="Entreprise"</formula>
    </cfRule>
    <cfRule type="beginsWith" dxfId="7686" priority="25989" operator="beginsWith" text="Voltaire">
      <formula>LEFT(EB141,LEN("Voltaire"))="Voltaire"</formula>
    </cfRule>
  </conditionalFormatting>
  <conditionalFormatting sqref="EB146">
    <cfRule type="beginsWith" dxfId="7685" priority="25480" operator="beginsWith" text="Projet professionnel : Séminaire PFI">
      <formula>LEFT(EB146,LEN("Projet professionnel : Séminaire PFI"))="Projet professionnel : Séminaire PFI"</formula>
    </cfRule>
    <cfRule type="beginsWith" dxfId="7684" priority="25481" operator="beginsWith" text="Lancement Projet fil rouge">
      <formula>LEFT(EB146,LEN("Lancement Projet fil rouge"))="Lancement Projet fil rouge"</formula>
    </cfRule>
    <cfRule type="beginsWith" dxfId="7683" priority="25482" operator="beginsWith" text="Vacances">
      <formula>LEFT(EB146,LEN("Vacances"))="Vacances"</formula>
    </cfRule>
    <cfRule type="beginsWith" dxfId="7682" priority="25483" operator="beginsWith" text="Séminaire d'intégration">
      <formula>LEFT(EB146,LEN("Séminaire d'intégration"))="Séminaire d'intégration"</formula>
    </cfRule>
    <cfRule type="beginsWith" dxfId="7681" priority="25484" operator="beginsWith" text="Accueil">
      <formula>LEFT(EB146,LEN("Accueil"))="Accueil"</formula>
    </cfRule>
    <cfRule type="beginsWith" dxfId="7680" priority="25485" operator="beginsWith" text="Stage">
      <formula>LEFT(EB146,LEN("Stage"))="Stage"</formula>
    </cfRule>
    <cfRule type="beginsWith" dxfId="7679" priority="25486" operator="beginsWith" text="Entreprise">
      <formula>LEFT(EB146,LEN("Entreprise"))="Entreprise"</formula>
    </cfRule>
    <cfRule type="beginsWith" dxfId="7678" priority="25487" operator="beginsWith" text="Voltaire">
      <formula>LEFT(EB146,LEN("Voltaire"))="Voltaire"</formula>
    </cfRule>
    <cfRule type="beginsWith" dxfId="7677" priority="25488" operator="beginsWith" text="Projet professionnel : Séminaire PFI">
      <formula>LEFT(EB146,LEN("Projet professionnel : Séminaire PFI"))="Projet professionnel : Séminaire PFI"</formula>
    </cfRule>
    <cfRule type="beginsWith" dxfId="7676" priority="25489" operator="beginsWith" text="Lancement Projet fil rouge">
      <formula>LEFT(EB146,LEN("Lancement Projet fil rouge"))="Lancement Projet fil rouge"</formula>
    </cfRule>
    <cfRule type="beginsWith" dxfId="7675" priority="25490" operator="beginsWith" text="Vacances">
      <formula>LEFT(EB146,LEN("Vacances"))="Vacances"</formula>
    </cfRule>
    <cfRule type="beginsWith" dxfId="7674" priority="25491" operator="beginsWith" text="Séminaire d'intégration">
      <formula>LEFT(EB146,LEN("Séminaire d'intégration"))="Séminaire d'intégration"</formula>
    </cfRule>
    <cfRule type="beginsWith" dxfId="7673" priority="25492" operator="beginsWith" text="Accueil">
      <formula>LEFT(EB146,LEN("Accueil"))="Accueil"</formula>
    </cfRule>
    <cfRule type="beginsWith" dxfId="7672" priority="25493" operator="beginsWith" text="Stage">
      <formula>LEFT(EB146,LEN("Stage"))="Stage"</formula>
    </cfRule>
    <cfRule type="beginsWith" dxfId="7671" priority="25494" operator="beginsWith" text="Entreprise">
      <formula>LEFT(EB146,LEN("Entreprise"))="Entreprise"</formula>
    </cfRule>
    <cfRule type="beginsWith" dxfId="7670" priority="25495" operator="beginsWith" text="Voltaire">
      <formula>LEFT(EB146,LEN("Voltaire"))="Voltaire"</formula>
    </cfRule>
  </conditionalFormatting>
  <conditionalFormatting sqref="EB157:EB160">
    <cfRule type="beginsWith" dxfId="7669" priority="14964" operator="beginsWith" text="Projet professionnel : Séminaire PFI">
      <formula>LEFT(EB157,LEN("Projet professionnel : Séminaire PFI"))="Projet professionnel : Séminaire PFI"</formula>
    </cfRule>
    <cfRule type="beginsWith" dxfId="7668" priority="14965" operator="beginsWith" text="Lancement Projet fil rouge">
      <formula>LEFT(EB157,LEN("Lancement Projet fil rouge"))="Lancement Projet fil rouge"</formula>
    </cfRule>
    <cfRule type="beginsWith" dxfId="7667" priority="14966" operator="beginsWith" text="Vacances">
      <formula>LEFT(EB157,LEN("Vacances"))="Vacances"</formula>
    </cfRule>
    <cfRule type="beginsWith" dxfId="7666" priority="14967" operator="beginsWith" text="Séminaire d'intégration">
      <formula>LEFT(EB157,LEN("Séminaire d'intégration"))="Séminaire d'intégration"</formula>
    </cfRule>
    <cfRule type="beginsWith" dxfId="7665" priority="14968" operator="beginsWith" text="Accueil">
      <formula>LEFT(EB157,LEN("Accueil"))="Accueil"</formula>
    </cfRule>
    <cfRule type="beginsWith" dxfId="7664" priority="14969" operator="beginsWith" text="Stage">
      <formula>LEFT(EB157,LEN("Stage"))="Stage"</formula>
    </cfRule>
    <cfRule type="beginsWith" dxfId="7663" priority="14970" operator="beginsWith" text="Entreprise">
      <formula>LEFT(EB157,LEN("Entreprise"))="Entreprise"</formula>
    </cfRule>
    <cfRule type="beginsWith" dxfId="7662" priority="14971" operator="beginsWith" text="Voltaire">
      <formula>LEFT(EB157,LEN("Voltaire"))="Voltaire"</formula>
    </cfRule>
  </conditionalFormatting>
  <conditionalFormatting sqref="EB166:EB167">
    <cfRule type="beginsWith" dxfId="7661" priority="25910" operator="beginsWith" text="Projet professionnel : Séminaire PFI">
      <formula>LEFT(EB166,LEN("Projet professionnel : Séminaire PFI"))="Projet professionnel : Séminaire PFI"</formula>
    </cfRule>
    <cfRule type="beginsWith" dxfId="7660" priority="25911" operator="beginsWith" text="Lancement Projet fil rouge">
      <formula>LEFT(EB166,LEN("Lancement Projet fil rouge"))="Lancement Projet fil rouge"</formula>
    </cfRule>
    <cfRule type="beginsWith" dxfId="7659" priority="25912" operator="beginsWith" text="Vacances">
      <formula>LEFT(EB166,LEN("Vacances"))="Vacances"</formula>
    </cfRule>
    <cfRule type="beginsWith" dxfId="7658" priority="25913" operator="beginsWith" text="Séminaire d'intégration">
      <formula>LEFT(EB166,LEN("Séminaire d'intégration"))="Séminaire d'intégration"</formula>
    </cfRule>
    <cfRule type="beginsWith" dxfId="7657" priority="25914" operator="beginsWith" text="Accueil">
      <formula>LEFT(EB166,LEN("Accueil"))="Accueil"</formula>
    </cfRule>
    <cfRule type="beginsWith" dxfId="7656" priority="25915" operator="beginsWith" text="Stage">
      <formula>LEFT(EB166,LEN("Stage"))="Stage"</formula>
    </cfRule>
    <cfRule type="beginsWith" dxfId="7655" priority="25916" operator="beginsWith" text="Entreprise">
      <formula>LEFT(EB166,LEN("Entreprise"))="Entreprise"</formula>
    </cfRule>
    <cfRule type="beginsWith" dxfId="7654" priority="25917" operator="beginsWith" text="Voltaire">
      <formula>LEFT(EB166,LEN("Voltaire"))="Voltaire"</formula>
    </cfRule>
  </conditionalFormatting>
  <conditionalFormatting sqref="EB167:EB175">
    <cfRule type="beginsWith" dxfId="7653" priority="26006" operator="beginsWith" text="Projet professionnel : Séminaire PFI">
      <formula>LEFT(EB167,LEN("Projet professionnel : Séminaire PFI"))="Projet professionnel : Séminaire PFI"</formula>
    </cfRule>
    <cfRule type="beginsWith" dxfId="7652" priority="26007" operator="beginsWith" text="Lancement Projet fil rouge">
      <formula>LEFT(EB167,LEN("Lancement Projet fil rouge"))="Lancement Projet fil rouge"</formula>
    </cfRule>
    <cfRule type="beginsWith" dxfId="7651" priority="26008" operator="beginsWith" text="Vacances">
      <formula>LEFT(EB167,LEN("Vacances"))="Vacances"</formula>
    </cfRule>
    <cfRule type="beginsWith" dxfId="7650" priority="26009" operator="beginsWith" text="Séminaire d'intégration">
      <formula>LEFT(EB167,LEN("Séminaire d'intégration"))="Séminaire d'intégration"</formula>
    </cfRule>
    <cfRule type="beginsWith" dxfId="7649" priority="26010" operator="beginsWith" text="Accueil">
      <formula>LEFT(EB167,LEN("Accueil"))="Accueil"</formula>
    </cfRule>
    <cfRule type="beginsWith" dxfId="7648" priority="26011" operator="beginsWith" text="Stage">
      <formula>LEFT(EB167,LEN("Stage"))="Stage"</formula>
    </cfRule>
    <cfRule type="beginsWith" dxfId="7647" priority="26012" operator="beginsWith" text="Entreprise">
      <formula>LEFT(EB167,LEN("Entreprise"))="Entreprise"</formula>
    </cfRule>
    <cfRule type="beginsWith" dxfId="7646" priority="26013" operator="beginsWith" text="Voltaire">
      <formula>LEFT(EB167,LEN("Voltaire"))="Voltaire"</formula>
    </cfRule>
  </conditionalFormatting>
  <conditionalFormatting sqref="EB171">
    <cfRule type="beginsWith" dxfId="7645" priority="25902" operator="beginsWith" text="Projet professionnel : Séminaire PFI">
      <formula>LEFT(EB171,LEN("Projet professionnel : Séminaire PFI"))="Projet professionnel : Séminaire PFI"</formula>
    </cfRule>
    <cfRule type="beginsWith" dxfId="7644" priority="25903" operator="beginsWith" text="Lancement Projet fil rouge">
      <formula>LEFT(EB171,LEN("Lancement Projet fil rouge"))="Lancement Projet fil rouge"</formula>
    </cfRule>
    <cfRule type="beginsWith" dxfId="7643" priority="25904" operator="beginsWith" text="Vacances">
      <formula>LEFT(EB171,LEN("Vacances"))="Vacances"</formula>
    </cfRule>
    <cfRule type="beginsWith" dxfId="7642" priority="25905" operator="beginsWith" text="Séminaire d'intégration">
      <formula>LEFT(EB171,LEN("Séminaire d'intégration"))="Séminaire d'intégration"</formula>
    </cfRule>
    <cfRule type="beginsWith" dxfId="7641" priority="25906" operator="beginsWith" text="Accueil">
      <formula>LEFT(EB171,LEN("Accueil"))="Accueil"</formula>
    </cfRule>
    <cfRule type="beginsWith" dxfId="7640" priority="25907" operator="beginsWith" text="Stage">
      <formula>LEFT(EB171,LEN("Stage"))="Stage"</formula>
    </cfRule>
    <cfRule type="beginsWith" dxfId="7639" priority="25908" operator="beginsWith" text="Entreprise">
      <formula>LEFT(EB171,LEN("Entreprise"))="Entreprise"</formula>
    </cfRule>
    <cfRule type="beginsWith" dxfId="7638" priority="25909" operator="beginsWith" text="Voltaire">
      <formula>LEFT(EB171,LEN("Voltaire"))="Voltaire"</formula>
    </cfRule>
  </conditionalFormatting>
  <conditionalFormatting sqref="EB186">
    <cfRule type="beginsWith" dxfId="7637" priority="18508" operator="beginsWith" text="Projet professionnel : Séminaire PFI">
      <formula>LEFT(EB186,LEN("Projet professionnel : Séminaire PFI"))="Projet professionnel : Séminaire PFI"</formula>
    </cfRule>
    <cfRule type="beginsWith" dxfId="7636" priority="18509" operator="beginsWith" text="Lancement Projet fil rouge">
      <formula>LEFT(EB186,LEN("Lancement Projet fil rouge"))="Lancement Projet fil rouge"</formula>
    </cfRule>
    <cfRule type="beginsWith" dxfId="7635" priority="18510" operator="beginsWith" text="Vacances">
      <formula>LEFT(EB186,LEN("Vacances"))="Vacances"</formula>
    </cfRule>
    <cfRule type="beginsWith" dxfId="7634" priority="18511" operator="beginsWith" text="Séminaire d'intégration">
      <formula>LEFT(EB186,LEN("Séminaire d'intégration"))="Séminaire d'intégration"</formula>
    </cfRule>
    <cfRule type="beginsWith" dxfId="7633" priority="18512" operator="beginsWith" text="Accueil">
      <formula>LEFT(EB186,LEN("Accueil"))="Accueil"</formula>
    </cfRule>
    <cfRule type="beginsWith" dxfId="7632" priority="18513" operator="beginsWith" text="Stage">
      <formula>LEFT(EB186,LEN("Stage"))="Stage"</formula>
    </cfRule>
    <cfRule type="beginsWith" dxfId="7631" priority="18514" operator="beginsWith" text="Entreprise">
      <formula>LEFT(EB186,LEN("Entreprise"))="Entreprise"</formula>
    </cfRule>
    <cfRule type="beginsWith" dxfId="7630" priority="18515" operator="beginsWith" text="Voltaire">
      <formula>LEFT(EB186,LEN("Voltaire"))="Voltaire"</formula>
    </cfRule>
  </conditionalFormatting>
  <conditionalFormatting sqref="EB191">
    <cfRule type="beginsWith" dxfId="7629" priority="18500" operator="beginsWith" text="Projet professionnel : Séminaire PFI">
      <formula>LEFT(EB191,LEN("Projet professionnel : Séminaire PFI"))="Projet professionnel : Séminaire PFI"</formula>
    </cfRule>
    <cfRule type="beginsWith" dxfId="7628" priority="18501" operator="beginsWith" text="Lancement Projet fil rouge">
      <formula>LEFT(EB191,LEN("Lancement Projet fil rouge"))="Lancement Projet fil rouge"</formula>
    </cfRule>
    <cfRule type="beginsWith" dxfId="7627" priority="18502" operator="beginsWith" text="Vacances">
      <formula>LEFT(EB191,LEN("Vacances"))="Vacances"</formula>
    </cfRule>
    <cfRule type="beginsWith" dxfId="7626" priority="18503" operator="beginsWith" text="Séminaire d'intégration">
      <formula>LEFT(EB191,LEN("Séminaire d'intégration"))="Séminaire d'intégration"</formula>
    </cfRule>
    <cfRule type="beginsWith" dxfId="7625" priority="18504" operator="beginsWith" text="Accueil">
      <formula>LEFT(EB191,LEN("Accueil"))="Accueil"</formula>
    </cfRule>
    <cfRule type="beginsWith" dxfId="7624" priority="18505" operator="beginsWith" text="Stage">
      <formula>LEFT(EB191,LEN("Stage"))="Stage"</formula>
    </cfRule>
    <cfRule type="beginsWith" dxfId="7623" priority="18506" operator="beginsWith" text="Entreprise">
      <formula>LEFT(EB191,LEN("Entreprise"))="Entreprise"</formula>
    </cfRule>
    <cfRule type="beginsWith" dxfId="7622" priority="18507" operator="beginsWith" text="Voltaire">
      <formula>LEFT(EB191,LEN("Voltaire"))="Voltaire"</formula>
    </cfRule>
  </conditionalFormatting>
  <conditionalFormatting sqref="EB196">
    <cfRule type="beginsWith" dxfId="7621" priority="21568" operator="beginsWith" text="Projet professionnel : Séminaire PFI">
      <formula>LEFT(EB196,LEN("Projet professionnel : Séminaire PFI"))="Projet professionnel : Séminaire PFI"</formula>
    </cfRule>
    <cfRule type="beginsWith" dxfId="7620" priority="21569" operator="beginsWith" text="Lancement Projet fil rouge">
      <formula>LEFT(EB196,LEN("Lancement Projet fil rouge"))="Lancement Projet fil rouge"</formula>
    </cfRule>
    <cfRule type="beginsWith" dxfId="7619" priority="21570" operator="beginsWith" text="Vacances">
      <formula>LEFT(EB196,LEN("Vacances"))="Vacances"</formula>
    </cfRule>
    <cfRule type="beginsWith" dxfId="7618" priority="21571" operator="beginsWith" text="Séminaire d'intégration">
      <formula>LEFT(EB196,LEN("Séminaire d'intégration"))="Séminaire d'intégration"</formula>
    </cfRule>
    <cfRule type="beginsWith" dxfId="7617" priority="21572" operator="beginsWith" text="Accueil">
      <formula>LEFT(EB196,LEN("Accueil"))="Accueil"</formula>
    </cfRule>
    <cfRule type="beginsWith" dxfId="7616" priority="21573" operator="beginsWith" text="Stage">
      <formula>LEFT(EB196,LEN("Stage"))="Stage"</formula>
    </cfRule>
    <cfRule type="beginsWith" dxfId="7615" priority="21574" operator="beginsWith" text="Entreprise">
      <formula>LEFT(EB196,LEN("Entreprise"))="Entreprise"</formula>
    </cfRule>
    <cfRule type="beginsWith" dxfId="7614" priority="21575" operator="beginsWith" text="Voltaire">
      <formula>LEFT(EB196,LEN("Voltaire"))="Voltaire"</formula>
    </cfRule>
  </conditionalFormatting>
  <conditionalFormatting sqref="EB207:EB221">
    <cfRule type="beginsWith" dxfId="7613" priority="26054" operator="beginsWith" text="Projet professionnel : Séminaire PFI">
      <formula>LEFT(EB207,LEN("Projet professionnel : Séminaire PFI"))="Projet professionnel : Séminaire PFI"</formula>
    </cfRule>
    <cfRule type="beginsWith" dxfId="7612" priority="26055" operator="beginsWith" text="Lancement Projet fil rouge">
      <formula>LEFT(EB207,LEN("Lancement Projet fil rouge"))="Lancement Projet fil rouge"</formula>
    </cfRule>
    <cfRule type="beginsWith" dxfId="7611" priority="26056" operator="beginsWith" text="Vacances">
      <formula>LEFT(EB207,LEN("Vacances"))="Vacances"</formula>
    </cfRule>
    <cfRule type="beginsWith" dxfId="7610" priority="26057" operator="beginsWith" text="Séminaire d'intégration">
      <formula>LEFT(EB207,LEN("Séminaire d'intégration"))="Séminaire d'intégration"</formula>
    </cfRule>
    <cfRule type="beginsWith" dxfId="7609" priority="26058" operator="beginsWith" text="Accueil">
      <formula>LEFT(EB207,LEN("Accueil"))="Accueil"</formula>
    </cfRule>
    <cfRule type="beginsWith" dxfId="7608" priority="26059" operator="beginsWith" text="Stage">
      <formula>LEFT(EB207,LEN("Stage"))="Stage"</formula>
    </cfRule>
    <cfRule type="beginsWith" dxfId="7607" priority="26060" operator="beginsWith" text="Entreprise">
      <formula>LEFT(EB207,LEN("Entreprise"))="Entreprise"</formula>
    </cfRule>
    <cfRule type="beginsWith" dxfId="7606" priority="26061" operator="beginsWith" text="Voltaire">
      <formula>LEFT(EB207,LEN("Voltaire"))="Voltaire"</formula>
    </cfRule>
  </conditionalFormatting>
  <conditionalFormatting sqref="EB241">
    <cfRule type="beginsWith" dxfId="7605" priority="25464" operator="beginsWith" text="Projet professionnel : Séminaire PFI">
      <formula>LEFT(EB241,LEN("Projet professionnel : Séminaire PFI"))="Projet professionnel : Séminaire PFI"</formula>
    </cfRule>
    <cfRule type="beginsWith" dxfId="7604" priority="25465" operator="beginsWith" text="Lancement Projet fil rouge">
      <formula>LEFT(EB241,LEN("Lancement Projet fil rouge"))="Lancement Projet fil rouge"</formula>
    </cfRule>
    <cfRule type="beginsWith" dxfId="7603" priority="25466" operator="beginsWith" text="Vacances">
      <formula>LEFT(EB241,LEN("Vacances"))="Vacances"</formula>
    </cfRule>
    <cfRule type="beginsWith" dxfId="7602" priority="25467" operator="beginsWith" text="Séminaire d'intégration">
      <formula>LEFT(EB241,LEN("Séminaire d'intégration"))="Séminaire d'intégration"</formula>
    </cfRule>
    <cfRule type="beginsWith" dxfId="7601" priority="25468" operator="beginsWith" text="Accueil">
      <formula>LEFT(EB241,LEN("Accueil"))="Accueil"</formula>
    </cfRule>
    <cfRule type="beginsWith" dxfId="7600" priority="25469" operator="beginsWith" text="Stage">
      <formula>LEFT(EB241,LEN("Stage"))="Stage"</formula>
    </cfRule>
    <cfRule type="beginsWith" dxfId="7599" priority="25470" operator="beginsWith" text="Entreprise">
      <formula>LEFT(EB241,LEN("Entreprise"))="Entreprise"</formula>
    </cfRule>
    <cfRule type="beginsWith" dxfId="7598" priority="25471" operator="beginsWith" text="Voltaire">
      <formula>LEFT(EB241,LEN("Voltaire"))="Voltaire"</formula>
    </cfRule>
    <cfRule type="beginsWith" dxfId="7597" priority="25472" operator="beginsWith" text="Projet professionnel : Séminaire PFI">
      <formula>LEFT(EB241,LEN("Projet professionnel : Séminaire PFI"))="Projet professionnel : Séminaire PFI"</formula>
    </cfRule>
    <cfRule type="beginsWith" dxfId="7596" priority="25473" operator="beginsWith" text="Lancement Projet fil rouge">
      <formula>LEFT(EB241,LEN("Lancement Projet fil rouge"))="Lancement Projet fil rouge"</formula>
    </cfRule>
    <cfRule type="beginsWith" dxfId="7595" priority="25474" operator="beginsWith" text="Vacances">
      <formula>LEFT(EB241,LEN("Vacances"))="Vacances"</formula>
    </cfRule>
    <cfRule type="beginsWith" dxfId="7594" priority="25475" operator="beginsWith" text="Séminaire d'intégration">
      <formula>LEFT(EB241,LEN("Séminaire d'intégration"))="Séminaire d'intégration"</formula>
    </cfRule>
    <cfRule type="beginsWith" dxfId="7593" priority="25476" operator="beginsWith" text="Accueil">
      <formula>LEFT(EB241,LEN("Accueil"))="Accueil"</formula>
    </cfRule>
    <cfRule type="beginsWith" dxfId="7592" priority="25477" operator="beginsWith" text="Stage">
      <formula>LEFT(EB241,LEN("Stage"))="Stage"</formula>
    </cfRule>
    <cfRule type="beginsWith" dxfId="7591" priority="25478" operator="beginsWith" text="Entreprise">
      <formula>LEFT(EB241,LEN("Entreprise"))="Entreprise"</formula>
    </cfRule>
    <cfRule type="beginsWith" dxfId="7590" priority="25479" operator="beginsWith" text="Voltaire">
      <formula>LEFT(EB241,LEN("Voltaire"))="Voltaire"</formula>
    </cfRule>
  </conditionalFormatting>
  <conditionalFormatting sqref="EB250:EB251">
    <cfRule type="beginsWith" dxfId="7589" priority="26142" operator="beginsWith" text="Projet professionnel : Séminaire PFI">
      <formula>LEFT(EB250,LEN("Projet professionnel : Séminaire PFI"))="Projet professionnel : Séminaire PFI"</formula>
    </cfRule>
    <cfRule type="beginsWith" dxfId="7588" priority="26143" operator="beginsWith" text="Lancement Projet fil rouge">
      <formula>LEFT(EB250,LEN("Lancement Projet fil rouge"))="Lancement Projet fil rouge"</formula>
    </cfRule>
    <cfRule type="beginsWith" dxfId="7587" priority="26144" operator="beginsWith" text="Vacances">
      <formula>LEFT(EB250,LEN("Vacances"))="Vacances"</formula>
    </cfRule>
    <cfRule type="beginsWith" dxfId="7586" priority="26145" operator="beginsWith" text="Séminaire d'intégration">
      <formula>LEFT(EB250,LEN("Séminaire d'intégration"))="Séminaire d'intégration"</formula>
    </cfRule>
    <cfRule type="beginsWith" dxfId="7585" priority="26146" operator="beginsWith" text="Accueil">
      <formula>LEFT(EB250,LEN("Accueil"))="Accueil"</formula>
    </cfRule>
    <cfRule type="beginsWith" dxfId="7584" priority="26147" operator="beginsWith" text="Stage">
      <formula>LEFT(EB250,LEN("Stage"))="Stage"</formula>
    </cfRule>
    <cfRule type="beginsWith" dxfId="7583" priority="26148" operator="beginsWith" text="Entreprise">
      <formula>LEFT(EB250,LEN("Entreprise"))="Entreprise"</formula>
    </cfRule>
    <cfRule type="beginsWith" dxfId="7582" priority="26149" operator="beginsWith" text="Voltaire">
      <formula>LEFT(EB250,LEN("Voltaire"))="Voltaire"</formula>
    </cfRule>
  </conditionalFormatting>
  <conditionalFormatting sqref="EC41">
    <cfRule type="beginsWith" dxfId="7581" priority="14996" operator="beginsWith" text="Lancement Projet fil rouge">
      <formula>LEFT(EC41,LEN("Lancement Projet fil rouge"))="Lancement Projet fil rouge"</formula>
    </cfRule>
    <cfRule type="beginsWith" dxfId="7580" priority="14997" operator="beginsWith" text="Vacances">
      <formula>LEFT(EC41,LEN("Vacances"))="Vacances"</formula>
    </cfRule>
    <cfRule type="beginsWith" dxfId="7579" priority="14998" operator="beginsWith" text="Séminaire d'intégration">
      <formula>LEFT(EC41,LEN("Séminaire d'intégration"))="Séminaire d'intégration"</formula>
    </cfRule>
    <cfRule type="beginsWith" dxfId="7578" priority="14999" operator="beginsWith" text="Accueil">
      <formula>LEFT(EC41,LEN("Accueil"))="Accueil"</formula>
    </cfRule>
    <cfRule type="beginsWith" dxfId="7577" priority="15000" operator="beginsWith" text="Stage">
      <formula>LEFT(EC41,LEN("Stage"))="Stage"</formula>
    </cfRule>
    <cfRule type="beginsWith" dxfId="7576" priority="15001" operator="beginsWith" text="Entreprise">
      <formula>LEFT(EC41,LEN("Entreprise"))="Entreprise"</formula>
    </cfRule>
    <cfRule type="beginsWith" dxfId="7575" priority="15002" operator="beginsWith" text="Voltaire">
      <formula>LEFT(EC41,LEN("Voltaire"))="Voltaire"</formula>
    </cfRule>
  </conditionalFormatting>
  <conditionalFormatting sqref="EC176">
    <cfRule type="beginsWith" dxfId="7574" priority="13644" operator="beginsWith" text="Lancement Projet fil rouge">
      <formula>LEFT(EC176,LEN("Lancement Projet fil rouge"))="Lancement Projet fil rouge"</formula>
    </cfRule>
    <cfRule type="beginsWith" dxfId="7573" priority="13645" operator="beginsWith" text="Vacances">
      <formula>LEFT(EC176,LEN("Vacances"))="Vacances"</formula>
    </cfRule>
    <cfRule type="beginsWith" dxfId="7572" priority="13646" operator="beginsWith" text="Séminaire d'intégration">
      <formula>LEFT(EC176,LEN("Séminaire d'intégration"))="Séminaire d'intégration"</formula>
    </cfRule>
    <cfRule type="beginsWith" dxfId="7571" priority="13647" operator="beginsWith" text="Accueil">
      <formula>LEFT(EC176,LEN("Accueil"))="Accueil"</formula>
    </cfRule>
    <cfRule type="beginsWith" dxfId="7570" priority="13648" operator="beginsWith" text="Stage">
      <formula>LEFT(EC176,LEN("Stage"))="Stage"</formula>
    </cfRule>
    <cfRule type="beginsWith" dxfId="7569" priority="13649" operator="beginsWith" text="Entreprise">
      <formula>LEFT(EC176,LEN("Entreprise"))="Entreprise"</formula>
    </cfRule>
    <cfRule type="beginsWith" dxfId="7568" priority="13650" operator="beginsWith" text="Voltaire">
      <formula>LEFT(EC176,LEN("Voltaire"))="Voltaire"</formula>
    </cfRule>
  </conditionalFormatting>
  <conditionalFormatting sqref="EC195">
    <cfRule type="beginsWith" dxfId="7567" priority="11043" operator="beginsWith" text="Lancement Projet fil rouge">
      <formula>LEFT(EC195,LEN("Lancement Projet fil rouge"))="Lancement Projet fil rouge"</formula>
    </cfRule>
    <cfRule type="beginsWith" dxfId="7566" priority="11044" operator="beginsWith" text="Vacances">
      <formula>LEFT(EC195,LEN("Vacances"))="Vacances"</formula>
    </cfRule>
    <cfRule type="beginsWith" dxfId="7565" priority="11045" operator="beginsWith" text="Séminaire d'intégration">
      <formula>LEFT(EC195,LEN("Séminaire d'intégration"))="Séminaire d'intégration"</formula>
    </cfRule>
    <cfRule type="beginsWith" dxfId="7564" priority="11046" operator="beginsWith" text="Accueil">
      <formula>LEFT(EC195,LEN("Accueil"))="Accueil"</formula>
    </cfRule>
    <cfRule type="beginsWith" dxfId="7563" priority="11047" operator="beginsWith" text="Stage">
      <formula>LEFT(EC195,LEN("Stage"))="Stage"</formula>
    </cfRule>
    <cfRule type="beginsWith" dxfId="7562" priority="11048" operator="beginsWith" text="Entreprise">
      <formula>LEFT(EC195,LEN("Entreprise"))="Entreprise"</formula>
    </cfRule>
    <cfRule type="beginsWith" dxfId="7561" priority="11049" operator="beginsWith" text="Voltaire">
      <formula>LEFT(EC195,LEN("Voltaire"))="Voltaire"</formula>
    </cfRule>
  </conditionalFormatting>
  <conditionalFormatting sqref="EC211">
    <cfRule type="beginsWith" dxfId="7560" priority="18561" operator="beginsWith" text="Projet professionnel : Séminaire PFI">
      <formula>LEFT(EC211,LEN("Projet professionnel : Séminaire PFI"))="Projet professionnel : Séminaire PFI"</formula>
    </cfRule>
    <cfRule type="beginsWith" dxfId="7559" priority="18562" operator="beginsWith" text="Lancement Projet fil rouge">
      <formula>LEFT(EC211,LEN("Lancement Projet fil rouge"))="Lancement Projet fil rouge"</formula>
    </cfRule>
    <cfRule type="beginsWith" dxfId="7558" priority="18563" operator="beginsWith" text="Vacances">
      <formula>LEFT(EC211,LEN("Vacances"))="Vacances"</formula>
    </cfRule>
    <cfRule type="beginsWith" dxfId="7557" priority="18564" operator="beginsWith" text="Séminaire d'intégration">
      <formula>LEFT(EC211,LEN("Séminaire d'intégration"))="Séminaire d'intégration"</formula>
    </cfRule>
    <cfRule type="beginsWith" dxfId="7556" priority="18565" operator="beginsWith" text="Accueil">
      <formula>LEFT(EC211,LEN("Accueil"))="Accueil"</formula>
    </cfRule>
    <cfRule type="beginsWith" dxfId="7555" priority="18566" operator="beginsWith" text="Stage">
      <formula>LEFT(EC211,LEN("Stage"))="Stage"</formula>
    </cfRule>
    <cfRule type="beginsWith" dxfId="7554" priority="18567" operator="beginsWith" text="Entreprise">
      <formula>LEFT(EC211,LEN("Entreprise"))="Entreprise"</formula>
    </cfRule>
    <cfRule type="beginsWith" dxfId="7553" priority="18568" operator="beginsWith" text="Voltaire">
      <formula>LEFT(EC211,LEN("Voltaire"))="Voltaire"</formula>
    </cfRule>
  </conditionalFormatting>
  <conditionalFormatting sqref="EC216">
    <cfRule type="beginsWith" dxfId="7552" priority="18544" operator="beginsWith" text="Lancement Projet fil rouge">
      <formula>LEFT(EC216,LEN("Lancement Projet fil rouge"))="Lancement Projet fil rouge"</formula>
    </cfRule>
    <cfRule type="beginsWith" dxfId="7551" priority="18545" operator="beginsWith" text="Vacances">
      <formula>LEFT(EC216,LEN("Vacances"))="Vacances"</formula>
    </cfRule>
    <cfRule type="beginsWith" dxfId="7550" priority="18546" operator="beginsWith" text="Séminaire d'intégration">
      <formula>LEFT(EC216,LEN("Séminaire d'intégration"))="Séminaire d'intégration"</formula>
    </cfRule>
    <cfRule type="beginsWith" dxfId="7549" priority="18547" operator="beginsWith" text="Accueil">
      <formula>LEFT(EC216,LEN("Accueil"))="Accueil"</formula>
    </cfRule>
    <cfRule type="beginsWith" dxfId="7548" priority="18548" operator="beginsWith" text="Stage">
      <formula>LEFT(EC216,LEN("Stage"))="Stage"</formula>
    </cfRule>
    <cfRule type="beginsWith" dxfId="7547" priority="18549" operator="beginsWith" text="Entreprise">
      <formula>LEFT(EC216,LEN("Entreprise"))="Entreprise"</formula>
    </cfRule>
    <cfRule type="beginsWith" dxfId="7546" priority="18550" operator="beginsWith" text="Voltaire">
      <formula>LEFT(EC216,LEN("Voltaire"))="Voltaire"</formula>
    </cfRule>
  </conditionalFormatting>
  <conditionalFormatting sqref="ED96:ED105">
    <cfRule type="beginsWith" dxfId="7545" priority="19854" operator="beginsWith" text="Lancement Projet fil rouge">
      <formula>LEFT(ED96,LEN("Lancement Projet fil rouge"))="Lancement Projet fil rouge"</formula>
    </cfRule>
    <cfRule type="beginsWith" dxfId="7544" priority="19855" operator="beginsWith" text="Vacances">
      <formula>LEFT(ED96,LEN("Vacances"))="Vacances"</formula>
    </cfRule>
    <cfRule type="beginsWith" dxfId="7543" priority="19856" operator="beginsWith" text="Séminaire d'intégration">
      <formula>LEFT(ED96,LEN("Séminaire d'intégration"))="Séminaire d'intégration"</formula>
    </cfRule>
    <cfRule type="beginsWith" dxfId="7542" priority="19857" operator="beginsWith" text="Accueil">
      <formula>LEFT(ED96,LEN("Accueil"))="Accueil"</formula>
    </cfRule>
    <cfRule type="beginsWith" dxfId="7541" priority="19858" operator="beginsWith" text="Stage">
      <formula>LEFT(ED96,LEN("Stage"))="Stage"</formula>
    </cfRule>
    <cfRule type="beginsWith" dxfId="7540" priority="19859" operator="beginsWith" text="Entreprise">
      <formula>LEFT(ED96,LEN("Entreprise"))="Entreprise"</formula>
    </cfRule>
    <cfRule type="beginsWith" dxfId="7539" priority="19860" operator="beginsWith" text="Voltaire">
      <formula>LEFT(ED96,LEN("Voltaire"))="Voltaire"</formula>
    </cfRule>
  </conditionalFormatting>
  <conditionalFormatting sqref="ED172:ED175">
    <cfRule type="beginsWith" dxfId="7538" priority="13651" operator="beginsWith" text="Lancement Projet fil rouge">
      <formula>LEFT(ED172,LEN("Lancement Projet fil rouge"))="Lancement Projet fil rouge"</formula>
    </cfRule>
    <cfRule type="beginsWith" dxfId="7537" priority="13652" operator="beginsWith" text="Vacances">
      <formula>LEFT(ED172,LEN("Vacances"))="Vacances"</formula>
    </cfRule>
    <cfRule type="beginsWith" dxfId="7536" priority="13653" operator="beginsWith" text="Séminaire d'intégration">
      <formula>LEFT(ED172,LEN("Séminaire d'intégration"))="Séminaire d'intégration"</formula>
    </cfRule>
    <cfRule type="beginsWith" dxfId="7535" priority="13654" operator="beginsWith" text="Accueil">
      <formula>LEFT(ED172,LEN("Accueil"))="Accueil"</formula>
    </cfRule>
    <cfRule type="beginsWith" dxfId="7534" priority="13655" operator="beginsWith" text="Stage">
      <formula>LEFT(ED172,LEN("Stage"))="Stage"</formula>
    </cfRule>
    <cfRule type="beginsWith" dxfId="7533" priority="13656" operator="beginsWith" text="Entreprise">
      <formula>LEFT(ED172,LEN("Entreprise"))="Entreprise"</formula>
    </cfRule>
    <cfRule type="beginsWith" dxfId="7532" priority="13657" operator="beginsWith" text="Voltaire">
      <formula>LEFT(ED172,LEN("Voltaire"))="Voltaire"</formula>
    </cfRule>
  </conditionalFormatting>
  <conditionalFormatting sqref="ED176:ED181">
    <cfRule type="beginsWith" dxfId="7531" priority="13630" operator="beginsWith" text="Lancement Projet fil rouge">
      <formula>LEFT(ED176,LEN("Lancement Projet fil rouge"))="Lancement Projet fil rouge"</formula>
    </cfRule>
    <cfRule type="beginsWith" dxfId="7530" priority="13631" operator="beginsWith" text="Vacances">
      <formula>LEFT(ED176,LEN("Vacances"))="Vacances"</formula>
    </cfRule>
    <cfRule type="beginsWith" dxfId="7529" priority="13632" operator="beginsWith" text="Séminaire d'intégration">
      <formula>LEFT(ED176,LEN("Séminaire d'intégration"))="Séminaire d'intégration"</formula>
    </cfRule>
    <cfRule type="beginsWith" dxfId="7528" priority="13633" operator="beginsWith" text="Accueil">
      <formula>LEFT(ED176,LEN("Accueil"))="Accueil"</formula>
    </cfRule>
    <cfRule type="beginsWith" dxfId="7527" priority="13634" operator="beginsWith" text="Stage">
      <formula>LEFT(ED176,LEN("Stage"))="Stage"</formula>
    </cfRule>
    <cfRule type="beginsWith" dxfId="7526" priority="13635" operator="beginsWith" text="Entreprise">
      <formula>LEFT(ED176,LEN("Entreprise"))="Entreprise"</formula>
    </cfRule>
    <cfRule type="beginsWith" dxfId="7525" priority="13636" operator="beginsWith" text="Voltaire">
      <formula>LEFT(ED176,LEN("Voltaire"))="Voltaire"</formula>
    </cfRule>
  </conditionalFormatting>
  <conditionalFormatting sqref="ED186">
    <cfRule type="beginsWith" dxfId="7524" priority="13637" operator="beginsWith" text="Lancement Projet fil rouge">
      <formula>LEFT(ED186,LEN("Lancement Projet fil rouge"))="Lancement Projet fil rouge"</formula>
    </cfRule>
    <cfRule type="beginsWith" dxfId="7523" priority="13638" operator="beginsWith" text="Vacances">
      <formula>LEFT(ED186,LEN("Vacances"))="Vacances"</formula>
    </cfRule>
    <cfRule type="beginsWith" dxfId="7522" priority="13639" operator="beginsWith" text="Séminaire d'intégration">
      <formula>LEFT(ED186,LEN("Séminaire d'intégration"))="Séminaire d'intégration"</formula>
    </cfRule>
    <cfRule type="beginsWith" dxfId="7521" priority="13640" operator="beginsWith" text="Accueil">
      <formula>LEFT(ED186,LEN("Accueil"))="Accueil"</formula>
    </cfRule>
    <cfRule type="beginsWith" dxfId="7520" priority="13641" operator="beginsWith" text="Stage">
      <formula>LEFT(ED186,LEN("Stage"))="Stage"</formula>
    </cfRule>
    <cfRule type="beginsWith" dxfId="7519" priority="13642" operator="beginsWith" text="Entreprise">
      <formula>LEFT(ED186,LEN("Entreprise"))="Entreprise"</formula>
    </cfRule>
    <cfRule type="beginsWith" dxfId="7518" priority="13643" operator="beginsWith" text="Voltaire">
      <formula>LEFT(ED186,LEN("Voltaire"))="Voltaire"</formula>
    </cfRule>
  </conditionalFormatting>
  <conditionalFormatting sqref="ED211:EE213 ED215:EE215 ED214">
    <cfRule type="beginsWith" dxfId="7517" priority="18569" operator="beginsWith" text="Lancement Projet fil rouge">
      <formula>LEFT(ED211,LEN("Lancement Projet fil rouge"))="Lancement Projet fil rouge"</formula>
    </cfRule>
    <cfRule type="beginsWith" dxfId="7516" priority="18570" operator="beginsWith" text="Vacances">
      <formula>LEFT(ED211,LEN("Vacances"))="Vacances"</formula>
    </cfRule>
    <cfRule type="beginsWith" dxfId="7515" priority="18571" operator="beginsWith" text="Séminaire d'intégration">
      <formula>LEFT(ED211,LEN("Séminaire d'intégration"))="Séminaire d'intégration"</formula>
    </cfRule>
    <cfRule type="beginsWith" dxfId="7514" priority="18572" operator="beginsWith" text="Accueil">
      <formula>LEFT(ED211,LEN("Accueil"))="Accueil"</formula>
    </cfRule>
    <cfRule type="beginsWith" dxfId="7513" priority="18575" operator="beginsWith" text="Stage">
      <formula>LEFT(ED211,LEN("Stage"))="Stage"</formula>
    </cfRule>
    <cfRule type="beginsWith" dxfId="7512" priority="18576" operator="beginsWith" text="Entreprise">
      <formula>LEFT(ED211,LEN("Entreprise"))="Entreprise"</formula>
    </cfRule>
    <cfRule type="beginsWith" dxfId="7511" priority="18578" operator="beginsWith" text="Voltaire">
      <formula>LEFT(ED211,LEN("Voltaire"))="Voltaire"</formula>
    </cfRule>
  </conditionalFormatting>
  <conditionalFormatting sqref="EE211:EE213 EE215">
    <cfRule type="beginsWith" dxfId="7510" priority="18573" operator="beginsWith" text="TOPHYC">
      <formula>LEFT(EE211,LEN("TOPHYC"))="TOPHYC"</formula>
    </cfRule>
    <cfRule type="beginsWith" dxfId="7509" priority="18574" operator="beginsWith" text="Global Exam">
      <formula>LEFT(EE211,LEN("Global Exam"))="Global Exam"</formula>
    </cfRule>
    <cfRule type="beginsWith" dxfId="7508" priority="18577" operator="beginsWith" text="TOMIC">
      <formula>LEFT(EE211,LEN("TOMIC"))="TOMIC"</formula>
    </cfRule>
  </conditionalFormatting>
  <conditionalFormatting sqref="EE214">
    <cfRule type="beginsWith" dxfId="7507" priority="14939" operator="beginsWith" text="Lancement Projet fil rouge">
      <formula>LEFT(EE214,LEN("Lancement Projet fil rouge"))="Lancement Projet fil rouge"</formula>
    </cfRule>
    <cfRule type="beginsWith" dxfId="7506" priority="14940" operator="beginsWith" text="Vacances">
      <formula>LEFT(EE214,LEN("Vacances"))="Vacances"</formula>
    </cfRule>
    <cfRule type="beginsWith" dxfId="7505" priority="14941" operator="beginsWith" text="Séminaire d'intégration">
      <formula>LEFT(EE214,LEN("Séminaire d'intégration"))="Séminaire d'intégration"</formula>
    </cfRule>
    <cfRule type="beginsWith" dxfId="7504" priority="14942" operator="beginsWith" text="Accueil">
      <formula>LEFT(EE214,LEN("Accueil"))="Accueil"</formula>
    </cfRule>
    <cfRule type="beginsWith" dxfId="7503" priority="14943" operator="beginsWith" text="TOPHYC">
      <formula>LEFT(EE214,LEN("TOPHYC"))="TOPHYC"</formula>
    </cfRule>
    <cfRule type="beginsWith" dxfId="7502" priority="14944" operator="beginsWith" text="Global Exam">
      <formula>LEFT(EE214,LEN("Global Exam"))="Global Exam"</formula>
    </cfRule>
    <cfRule type="beginsWith" dxfId="7501" priority="14945" operator="beginsWith" text="Stage">
      <formula>LEFT(EE214,LEN("Stage"))="Stage"</formula>
    </cfRule>
    <cfRule type="beginsWith" dxfId="7500" priority="14946" operator="beginsWith" text="Entreprise">
      <formula>LEFT(EE214,LEN("Entreprise"))="Entreprise"</formula>
    </cfRule>
    <cfRule type="beginsWith" dxfId="7499" priority="14947" operator="beginsWith" text="TOMIC">
      <formula>LEFT(EE214,LEN("TOMIC"))="TOMIC"</formula>
    </cfRule>
    <cfRule type="beginsWith" dxfId="7498" priority="14948" operator="beginsWith" text="Voltaire">
      <formula>LEFT(EE214,LEN("Voltaire"))="Voltaire"</formula>
    </cfRule>
  </conditionalFormatting>
  <conditionalFormatting sqref="EE96:EF105">
    <cfRule type="beginsWith" dxfId="7497" priority="19861" operator="beginsWith" text="Lancement Projet fil rouge">
      <formula>LEFT(EE96,LEN("Lancement Projet fil rouge"))="Lancement Projet fil rouge"</formula>
    </cfRule>
    <cfRule type="beginsWith" dxfId="7496" priority="19862" operator="beginsWith" text="Vacances">
      <formula>LEFT(EE96,LEN("Vacances"))="Vacances"</formula>
    </cfRule>
    <cfRule type="beginsWith" dxfId="7495" priority="19863" operator="beginsWith" text="Séminaire d'intégration">
      <formula>LEFT(EE96,LEN("Séminaire d'intégration"))="Séminaire d'intégration"</formula>
    </cfRule>
    <cfRule type="beginsWith" dxfId="7494" priority="19864" operator="beginsWith" text="Accueil">
      <formula>LEFT(EE96,LEN("Accueil"))="Accueil"</formula>
    </cfRule>
    <cfRule type="beginsWith" dxfId="7493" priority="19865" operator="beginsWith" text="TOPHYC">
      <formula>LEFT(EE96,LEN("TOPHYC"))="TOPHYC"</formula>
    </cfRule>
    <cfRule type="beginsWith" dxfId="7492" priority="19866" operator="beginsWith" text="Global Exam">
      <formula>LEFT(EE96,LEN("Global Exam"))="Global Exam"</formula>
    </cfRule>
    <cfRule type="beginsWith" dxfId="7491" priority="19867" operator="beginsWith" text="Stage">
      <formula>LEFT(EE96,LEN("Stage"))="Stage"</formula>
    </cfRule>
    <cfRule type="beginsWith" dxfId="7490" priority="19868" operator="beginsWith" text="Entreprise">
      <formula>LEFT(EE96,LEN("Entreprise"))="Entreprise"</formula>
    </cfRule>
    <cfRule type="beginsWith" dxfId="7489" priority="19869" operator="beginsWith" text="TOMIC">
      <formula>LEFT(EE96,LEN("TOMIC"))="TOMIC"</formula>
    </cfRule>
    <cfRule type="beginsWith" dxfId="7488" priority="19870" operator="beginsWith" text="Voltaire">
      <formula>LEFT(EE96,LEN("Voltaire"))="Voltaire"</formula>
    </cfRule>
  </conditionalFormatting>
  <conditionalFormatting sqref="EF186">
    <cfRule type="beginsWith" dxfId="7487" priority="21616" operator="beginsWith" text="Lancement Projet fil rouge">
      <formula>LEFT(EF186,LEN("Lancement Projet fil rouge"))="Lancement Projet fil rouge"</formula>
    </cfRule>
    <cfRule type="beginsWith" dxfId="7486" priority="21617" operator="beginsWith" text="Vacances">
      <formula>LEFT(EF186,LEN("Vacances"))="Vacances"</formula>
    </cfRule>
    <cfRule type="beginsWith" dxfId="7485" priority="21618" operator="beginsWith" text="Séminaire d'intégration">
      <formula>LEFT(EF186,LEN("Séminaire d'intégration"))="Séminaire d'intégration"</formula>
    </cfRule>
    <cfRule type="beginsWith" dxfId="7484" priority="21619" operator="beginsWith" text="Accueil">
      <formula>LEFT(EF186,LEN("Accueil"))="Accueil"</formula>
    </cfRule>
    <cfRule type="beginsWith" dxfId="7483" priority="21620" operator="beginsWith" text="TOPHYC">
      <formula>LEFT(EF186,LEN("TOPHYC"))="TOPHYC"</formula>
    </cfRule>
    <cfRule type="beginsWith" dxfId="7482" priority="21621" operator="beginsWith" text="Global Exam">
      <formula>LEFT(EF186,LEN("Global Exam"))="Global Exam"</formula>
    </cfRule>
    <cfRule type="beginsWith" dxfId="7481" priority="21622" operator="beginsWith" text="Stage">
      <formula>LEFT(EF186,LEN("Stage"))="Stage"</formula>
    </cfRule>
    <cfRule type="beginsWith" dxfId="7480" priority="21623" operator="beginsWith" text="Entreprise">
      <formula>LEFT(EF186,LEN("Entreprise"))="Entreprise"</formula>
    </cfRule>
    <cfRule type="beginsWith" dxfId="7479" priority="21624" operator="beginsWith" text="TOMIC">
      <formula>LEFT(EF186,LEN("TOMIC"))="TOMIC"</formula>
    </cfRule>
    <cfRule type="beginsWith" dxfId="7478" priority="21625" operator="beginsWith" text="Voltaire">
      <formula>LEFT(EF186,LEN("Voltaire"))="Voltaire"</formula>
    </cfRule>
  </conditionalFormatting>
  <conditionalFormatting sqref="EF196:EF200">
    <cfRule type="beginsWith" dxfId="7477" priority="18524" operator="beginsWith" text="Lancement Projet fil rouge">
      <formula>LEFT(EF196,LEN("Lancement Projet fil rouge"))="Lancement Projet fil rouge"</formula>
    </cfRule>
    <cfRule type="beginsWith" dxfId="7476" priority="18525" operator="beginsWith" text="Vacances">
      <formula>LEFT(EF196,LEN("Vacances"))="Vacances"</formula>
    </cfRule>
    <cfRule type="beginsWith" dxfId="7475" priority="18526" operator="beginsWith" text="Séminaire d'intégration">
      <formula>LEFT(EF196,LEN("Séminaire d'intégration"))="Séminaire d'intégration"</formula>
    </cfRule>
    <cfRule type="beginsWith" dxfId="7474" priority="18527" operator="beginsWith" text="Accueil">
      <formula>LEFT(EF196,LEN("Accueil"))="Accueil"</formula>
    </cfRule>
    <cfRule type="beginsWith" dxfId="7473" priority="18528" operator="beginsWith" text="TOPHYC">
      <formula>LEFT(EF196,LEN("TOPHYC"))="TOPHYC"</formula>
    </cfRule>
    <cfRule type="beginsWith" dxfId="7472" priority="18529" operator="beginsWith" text="Global Exam">
      <formula>LEFT(EF196,LEN("Global Exam"))="Global Exam"</formula>
    </cfRule>
    <cfRule type="beginsWith" dxfId="7471" priority="18530" operator="beginsWith" text="Stage">
      <formula>LEFT(EF196,LEN("Stage"))="Stage"</formula>
    </cfRule>
    <cfRule type="beginsWith" dxfId="7470" priority="18531" operator="beginsWith" text="Entreprise">
      <formula>LEFT(EF196,LEN("Entreprise"))="Entreprise"</formula>
    </cfRule>
    <cfRule type="beginsWith" dxfId="7469" priority="18532" operator="beginsWith" text="TOMIC">
      <formula>LEFT(EF196,LEN("TOMIC"))="TOMIC"</formula>
    </cfRule>
    <cfRule type="beginsWith" dxfId="7468" priority="18533" operator="beginsWith" text="Voltaire">
      <formula>LEFT(EF196,LEN("Voltaire"))="Voltaire"</formula>
    </cfRule>
  </conditionalFormatting>
  <conditionalFormatting sqref="EF211">
    <cfRule type="beginsWith" dxfId="7467" priority="18551" operator="beginsWith" text="Lancement Projet fil rouge">
      <formula>LEFT(EF211,LEN("Lancement Projet fil rouge"))="Lancement Projet fil rouge"</formula>
    </cfRule>
    <cfRule type="beginsWith" dxfId="7466" priority="18552" operator="beginsWith" text="Vacances">
      <formula>LEFT(EF211,LEN("Vacances"))="Vacances"</formula>
    </cfRule>
    <cfRule type="beginsWith" dxfId="7465" priority="18553" operator="beginsWith" text="Séminaire d'intégration">
      <formula>LEFT(EF211,LEN("Séminaire d'intégration"))="Séminaire d'intégration"</formula>
    </cfRule>
    <cfRule type="beginsWith" dxfId="7464" priority="18554" operator="beginsWith" text="Accueil">
      <formula>LEFT(EF211,LEN("Accueil"))="Accueil"</formula>
    </cfRule>
    <cfRule type="beginsWith" dxfId="7463" priority="18555" operator="beginsWith" text="TOPHYC">
      <formula>LEFT(EF211,LEN("TOPHYC"))="TOPHYC"</formula>
    </cfRule>
    <cfRule type="beginsWith" dxfId="7462" priority="18556" operator="beginsWith" text="Global Exam">
      <formula>LEFT(EF211,LEN("Global Exam"))="Global Exam"</formula>
    </cfRule>
    <cfRule type="beginsWith" dxfId="7461" priority="18557" operator="beginsWith" text="Stage">
      <formula>LEFT(EF211,LEN("Stage"))="Stage"</formula>
    </cfRule>
    <cfRule type="beginsWith" dxfId="7460" priority="18558" operator="beginsWith" text="Entreprise">
      <formula>LEFT(EF211,LEN("Entreprise"))="Entreprise"</formula>
    </cfRule>
    <cfRule type="beginsWith" dxfId="7459" priority="18559" operator="beginsWith" text="TOMIC">
      <formula>LEFT(EF211,LEN("TOMIC"))="TOMIC"</formula>
    </cfRule>
    <cfRule type="beginsWith" dxfId="7458" priority="18560" operator="beginsWith" text="Voltaire">
      <formula>LEFT(EF211,LEN("Voltaire"))="Voltaire"</formula>
    </cfRule>
  </conditionalFormatting>
  <conditionalFormatting sqref="EH1:EH2 EH5 EH47:EH56">
    <cfRule type="beginsWith" dxfId="7457" priority="25863" operator="beginsWith" text="Projet professionnel : Séminaire PFI">
      <formula>LEFT(EH1,LEN("Projet professionnel : Séminaire PFI"))="Projet professionnel : Séminaire PFI"</formula>
    </cfRule>
    <cfRule type="beginsWith" dxfId="7456" priority="25864" operator="beginsWith" text="Lancement Projet fil rouge">
      <formula>LEFT(EH1,LEN("Lancement Projet fil rouge"))="Lancement Projet fil rouge"</formula>
    </cfRule>
    <cfRule type="beginsWith" dxfId="7455" priority="25865" operator="beginsWith" text="Vacances">
      <formula>LEFT(EH1,LEN("Vacances"))="Vacances"</formula>
    </cfRule>
    <cfRule type="beginsWith" dxfId="7454" priority="25866" operator="beginsWith" text="Séminaire d'intégration">
      <formula>LEFT(EH1,LEN("Séminaire d'intégration"))="Séminaire d'intégration"</formula>
    </cfRule>
    <cfRule type="beginsWith" dxfId="7453" priority="25867" operator="beginsWith" text="Accueil">
      <formula>LEFT(EH1,LEN("Accueil"))="Accueil"</formula>
    </cfRule>
    <cfRule type="beginsWith" dxfId="7452" priority="25868" operator="beginsWith" text="Stage">
      <formula>LEFT(EH1,LEN("Stage"))="Stage"</formula>
    </cfRule>
    <cfRule type="beginsWith" dxfId="7451" priority="25869" operator="beginsWith" text="Entreprise">
      <formula>LEFT(EH1,LEN("Entreprise"))="Entreprise"</formula>
    </cfRule>
    <cfRule type="beginsWith" dxfId="7450" priority="25870" operator="beginsWith" text="Voltaire">
      <formula>LEFT(EH1,LEN("Voltaire"))="Voltaire"</formula>
    </cfRule>
  </conditionalFormatting>
  <conditionalFormatting sqref="EH3">
    <cfRule type="beginsWith" dxfId="7449" priority="25512" operator="beginsWith" text="Lancement Projet fil rouge">
      <formula>LEFT(EH3,LEN("Lancement Projet fil rouge"))="Lancement Projet fil rouge"</formula>
    </cfRule>
    <cfRule type="beginsWith" dxfId="7448" priority="25513" operator="beginsWith" text="Vacances">
      <formula>LEFT(EH3,LEN("Vacances"))="Vacances"</formula>
    </cfRule>
    <cfRule type="beginsWith" dxfId="7447" priority="25514" operator="beginsWith" text="Séminaire d'intégration">
      <formula>LEFT(EH3,LEN("Séminaire d'intégration"))="Séminaire d'intégration"</formula>
    </cfRule>
    <cfRule type="beginsWith" dxfId="7446" priority="25515" operator="beginsWith" text="Accueil">
      <formula>LEFT(EH3,LEN("Accueil"))="Accueil"</formula>
    </cfRule>
    <cfRule type="beginsWith" dxfId="7445" priority="25516" operator="beginsWith" text="Stage">
      <formula>LEFT(EH3,LEN("Stage"))="Stage"</formula>
    </cfRule>
    <cfRule type="beginsWith" dxfId="7444" priority="25517" operator="beginsWith" text="Entreprise">
      <formula>LEFT(EH3,LEN("Entreprise"))="Entreprise"</formula>
    </cfRule>
    <cfRule type="beginsWith" dxfId="7443" priority="25518" operator="beginsWith" text="Voltaire">
      <formula>LEFT(EH3,LEN("Voltaire"))="Voltaire"</formula>
    </cfRule>
  </conditionalFormatting>
  <conditionalFormatting sqref="EH6">
    <cfRule type="beginsWith" dxfId="7442" priority="18124" operator="beginsWith" text="Projet professionnel : Séminaire PFI">
      <formula>LEFT(EH6,LEN("Projet professionnel : Séminaire PFI"))="Projet professionnel : Séminaire PFI"</formula>
    </cfRule>
    <cfRule type="beginsWith" dxfId="7441" priority="18125" operator="beginsWith" text="Lancement Projet fil rouge">
      <formula>LEFT(EH6,LEN("Lancement Projet fil rouge"))="Lancement Projet fil rouge"</formula>
    </cfRule>
    <cfRule type="beginsWith" dxfId="7440" priority="18126" operator="beginsWith" text="Vacances">
      <formula>LEFT(EH6,LEN("Vacances"))="Vacances"</formula>
    </cfRule>
    <cfRule type="beginsWith" dxfId="7439" priority="18127" operator="beginsWith" text="Séminaire d'intégration">
      <formula>LEFT(EH6,LEN("Séminaire d'intégration"))="Séminaire d'intégration"</formula>
    </cfRule>
    <cfRule type="beginsWith" dxfId="7438" priority="18128" operator="beginsWith" text="Accueil">
      <formula>LEFT(EH6,LEN("Accueil"))="Accueil"</formula>
    </cfRule>
    <cfRule type="beginsWith" dxfId="7437" priority="18129" operator="beginsWith" text="Stage">
      <formula>LEFT(EH6,LEN("Stage"))="Stage"</formula>
    </cfRule>
    <cfRule type="beginsWith" dxfId="7436" priority="18130" operator="beginsWith" text="Entreprise">
      <formula>LEFT(EH6,LEN("Entreprise"))="Entreprise"</formula>
    </cfRule>
    <cfRule type="beginsWith" dxfId="7435" priority="18131" operator="beginsWith" text="Voltaire">
      <formula>LEFT(EH6,LEN("Voltaire"))="Voltaire"</formula>
    </cfRule>
  </conditionalFormatting>
  <conditionalFormatting sqref="EH26">
    <cfRule type="beginsWith" dxfId="7434" priority="25807" operator="beginsWith" text="Projet professionnel : Séminaire PFI">
      <formula>LEFT(EH26,LEN("Projet professionnel : Séminaire PFI"))="Projet professionnel : Séminaire PFI"</formula>
    </cfRule>
    <cfRule type="beginsWith" dxfId="7433" priority="25808" operator="beginsWith" text="Lancement Projet fil rouge">
      <formula>LEFT(EH26,LEN("Lancement Projet fil rouge"))="Lancement Projet fil rouge"</formula>
    </cfRule>
    <cfRule type="beginsWith" dxfId="7432" priority="25809" operator="beginsWith" text="Vacances">
      <formula>LEFT(EH26,LEN("Vacances"))="Vacances"</formula>
    </cfRule>
    <cfRule type="beginsWith" dxfId="7431" priority="25810" operator="beginsWith" text="Séminaire d'intégration">
      <formula>LEFT(EH26,LEN("Séminaire d'intégration"))="Séminaire d'intégration"</formula>
    </cfRule>
    <cfRule type="beginsWith" dxfId="7430" priority="25811" operator="beginsWith" text="Accueil">
      <formula>LEFT(EH26,LEN("Accueil"))="Accueil"</formula>
    </cfRule>
    <cfRule type="beginsWith" dxfId="7429" priority="25812" operator="beginsWith" text="Stage">
      <formula>LEFT(EH26,LEN("Stage"))="Stage"</formula>
    </cfRule>
    <cfRule type="beginsWith" dxfId="7428" priority="25813" operator="beginsWith" text="Entreprise">
      <formula>LEFT(EH26,LEN("Entreprise"))="Entreprise"</formula>
    </cfRule>
    <cfRule type="beginsWith" dxfId="7427" priority="25814" operator="beginsWith" text="Voltaire">
      <formula>LEFT(EH26,LEN("Voltaire"))="Voltaire"</formula>
    </cfRule>
  </conditionalFormatting>
  <conditionalFormatting sqref="EH46">
    <cfRule type="beginsWith" dxfId="7426" priority="25751" operator="beginsWith" text="Projet professionnel : Séminaire PFI">
      <formula>LEFT(EH46,LEN("Projet professionnel : Séminaire PFI"))="Projet professionnel : Séminaire PFI"</formula>
    </cfRule>
    <cfRule type="beginsWith" dxfId="7425" priority="25752" operator="beginsWith" text="Lancement Projet fil rouge">
      <formula>LEFT(EH46,LEN("Lancement Projet fil rouge"))="Lancement Projet fil rouge"</formula>
    </cfRule>
    <cfRule type="beginsWith" dxfId="7424" priority="25753" operator="beginsWith" text="Vacances">
      <formula>LEFT(EH46,LEN("Vacances"))="Vacances"</formula>
    </cfRule>
    <cfRule type="beginsWith" dxfId="7423" priority="25754" operator="beginsWith" text="Séminaire d'intégration">
      <formula>LEFT(EH46,LEN("Séminaire d'intégration"))="Séminaire d'intégration"</formula>
    </cfRule>
    <cfRule type="beginsWith" dxfId="7422" priority="25755" operator="beginsWith" text="Accueil">
      <formula>LEFT(EH46,LEN("Accueil"))="Accueil"</formula>
    </cfRule>
    <cfRule type="beginsWith" dxfId="7421" priority="25756" operator="beginsWith" text="Stage">
      <formula>LEFT(EH46,LEN("Stage"))="Stage"</formula>
    </cfRule>
    <cfRule type="beginsWith" dxfId="7420" priority="25757" operator="beginsWith" text="Entreprise">
      <formula>LEFT(EH46,LEN("Entreprise"))="Entreprise"</formula>
    </cfRule>
    <cfRule type="beginsWith" dxfId="7419" priority="25758" operator="beginsWith" text="Voltaire">
      <formula>LEFT(EH46,LEN("Voltaire"))="Voltaire"</formula>
    </cfRule>
  </conditionalFormatting>
  <conditionalFormatting sqref="EH57:EH60">
    <cfRule type="beginsWith" dxfId="7418" priority="25799" operator="beginsWith" text="Projet professionnel : Séminaire PFI">
      <formula>LEFT(EH57,LEN("Projet professionnel : Séminaire PFI"))="Projet professionnel : Séminaire PFI"</formula>
    </cfRule>
    <cfRule type="beginsWith" dxfId="7417" priority="25800" operator="beginsWith" text="Lancement Projet fil rouge">
      <formula>LEFT(EH57,LEN("Lancement Projet fil rouge"))="Lancement Projet fil rouge"</formula>
    </cfRule>
    <cfRule type="beginsWith" dxfId="7416" priority="25801" operator="beginsWith" text="Vacances">
      <formula>LEFT(EH57,LEN("Vacances"))="Vacances"</formula>
    </cfRule>
    <cfRule type="beginsWith" dxfId="7415" priority="25802" operator="beginsWith" text="Séminaire d'intégration">
      <formula>LEFT(EH57,LEN("Séminaire d'intégration"))="Séminaire d'intégration"</formula>
    </cfRule>
    <cfRule type="beginsWith" dxfId="7414" priority="25803" operator="beginsWith" text="Accueil">
      <formula>LEFT(EH57,LEN("Accueil"))="Accueil"</formula>
    </cfRule>
    <cfRule type="beginsWith" dxfId="7413" priority="25804" operator="beginsWith" text="Stage">
      <formula>LEFT(EH57,LEN("Stage"))="Stage"</formula>
    </cfRule>
    <cfRule type="beginsWith" dxfId="7412" priority="25805" operator="beginsWith" text="Entreprise">
      <formula>LEFT(EH57,LEN("Entreprise"))="Entreprise"</formula>
    </cfRule>
    <cfRule type="beginsWith" dxfId="7411" priority="25806" operator="beginsWith" text="Voltaire">
      <formula>LEFT(EH57,LEN("Voltaire"))="Voltaire"</formula>
    </cfRule>
  </conditionalFormatting>
  <conditionalFormatting sqref="EH61">
    <cfRule type="beginsWith" dxfId="7410" priority="25551" operator="beginsWith" text="Projet professionnel : Séminaire PFI">
      <formula>LEFT(EH61,LEN("Projet professionnel : Séminaire PFI"))="Projet professionnel : Séminaire PFI"</formula>
    </cfRule>
    <cfRule type="beginsWith" dxfId="7409" priority="25552" operator="beginsWith" text="Lancement Projet fil rouge">
      <formula>LEFT(EH61,LEN("Lancement Projet fil rouge"))="Lancement Projet fil rouge"</formula>
    </cfRule>
    <cfRule type="beginsWith" dxfId="7408" priority="25553" operator="beginsWith" text="Vacances">
      <formula>LEFT(EH61,LEN("Vacances"))="Vacances"</formula>
    </cfRule>
    <cfRule type="beginsWith" dxfId="7407" priority="25554" operator="beginsWith" text="Séminaire d'intégration">
      <formula>LEFT(EH61,LEN("Séminaire d'intégration"))="Séminaire d'intégration"</formula>
    </cfRule>
    <cfRule type="beginsWith" dxfId="7406" priority="25555" operator="beginsWith" text="Accueil">
      <formula>LEFT(EH61,LEN("Accueil"))="Accueil"</formula>
    </cfRule>
    <cfRule type="beginsWith" dxfId="7405" priority="25556" operator="beginsWith" text="Stage">
      <formula>LEFT(EH61,LEN("Stage"))="Stage"</formula>
    </cfRule>
    <cfRule type="beginsWith" dxfId="7404" priority="25557" operator="beginsWith" text="Entreprise">
      <formula>LEFT(EH61,LEN("Entreprise"))="Entreprise"</formula>
    </cfRule>
    <cfRule type="beginsWith" dxfId="7403" priority="25558" operator="beginsWith" text="Voltaire">
      <formula>LEFT(EH61,LEN("Voltaire"))="Voltaire"</formula>
    </cfRule>
  </conditionalFormatting>
  <conditionalFormatting sqref="EH66:EH72">
    <cfRule type="beginsWith" dxfId="7402" priority="25631" operator="beginsWith" text="Projet professionnel : Séminaire PFI">
      <formula>LEFT(EH66,LEN("Projet professionnel : Séminaire PFI"))="Projet professionnel : Séminaire PFI"</formula>
    </cfRule>
    <cfRule type="beginsWith" dxfId="7401" priority="25632" operator="beginsWith" text="Lancement Projet fil rouge">
      <formula>LEFT(EH66,LEN("Lancement Projet fil rouge"))="Lancement Projet fil rouge"</formula>
    </cfRule>
    <cfRule type="beginsWith" dxfId="7400" priority="25633" operator="beginsWith" text="Vacances">
      <formula>LEFT(EH66,LEN("Vacances"))="Vacances"</formula>
    </cfRule>
    <cfRule type="beginsWith" dxfId="7399" priority="25634" operator="beginsWith" text="Séminaire d'intégration">
      <formula>LEFT(EH66,LEN("Séminaire d'intégration"))="Séminaire d'intégration"</formula>
    </cfRule>
    <cfRule type="beginsWith" dxfId="7398" priority="25635" operator="beginsWith" text="Accueil">
      <formula>LEFT(EH66,LEN("Accueil"))="Accueil"</formula>
    </cfRule>
    <cfRule type="beginsWith" dxfId="7397" priority="25636" operator="beginsWith" text="Stage">
      <formula>LEFT(EH66,LEN("Stage"))="Stage"</formula>
    </cfRule>
    <cfRule type="beginsWith" dxfId="7396" priority="25637" operator="beginsWith" text="Entreprise">
      <formula>LEFT(EH66,LEN("Entreprise"))="Entreprise"</formula>
    </cfRule>
    <cfRule type="beginsWith" dxfId="7395" priority="25638" operator="beginsWith" text="Voltaire">
      <formula>LEFT(EH66,LEN("Voltaire"))="Voltaire"</formula>
    </cfRule>
  </conditionalFormatting>
  <conditionalFormatting sqref="EH73:EH75">
    <cfRule type="beginsWith" dxfId="7394" priority="25759" operator="beginsWith" text="Projet professionnel : Séminaire PFI">
      <formula>LEFT(EH73,LEN("Projet professionnel : Séminaire PFI"))="Projet professionnel : Séminaire PFI"</formula>
    </cfRule>
    <cfRule type="beginsWith" dxfId="7393" priority="25760" operator="beginsWith" text="Lancement Projet fil rouge">
      <formula>LEFT(EH73,LEN("Lancement Projet fil rouge"))="Lancement Projet fil rouge"</formula>
    </cfRule>
    <cfRule type="beginsWith" dxfId="7392" priority="25761" operator="beginsWith" text="Vacances">
      <formula>LEFT(EH73,LEN("Vacances"))="Vacances"</formula>
    </cfRule>
    <cfRule type="beginsWith" dxfId="7391" priority="25762" operator="beginsWith" text="Séminaire d'intégration">
      <formula>LEFT(EH73,LEN("Séminaire d'intégration"))="Séminaire d'intégration"</formula>
    </cfRule>
    <cfRule type="beginsWith" dxfId="7390" priority="25763" operator="beginsWith" text="Accueil">
      <formula>LEFT(EH73,LEN("Accueil"))="Accueil"</formula>
    </cfRule>
    <cfRule type="beginsWith" dxfId="7389" priority="25764" operator="beginsWith" text="Stage">
      <formula>LEFT(EH73,LEN("Stage"))="Stage"</formula>
    </cfRule>
    <cfRule type="beginsWith" dxfId="7388" priority="25765" operator="beginsWith" text="Entreprise">
      <formula>LEFT(EH73,LEN("Entreprise"))="Entreprise"</formula>
    </cfRule>
    <cfRule type="beginsWith" dxfId="7387" priority="25766" operator="beginsWith" text="Voltaire">
      <formula>LEFT(EH73,LEN("Voltaire"))="Voltaire"</formula>
    </cfRule>
  </conditionalFormatting>
  <conditionalFormatting sqref="EH76">
    <cfRule type="beginsWith" dxfId="7386" priority="25647" operator="beginsWith" text="Projet professionnel : Séminaire PFI">
      <formula>LEFT(EH76,LEN("Projet professionnel : Séminaire PFI"))="Projet professionnel : Séminaire PFI"</formula>
    </cfRule>
    <cfRule type="beginsWith" dxfId="7385" priority="25648" operator="beginsWith" text="Lancement Projet fil rouge">
      <formula>LEFT(EH76,LEN("Lancement Projet fil rouge"))="Lancement Projet fil rouge"</formula>
    </cfRule>
    <cfRule type="beginsWith" dxfId="7384" priority="25649" operator="beginsWith" text="Vacances">
      <formula>LEFT(EH76,LEN("Vacances"))="Vacances"</formula>
    </cfRule>
    <cfRule type="beginsWith" dxfId="7383" priority="25650" operator="beginsWith" text="Séminaire d'intégration">
      <formula>LEFT(EH76,LEN("Séminaire d'intégration"))="Séminaire d'intégration"</formula>
    </cfRule>
    <cfRule type="beginsWith" dxfId="7382" priority="25651" operator="beginsWith" text="Accueil">
      <formula>LEFT(EH76,LEN("Accueil"))="Accueil"</formula>
    </cfRule>
    <cfRule type="beginsWith" dxfId="7381" priority="25652" operator="beginsWith" text="Stage">
      <formula>LEFT(EH76,LEN("Stage"))="Stage"</formula>
    </cfRule>
    <cfRule type="beginsWith" dxfId="7380" priority="25653" operator="beginsWith" text="Entreprise">
      <formula>LEFT(EH76,LEN("Entreprise"))="Entreprise"</formula>
    </cfRule>
    <cfRule type="beginsWith" dxfId="7379" priority="25654" operator="beginsWith" text="Voltaire">
      <formula>LEFT(EH76,LEN("Voltaire"))="Voltaire"</formula>
    </cfRule>
  </conditionalFormatting>
  <conditionalFormatting sqref="EH81">
    <cfRule type="beginsWith" dxfId="7378" priority="25543" operator="beginsWith" text="Projet professionnel : Séminaire PFI">
      <formula>LEFT(EH81,LEN("Projet professionnel : Séminaire PFI"))="Projet professionnel : Séminaire PFI"</formula>
    </cfRule>
    <cfRule type="beginsWith" dxfId="7377" priority="25544" operator="beginsWith" text="Lancement Projet fil rouge">
      <formula>LEFT(EH81,LEN("Lancement Projet fil rouge"))="Lancement Projet fil rouge"</formula>
    </cfRule>
    <cfRule type="beginsWith" dxfId="7376" priority="25545" operator="beginsWith" text="Vacances">
      <formula>LEFT(EH81,LEN("Vacances"))="Vacances"</formula>
    </cfRule>
    <cfRule type="beginsWith" dxfId="7375" priority="25546" operator="beginsWith" text="Séminaire d'intégration">
      <formula>LEFT(EH81,LEN("Séminaire d'intégration"))="Séminaire d'intégration"</formula>
    </cfRule>
    <cfRule type="beginsWith" dxfId="7374" priority="25547" operator="beginsWith" text="Accueil">
      <formula>LEFT(EH81,LEN("Accueil"))="Accueil"</formula>
    </cfRule>
    <cfRule type="beginsWith" dxfId="7373" priority="25548" operator="beginsWith" text="Stage">
      <formula>LEFT(EH81,LEN("Stage"))="Stage"</formula>
    </cfRule>
    <cfRule type="beginsWith" dxfId="7372" priority="25549" operator="beginsWith" text="Entreprise">
      <formula>LEFT(EH81,LEN("Entreprise"))="Entreprise"</formula>
    </cfRule>
    <cfRule type="beginsWith" dxfId="7371" priority="25550" operator="beginsWith" text="Voltaire">
      <formula>LEFT(EH81,LEN("Voltaire"))="Voltaire"</formula>
    </cfRule>
  </conditionalFormatting>
  <conditionalFormatting sqref="EH95:EH101">
    <cfRule type="beginsWith" dxfId="7370" priority="25743" operator="beginsWith" text="Projet professionnel : Séminaire PFI">
      <formula>LEFT(EH95,LEN("Projet professionnel : Séminaire PFI"))="Projet professionnel : Séminaire PFI"</formula>
    </cfRule>
    <cfRule type="beginsWith" dxfId="7369" priority="25744" operator="beginsWith" text="Lancement Projet fil rouge">
      <formula>LEFT(EH95,LEN("Lancement Projet fil rouge"))="Lancement Projet fil rouge"</formula>
    </cfRule>
    <cfRule type="beginsWith" dxfId="7368" priority="25745" operator="beginsWith" text="Vacances">
      <formula>LEFT(EH95,LEN("Vacances"))="Vacances"</formula>
    </cfRule>
    <cfRule type="beginsWith" dxfId="7367" priority="25746" operator="beginsWith" text="Séminaire d'intégration">
      <formula>LEFT(EH95,LEN("Séminaire d'intégration"))="Séminaire d'intégration"</formula>
    </cfRule>
    <cfRule type="beginsWith" dxfId="7366" priority="25747" operator="beginsWith" text="Accueil">
      <formula>LEFT(EH95,LEN("Accueil"))="Accueil"</formula>
    </cfRule>
    <cfRule type="beginsWith" dxfId="7365" priority="25748" operator="beginsWith" text="Stage">
      <formula>LEFT(EH95,LEN("Stage"))="Stage"</formula>
    </cfRule>
    <cfRule type="beginsWith" dxfId="7364" priority="25749" operator="beginsWith" text="Entreprise">
      <formula>LEFT(EH95,LEN("Entreprise"))="Entreprise"</formula>
    </cfRule>
    <cfRule type="beginsWith" dxfId="7363" priority="25750" operator="beginsWith" text="Voltaire">
      <formula>LEFT(EH95,LEN("Voltaire"))="Voltaire"</formula>
    </cfRule>
  </conditionalFormatting>
  <conditionalFormatting sqref="EH102:EH109">
    <cfRule type="beginsWith" dxfId="7362" priority="25727" operator="beginsWith" text="Projet professionnel : Séminaire PFI">
      <formula>LEFT(EH102,LEN("Projet professionnel : Séminaire PFI"))="Projet professionnel : Séminaire PFI"</formula>
    </cfRule>
    <cfRule type="beginsWith" dxfId="7361" priority="25728" operator="beginsWith" text="Lancement Projet fil rouge">
      <formula>LEFT(EH102,LEN("Lancement Projet fil rouge"))="Lancement Projet fil rouge"</formula>
    </cfRule>
    <cfRule type="beginsWith" dxfId="7360" priority="25729" operator="beginsWith" text="Vacances">
      <formula>LEFT(EH102,LEN("Vacances"))="Vacances"</formula>
    </cfRule>
    <cfRule type="beginsWith" dxfId="7359" priority="25730" operator="beginsWith" text="Séminaire d'intégration">
      <formula>LEFT(EH102,LEN("Séminaire d'intégration"))="Séminaire d'intégration"</formula>
    </cfRule>
    <cfRule type="beginsWith" dxfId="7358" priority="25731" operator="beginsWith" text="Accueil">
      <formula>LEFT(EH102,LEN("Accueil"))="Accueil"</formula>
    </cfRule>
    <cfRule type="beginsWith" dxfId="7357" priority="25732" operator="beginsWith" text="Stage">
      <formula>LEFT(EH102,LEN("Stage"))="Stage"</formula>
    </cfRule>
    <cfRule type="beginsWith" dxfId="7356" priority="25733" operator="beginsWith" text="Entreprise">
      <formula>LEFT(EH102,LEN("Entreprise"))="Entreprise"</formula>
    </cfRule>
    <cfRule type="beginsWith" dxfId="7355" priority="25734" operator="beginsWith" text="Voltaire">
      <formula>LEFT(EH102,LEN("Voltaire"))="Voltaire"</formula>
    </cfRule>
  </conditionalFormatting>
  <conditionalFormatting sqref="EH128">
    <cfRule type="beginsWith" dxfId="7354" priority="25831" operator="beginsWith" text="Projet professionnel : Séminaire PFI">
      <formula>LEFT(EH128,LEN("Projet professionnel : Séminaire PFI"))="Projet professionnel : Séminaire PFI"</formula>
    </cfRule>
    <cfRule type="beginsWith" dxfId="7353" priority="25832" operator="beginsWith" text="Lancement Projet fil rouge">
      <formula>LEFT(EH128,LEN("Lancement Projet fil rouge"))="Lancement Projet fil rouge"</formula>
    </cfRule>
    <cfRule type="beginsWith" dxfId="7352" priority="25833" operator="beginsWith" text="Vacances">
      <formula>LEFT(EH128,LEN("Vacances"))="Vacances"</formula>
    </cfRule>
    <cfRule type="beginsWith" dxfId="7351" priority="25834" operator="beginsWith" text="Séminaire d'intégration">
      <formula>LEFT(EH128,LEN("Séminaire d'intégration"))="Séminaire d'intégration"</formula>
    </cfRule>
    <cfRule type="beginsWith" dxfId="7350" priority="25835" operator="beginsWith" text="Accueil">
      <formula>LEFT(EH128,LEN("Accueil"))="Accueil"</formula>
    </cfRule>
    <cfRule type="beginsWith" dxfId="7349" priority="25836" operator="beginsWith" text="Stage">
      <formula>LEFT(EH128,LEN("Stage"))="Stage"</formula>
    </cfRule>
    <cfRule type="beginsWith" dxfId="7348" priority="25837" operator="beginsWith" text="Entreprise">
      <formula>LEFT(EH128,LEN("Entreprise"))="Entreprise"</formula>
    </cfRule>
    <cfRule type="beginsWith" dxfId="7347" priority="25838" operator="beginsWith" text="Voltaire">
      <formula>LEFT(EH128,LEN("Voltaire"))="Voltaire"</formula>
    </cfRule>
  </conditionalFormatting>
  <conditionalFormatting sqref="EH129:EH136">
    <cfRule type="beginsWith" dxfId="7346" priority="25599" operator="beginsWith" text="Projet professionnel : Séminaire PFI">
      <formula>LEFT(EH129,LEN("Projet professionnel : Séminaire PFI"))="Projet professionnel : Séminaire PFI"</formula>
    </cfRule>
    <cfRule type="beginsWith" dxfId="7345" priority="25600" operator="beginsWith" text="Lancement Projet fil rouge">
      <formula>LEFT(EH129,LEN("Lancement Projet fil rouge"))="Lancement Projet fil rouge"</formula>
    </cfRule>
    <cfRule type="beginsWith" dxfId="7344" priority="25601" operator="beginsWith" text="Vacances">
      <formula>LEFT(EH129,LEN("Vacances"))="Vacances"</formula>
    </cfRule>
    <cfRule type="beginsWith" dxfId="7343" priority="25602" operator="beginsWith" text="Séminaire d'intégration">
      <formula>LEFT(EH129,LEN("Séminaire d'intégration"))="Séminaire d'intégration"</formula>
    </cfRule>
    <cfRule type="beginsWith" dxfId="7342" priority="25603" operator="beginsWith" text="Accueil">
      <formula>LEFT(EH129,LEN("Accueil"))="Accueil"</formula>
    </cfRule>
    <cfRule type="beginsWith" dxfId="7341" priority="25604" operator="beginsWith" text="Stage">
      <formula>LEFT(EH129,LEN("Stage"))="Stage"</formula>
    </cfRule>
    <cfRule type="beginsWith" dxfId="7340" priority="25605" operator="beginsWith" text="Entreprise">
      <formula>LEFT(EH129,LEN("Entreprise"))="Entreprise"</formula>
    </cfRule>
    <cfRule type="beginsWith" dxfId="7339" priority="25606" operator="beginsWith" text="Voltaire">
      <formula>LEFT(EH129,LEN("Voltaire"))="Voltaire"</formula>
    </cfRule>
  </conditionalFormatting>
  <conditionalFormatting sqref="EH137:EH139">
    <cfRule type="beginsWith" dxfId="7338" priority="25535" operator="beginsWith" text="Projet professionnel : Séminaire PFI">
      <formula>LEFT(EH137,LEN("Projet professionnel : Séminaire PFI"))="Projet professionnel : Séminaire PFI"</formula>
    </cfRule>
    <cfRule type="beginsWith" dxfId="7337" priority="25536" operator="beginsWith" text="Lancement Projet fil rouge">
      <formula>LEFT(EH137,LEN("Lancement Projet fil rouge"))="Lancement Projet fil rouge"</formula>
    </cfRule>
    <cfRule type="beginsWith" dxfId="7336" priority="25537" operator="beginsWith" text="Vacances">
      <formula>LEFT(EH137,LEN("Vacances"))="Vacances"</formula>
    </cfRule>
    <cfRule type="beginsWith" dxfId="7335" priority="25538" operator="beginsWith" text="Séminaire d'intégration">
      <formula>LEFT(EH137,LEN("Séminaire d'intégration"))="Séminaire d'intégration"</formula>
    </cfRule>
    <cfRule type="beginsWith" dxfId="7334" priority="25539" operator="beginsWith" text="Accueil">
      <formula>LEFT(EH137,LEN("Accueil"))="Accueil"</formula>
    </cfRule>
    <cfRule type="beginsWith" dxfId="7333" priority="25540" operator="beginsWith" text="Stage">
      <formula>LEFT(EH137,LEN("Stage"))="Stage"</formula>
    </cfRule>
    <cfRule type="beginsWith" dxfId="7332" priority="25541" operator="beginsWith" text="Entreprise">
      <formula>LEFT(EH137,LEN("Entreprise"))="Entreprise"</formula>
    </cfRule>
    <cfRule type="beginsWith" dxfId="7331" priority="25542" operator="beginsWith" text="Voltaire">
      <formula>LEFT(EH137,LEN("Voltaire"))="Voltaire"</formula>
    </cfRule>
  </conditionalFormatting>
  <conditionalFormatting sqref="EH140:EH145">
    <cfRule type="beginsWith" dxfId="7330" priority="23968" operator="beginsWith" text="Projet professionnel : Séminaire PFI">
      <formula>LEFT(EH140,LEN("Projet professionnel : Séminaire PFI"))="Projet professionnel : Séminaire PFI"</formula>
    </cfRule>
    <cfRule type="beginsWith" dxfId="7329" priority="23969" operator="beginsWith" text="Lancement Projet fil rouge">
      <formula>LEFT(EH140,LEN("Lancement Projet fil rouge"))="Lancement Projet fil rouge"</formula>
    </cfRule>
    <cfRule type="beginsWith" dxfId="7328" priority="23970" operator="beginsWith" text="Vacances">
      <formula>LEFT(EH140,LEN("Vacances"))="Vacances"</formula>
    </cfRule>
    <cfRule type="beginsWith" dxfId="7327" priority="23971" operator="beginsWith" text="Séminaire d'intégration">
      <formula>LEFT(EH140,LEN("Séminaire d'intégration"))="Séminaire d'intégration"</formula>
    </cfRule>
    <cfRule type="beginsWith" dxfId="7326" priority="23972" operator="beginsWith" text="Accueil">
      <formula>LEFT(EH140,LEN("Accueil"))="Accueil"</formula>
    </cfRule>
    <cfRule type="beginsWith" dxfId="7325" priority="23973" operator="beginsWith" text="Stage">
      <formula>LEFT(EH140,LEN("Stage"))="Stage"</formula>
    </cfRule>
    <cfRule type="beginsWith" dxfId="7324" priority="23974" operator="beginsWith" text="Entreprise">
      <formula>LEFT(EH140,LEN("Entreprise"))="Entreprise"</formula>
    </cfRule>
    <cfRule type="beginsWith" dxfId="7323" priority="23975" operator="beginsWith" text="Voltaire">
      <formula>LEFT(EH140,LEN("Voltaire"))="Voltaire"</formula>
    </cfRule>
  </conditionalFormatting>
  <conditionalFormatting sqref="EH151">
    <cfRule type="beginsWith" dxfId="7322" priority="23976" operator="beginsWith" text="Projet professionnel : Séminaire PFI">
      <formula>LEFT(EH151,LEN("Projet professionnel : Séminaire PFI"))="Projet professionnel : Séminaire PFI"</formula>
    </cfRule>
    <cfRule type="beginsWith" dxfId="7321" priority="23977" operator="beginsWith" text="Lancement Projet fil rouge">
      <formula>LEFT(EH151,LEN("Lancement Projet fil rouge"))="Lancement Projet fil rouge"</formula>
    </cfRule>
    <cfRule type="beginsWith" dxfId="7320" priority="23978" operator="beginsWith" text="Vacances">
      <formula>LEFT(EH151,LEN("Vacances"))="Vacances"</formula>
    </cfRule>
    <cfRule type="beginsWith" dxfId="7319" priority="23979" operator="beginsWith" text="Séminaire d'intégration">
      <formula>LEFT(EH151,LEN("Séminaire d'intégration"))="Séminaire d'intégration"</formula>
    </cfRule>
    <cfRule type="beginsWith" dxfId="7318" priority="23980" operator="beginsWith" text="Accueil">
      <formula>LEFT(EH151,LEN("Accueil"))="Accueil"</formula>
    </cfRule>
    <cfRule type="beginsWith" dxfId="7317" priority="23981" operator="beginsWith" text="Stage">
      <formula>LEFT(EH151,LEN("Stage"))="Stage"</formula>
    </cfRule>
    <cfRule type="beginsWith" dxfId="7316" priority="23982" operator="beginsWith" text="Entreprise">
      <formula>LEFT(EH151,LEN("Entreprise"))="Entreprise"</formula>
    </cfRule>
    <cfRule type="beginsWith" dxfId="7315" priority="23983" operator="beginsWith" text="Voltaire">
      <formula>LEFT(EH151,LEN("Voltaire"))="Voltaire"</formula>
    </cfRule>
  </conditionalFormatting>
  <conditionalFormatting sqref="EH161:EH166">
    <cfRule type="beginsWith" dxfId="7314" priority="14923" operator="beginsWith" text="Projet professionnel : Séminaire PFI">
      <formula>LEFT(EH161,LEN("Projet professionnel : Séminaire PFI"))="Projet professionnel : Séminaire PFI"</formula>
    </cfRule>
    <cfRule type="beginsWith" dxfId="7313" priority="14924" operator="beginsWith" text="Lancement Projet fil rouge">
      <formula>LEFT(EH161,LEN("Lancement Projet fil rouge"))="Lancement Projet fil rouge"</formula>
    </cfRule>
    <cfRule type="beginsWith" dxfId="7312" priority="14925" operator="beginsWith" text="Vacances">
      <formula>LEFT(EH161,LEN("Vacances"))="Vacances"</formula>
    </cfRule>
    <cfRule type="beginsWith" dxfId="7311" priority="14926" operator="beginsWith" text="Séminaire d'intégration">
      <formula>LEFT(EH161,LEN("Séminaire d'intégration"))="Séminaire d'intégration"</formula>
    </cfRule>
    <cfRule type="beginsWith" dxfId="7310" priority="14927" operator="beginsWith" text="Accueil">
      <formula>LEFT(EH161,LEN("Accueil"))="Accueil"</formula>
    </cfRule>
    <cfRule type="beginsWith" dxfId="7309" priority="14928" operator="beginsWith" text="Stage">
      <formula>LEFT(EH161,LEN("Stage"))="Stage"</formula>
    </cfRule>
    <cfRule type="beginsWith" dxfId="7308" priority="14929" operator="beginsWith" text="Entreprise">
      <formula>LEFT(EH161,LEN("Entreprise"))="Entreprise"</formula>
    </cfRule>
    <cfRule type="beginsWith" dxfId="7307" priority="14930" operator="beginsWith" text="Voltaire">
      <formula>LEFT(EH161,LEN("Voltaire"))="Voltaire"</formula>
    </cfRule>
  </conditionalFormatting>
  <conditionalFormatting sqref="EH167:EH169">
    <cfRule type="beginsWith" dxfId="7306" priority="25711" operator="beginsWith" text="Projet professionnel : Séminaire PFI">
      <formula>LEFT(EH167,LEN("Projet professionnel : Séminaire PFI"))="Projet professionnel : Séminaire PFI"</formula>
    </cfRule>
    <cfRule type="beginsWith" dxfId="7305" priority="25712" operator="beginsWith" text="Lancement Projet fil rouge">
      <formula>LEFT(EH167,LEN("Lancement Projet fil rouge"))="Lancement Projet fil rouge"</formula>
    </cfRule>
    <cfRule type="beginsWith" dxfId="7304" priority="25713" operator="beginsWith" text="Vacances">
      <formula>LEFT(EH167,LEN("Vacances"))="Vacances"</formula>
    </cfRule>
    <cfRule type="beginsWith" dxfId="7303" priority="25714" operator="beginsWith" text="Séminaire d'intégration">
      <formula>LEFT(EH167,LEN("Séminaire d'intégration"))="Séminaire d'intégration"</formula>
    </cfRule>
    <cfRule type="beginsWith" dxfId="7302" priority="25715" operator="beginsWith" text="Accueil">
      <formula>LEFT(EH167,LEN("Accueil"))="Accueil"</formula>
    </cfRule>
    <cfRule type="beginsWith" dxfId="7301" priority="25716" operator="beginsWith" text="Stage">
      <formula>LEFT(EH167,LEN("Stage"))="Stage"</formula>
    </cfRule>
    <cfRule type="beginsWith" dxfId="7300" priority="25717" operator="beginsWith" text="Entreprise">
      <formula>LEFT(EH167,LEN("Entreprise"))="Entreprise"</formula>
    </cfRule>
    <cfRule type="beginsWith" dxfId="7299" priority="25718" operator="beginsWith" text="Voltaire">
      <formula>LEFT(EH167,LEN("Voltaire"))="Voltaire"</formula>
    </cfRule>
  </conditionalFormatting>
  <conditionalFormatting sqref="EH170 EH176">
    <cfRule type="beginsWith" dxfId="7298" priority="25703" operator="beginsWith" text="Projet professionnel : Séminaire PFI">
      <formula>LEFT(EH170,LEN("Projet professionnel : Séminaire PFI"))="Projet professionnel : Séminaire PFI"</formula>
    </cfRule>
    <cfRule type="beginsWith" dxfId="7297" priority="25704" operator="beginsWith" text="Lancement Projet fil rouge">
      <formula>LEFT(EH170,LEN("Lancement Projet fil rouge"))="Lancement Projet fil rouge"</formula>
    </cfRule>
    <cfRule type="beginsWith" dxfId="7296" priority="25705" operator="beginsWith" text="Vacances">
      <formula>LEFT(EH170,LEN("Vacances"))="Vacances"</formula>
    </cfRule>
    <cfRule type="beginsWith" dxfId="7295" priority="25706" operator="beginsWith" text="Séminaire d'intégration">
      <formula>LEFT(EH170,LEN("Séminaire d'intégration"))="Séminaire d'intégration"</formula>
    </cfRule>
    <cfRule type="beginsWith" dxfId="7294" priority="25707" operator="beginsWith" text="Accueil">
      <formula>LEFT(EH170,LEN("Accueil"))="Accueil"</formula>
    </cfRule>
    <cfRule type="beginsWith" dxfId="7293" priority="25708" operator="beginsWith" text="Stage">
      <formula>LEFT(EH170,LEN("Stage"))="Stage"</formula>
    </cfRule>
    <cfRule type="beginsWith" dxfId="7292" priority="25709" operator="beginsWith" text="Entreprise">
      <formula>LEFT(EH170,LEN("Entreprise"))="Entreprise"</formula>
    </cfRule>
    <cfRule type="beginsWith" dxfId="7291" priority="25710" operator="beginsWith" text="Voltaire">
      <formula>LEFT(EH170,LEN("Voltaire"))="Voltaire"</formula>
    </cfRule>
  </conditionalFormatting>
  <conditionalFormatting sqref="EH171">
    <cfRule type="beginsWith" dxfId="7290" priority="24000" operator="beginsWith" text="Projet professionnel : Séminaire PFI">
      <formula>LEFT(EH171,LEN("Projet professionnel : Séminaire PFI"))="Projet professionnel : Séminaire PFI"</formula>
    </cfRule>
    <cfRule type="beginsWith" dxfId="7289" priority="24001" operator="beginsWith" text="Lancement Projet fil rouge">
      <formula>LEFT(EH171,LEN("Lancement Projet fil rouge"))="Lancement Projet fil rouge"</formula>
    </cfRule>
    <cfRule type="beginsWith" dxfId="7288" priority="24002" operator="beginsWith" text="Vacances">
      <formula>LEFT(EH171,LEN("Vacances"))="Vacances"</formula>
    </cfRule>
    <cfRule type="beginsWith" dxfId="7287" priority="24003" operator="beginsWith" text="Séminaire d'intégration">
      <formula>LEFT(EH171,LEN("Séminaire d'intégration"))="Séminaire d'intégration"</formula>
    </cfRule>
    <cfRule type="beginsWith" dxfId="7286" priority="24004" operator="beginsWith" text="Accueil">
      <formula>LEFT(EH171,LEN("Accueil"))="Accueil"</formula>
    </cfRule>
    <cfRule type="beginsWith" dxfId="7285" priority="24005" operator="beginsWith" text="Stage">
      <formula>LEFT(EH171,LEN("Stage"))="Stage"</formula>
    </cfRule>
    <cfRule type="beginsWith" dxfId="7284" priority="24006" operator="beginsWith" text="Entreprise">
      <formula>LEFT(EH171,LEN("Entreprise"))="Entreprise"</formula>
    </cfRule>
    <cfRule type="beginsWith" dxfId="7283" priority="24007" operator="beginsWith" text="Voltaire">
      <formula>LEFT(EH171,LEN("Voltaire"))="Voltaire"</formula>
    </cfRule>
    <cfRule type="beginsWith" dxfId="7282" priority="24008" operator="beginsWith" text="Projet professionnel : Séminaire PFI">
      <formula>LEFT(EH171,LEN("Projet professionnel : Séminaire PFI"))="Projet professionnel : Séminaire PFI"</formula>
    </cfRule>
    <cfRule type="beginsWith" dxfId="7281" priority="24009" operator="beginsWith" text="Lancement Projet fil rouge">
      <formula>LEFT(EH171,LEN("Lancement Projet fil rouge"))="Lancement Projet fil rouge"</formula>
    </cfRule>
    <cfRule type="beginsWith" dxfId="7280" priority="24010" operator="beginsWith" text="Vacances">
      <formula>LEFT(EH171,LEN("Vacances"))="Vacances"</formula>
    </cfRule>
    <cfRule type="beginsWith" dxfId="7279" priority="24011" operator="beginsWith" text="Séminaire d'intégration">
      <formula>LEFT(EH171,LEN("Séminaire d'intégration"))="Séminaire d'intégration"</formula>
    </cfRule>
    <cfRule type="beginsWith" dxfId="7278" priority="24012" operator="beginsWith" text="Accueil">
      <formula>LEFT(EH171,LEN("Accueil"))="Accueil"</formula>
    </cfRule>
    <cfRule type="beginsWith" dxfId="7277" priority="24013" operator="beginsWith" text="Stage">
      <formula>LEFT(EH171,LEN("Stage"))="Stage"</formula>
    </cfRule>
    <cfRule type="beginsWith" dxfId="7276" priority="24014" operator="beginsWith" text="Entreprise">
      <formula>LEFT(EH171,LEN("Entreprise"))="Entreprise"</formula>
    </cfRule>
    <cfRule type="beginsWith" dxfId="7275" priority="24015" operator="beginsWith" text="Voltaire">
      <formula>LEFT(EH171,LEN("Voltaire"))="Voltaire"</formula>
    </cfRule>
  </conditionalFormatting>
  <conditionalFormatting sqref="EH177:EH191">
    <cfRule type="beginsWith" dxfId="7274" priority="25559" operator="beginsWith" text="Projet professionnel : Séminaire PFI">
      <formula>LEFT(EH177,LEN("Projet professionnel : Séminaire PFI"))="Projet professionnel : Séminaire PFI"</formula>
    </cfRule>
    <cfRule type="beginsWith" dxfId="7273" priority="25560" operator="beginsWith" text="Lancement Projet fil rouge">
      <formula>LEFT(EH177,LEN("Lancement Projet fil rouge"))="Lancement Projet fil rouge"</formula>
    </cfRule>
    <cfRule type="beginsWith" dxfId="7272" priority="25561" operator="beginsWith" text="Vacances">
      <formula>LEFT(EH177,LEN("Vacances"))="Vacances"</formula>
    </cfRule>
    <cfRule type="beginsWith" dxfId="7271" priority="25562" operator="beginsWith" text="Séminaire d'intégration">
      <formula>LEFT(EH177,LEN("Séminaire d'intégration"))="Séminaire d'intégration"</formula>
    </cfRule>
    <cfRule type="beginsWith" dxfId="7270" priority="25563" operator="beginsWith" text="Accueil">
      <formula>LEFT(EH177,LEN("Accueil"))="Accueil"</formula>
    </cfRule>
    <cfRule type="beginsWith" dxfId="7269" priority="25564" operator="beginsWith" text="Stage">
      <formula>LEFT(EH177,LEN("Stage"))="Stage"</formula>
    </cfRule>
    <cfRule type="beginsWith" dxfId="7268" priority="25565" operator="beginsWith" text="Entreprise">
      <formula>LEFT(EH177,LEN("Entreprise"))="Entreprise"</formula>
    </cfRule>
    <cfRule type="beginsWith" dxfId="7267" priority="25566" operator="beginsWith" text="Voltaire">
      <formula>LEFT(EH177,LEN("Voltaire"))="Voltaire"</formula>
    </cfRule>
  </conditionalFormatting>
  <conditionalFormatting sqref="EH192:EH197">
    <cfRule type="beginsWith" dxfId="7266" priority="25695" operator="beginsWith" text="Projet professionnel : Séminaire PFI">
      <formula>LEFT(EH192,LEN("Projet professionnel : Séminaire PFI"))="Projet professionnel : Séminaire PFI"</formula>
    </cfRule>
    <cfRule type="beginsWith" dxfId="7265" priority="25696" operator="beginsWith" text="Lancement Projet fil rouge">
      <formula>LEFT(EH192,LEN("Lancement Projet fil rouge"))="Lancement Projet fil rouge"</formula>
    </cfRule>
    <cfRule type="beginsWith" dxfId="7264" priority="25697" operator="beginsWith" text="Vacances">
      <formula>LEFT(EH192,LEN("Vacances"))="Vacances"</formula>
    </cfRule>
    <cfRule type="beginsWith" dxfId="7263" priority="25698" operator="beginsWith" text="Séminaire d'intégration">
      <formula>LEFT(EH192,LEN("Séminaire d'intégration"))="Séminaire d'intégration"</formula>
    </cfRule>
    <cfRule type="beginsWith" dxfId="7262" priority="25699" operator="beginsWith" text="Accueil">
      <formula>LEFT(EH192,LEN("Accueil"))="Accueil"</formula>
    </cfRule>
    <cfRule type="beginsWith" dxfId="7261" priority="25700" operator="beginsWith" text="Stage">
      <formula>LEFT(EH192,LEN("Stage"))="Stage"</formula>
    </cfRule>
    <cfRule type="beginsWith" dxfId="7260" priority="25701" operator="beginsWith" text="Entreprise">
      <formula>LEFT(EH192,LEN("Entreprise"))="Entreprise"</formula>
    </cfRule>
    <cfRule type="beginsWith" dxfId="7259" priority="25702" operator="beginsWith" text="Voltaire">
      <formula>LEFT(EH192,LEN("Voltaire"))="Voltaire"</formula>
    </cfRule>
  </conditionalFormatting>
  <conditionalFormatting sqref="EH198:EH203">
    <cfRule type="beginsWith" dxfId="7258" priority="25823" operator="beginsWith" text="Projet professionnel : Séminaire PFI">
      <formula>LEFT(EH198,LEN("Projet professionnel : Séminaire PFI"))="Projet professionnel : Séminaire PFI"</formula>
    </cfRule>
    <cfRule type="beginsWith" dxfId="7257" priority="25824" operator="beginsWith" text="Lancement Projet fil rouge">
      <formula>LEFT(EH198,LEN("Lancement Projet fil rouge"))="Lancement Projet fil rouge"</formula>
    </cfRule>
    <cfRule type="beginsWith" dxfId="7256" priority="25825" operator="beginsWith" text="Vacances">
      <formula>LEFT(EH198,LEN("Vacances"))="Vacances"</formula>
    </cfRule>
    <cfRule type="beginsWith" dxfId="7255" priority="25826" operator="beginsWith" text="Séminaire d'intégration">
      <formula>LEFT(EH198,LEN("Séminaire d'intégration"))="Séminaire d'intégration"</formula>
    </cfRule>
    <cfRule type="beginsWith" dxfId="7254" priority="25827" operator="beginsWith" text="Accueil">
      <formula>LEFT(EH198,LEN("Accueil"))="Accueil"</formula>
    </cfRule>
    <cfRule type="beginsWith" dxfId="7253" priority="25828" operator="beginsWith" text="Stage">
      <formula>LEFT(EH198,LEN("Stage"))="Stage"</formula>
    </cfRule>
    <cfRule type="beginsWith" dxfId="7252" priority="25829" operator="beginsWith" text="Entreprise">
      <formula>LEFT(EH198,LEN("Entreprise"))="Entreprise"</formula>
    </cfRule>
    <cfRule type="beginsWith" dxfId="7251" priority="25830" operator="beginsWith" text="Voltaire">
      <formula>LEFT(EH198,LEN("Voltaire"))="Voltaire"</formula>
    </cfRule>
  </conditionalFormatting>
  <conditionalFormatting sqref="EH204:EH210">
    <cfRule type="beginsWith" dxfId="7250" priority="24032" operator="beginsWith" text="Projet professionnel : Séminaire PFI">
      <formula>LEFT(EH204,LEN("Projet professionnel : Séminaire PFI"))="Projet professionnel : Séminaire PFI"</formula>
    </cfRule>
    <cfRule type="beginsWith" dxfId="7249" priority="24033" operator="beginsWith" text="Lancement Projet fil rouge">
      <formula>LEFT(EH204,LEN("Lancement Projet fil rouge"))="Lancement Projet fil rouge"</formula>
    </cfRule>
    <cfRule type="beginsWith" dxfId="7248" priority="24034" operator="beginsWith" text="Vacances">
      <formula>LEFT(EH204,LEN("Vacances"))="Vacances"</formula>
    </cfRule>
    <cfRule type="beginsWith" dxfId="7247" priority="24035" operator="beginsWith" text="Séminaire d'intégration">
      <formula>LEFT(EH204,LEN("Séminaire d'intégration"))="Séminaire d'intégration"</formula>
    </cfRule>
    <cfRule type="beginsWith" dxfId="7246" priority="24036" operator="beginsWith" text="Accueil">
      <formula>LEFT(EH204,LEN("Accueil"))="Accueil"</formula>
    </cfRule>
    <cfRule type="beginsWith" dxfId="7245" priority="24037" operator="beginsWith" text="Stage">
      <formula>LEFT(EH204,LEN("Stage"))="Stage"</formula>
    </cfRule>
    <cfRule type="beginsWith" dxfId="7244" priority="24038" operator="beginsWith" text="Entreprise">
      <formula>LEFT(EH204,LEN("Entreprise"))="Entreprise"</formula>
    </cfRule>
    <cfRule type="beginsWith" dxfId="7243" priority="24039" operator="beginsWith" text="Voltaire">
      <formula>LEFT(EH204,LEN("Voltaire"))="Voltaire"</formula>
    </cfRule>
  </conditionalFormatting>
  <conditionalFormatting sqref="EH211">
    <cfRule type="beginsWith" dxfId="7242" priority="18440" operator="beginsWith" text="Projet professionnel : Séminaire PFI">
      <formula>LEFT(EH211,LEN("Projet professionnel : Séminaire PFI"))="Projet professionnel : Séminaire PFI"</formula>
    </cfRule>
    <cfRule type="beginsWith" dxfId="7241" priority="18441" operator="beginsWith" text="Lancement Projet fil rouge">
      <formula>LEFT(EH211,LEN("Lancement Projet fil rouge"))="Lancement Projet fil rouge"</formula>
    </cfRule>
    <cfRule type="beginsWith" dxfId="7240" priority="18442" operator="beginsWith" text="Vacances">
      <formula>LEFT(EH211,LEN("Vacances"))="Vacances"</formula>
    </cfRule>
    <cfRule type="beginsWith" dxfId="7239" priority="18443" operator="beginsWith" text="Séminaire d'intégration">
      <formula>LEFT(EH211,LEN("Séminaire d'intégration"))="Séminaire d'intégration"</formula>
    </cfRule>
    <cfRule type="beginsWith" dxfId="7238" priority="18444" operator="beginsWith" text="Accueil">
      <formula>LEFT(EH211,LEN("Accueil"))="Accueil"</formula>
    </cfRule>
    <cfRule type="beginsWith" dxfId="7237" priority="18445" operator="beginsWith" text="Stage">
      <formula>LEFT(EH211,LEN("Stage"))="Stage"</formula>
    </cfRule>
    <cfRule type="beginsWith" dxfId="7236" priority="18446" operator="beginsWith" text="Entreprise">
      <formula>LEFT(EH211,LEN("Entreprise"))="Entreprise"</formula>
    </cfRule>
    <cfRule type="beginsWith" dxfId="7235" priority="18447" operator="beginsWith" text="Voltaire">
      <formula>LEFT(EH211,LEN("Voltaire"))="Voltaire"</formula>
    </cfRule>
    <cfRule type="beginsWith" dxfId="7234" priority="18448" operator="beginsWith" text="Projet professionnel : Séminaire PFI">
      <formula>LEFT(EH211,LEN("Projet professionnel : Séminaire PFI"))="Projet professionnel : Séminaire PFI"</formula>
    </cfRule>
    <cfRule type="beginsWith" dxfId="7233" priority="18449" operator="beginsWith" text="Lancement Projet fil rouge">
      <formula>LEFT(EH211,LEN("Lancement Projet fil rouge"))="Lancement Projet fil rouge"</formula>
    </cfRule>
    <cfRule type="beginsWith" dxfId="7232" priority="18450" operator="beginsWith" text="Vacances">
      <formula>LEFT(EH211,LEN("Vacances"))="Vacances"</formula>
    </cfRule>
    <cfRule type="beginsWith" dxfId="7231" priority="18451" operator="beginsWith" text="Séminaire d'intégration">
      <formula>LEFT(EH211,LEN("Séminaire d'intégration"))="Séminaire d'intégration"</formula>
    </cfRule>
    <cfRule type="beginsWith" dxfId="7230" priority="18452" operator="beginsWith" text="Accueil">
      <formula>LEFT(EH211,LEN("Accueil"))="Accueil"</formula>
    </cfRule>
    <cfRule type="beginsWith" dxfId="7229" priority="18453" operator="beginsWith" text="Stage">
      <formula>LEFT(EH211,LEN("Stage"))="Stage"</formula>
    </cfRule>
    <cfRule type="beginsWith" dxfId="7228" priority="18454" operator="beginsWith" text="Entreprise">
      <formula>LEFT(EH211,LEN("Entreprise"))="Entreprise"</formula>
    </cfRule>
    <cfRule type="beginsWith" dxfId="7227" priority="18455" operator="beginsWith" text="Voltaire">
      <formula>LEFT(EH211,LEN("Voltaire"))="Voltaire"</formula>
    </cfRule>
  </conditionalFormatting>
  <conditionalFormatting sqref="EH216">
    <cfRule type="beginsWith" dxfId="7226" priority="18432" operator="beginsWith" text="Projet professionnel : Séminaire PFI">
      <formula>LEFT(EH216,LEN("Projet professionnel : Séminaire PFI"))="Projet professionnel : Séminaire PFI"</formula>
    </cfRule>
    <cfRule type="beginsWith" dxfId="7225" priority="18433" operator="beginsWith" text="Lancement Projet fil rouge">
      <formula>LEFT(EH216,LEN("Lancement Projet fil rouge"))="Lancement Projet fil rouge"</formula>
    </cfRule>
    <cfRule type="beginsWith" dxfId="7224" priority="18434" operator="beginsWith" text="Vacances">
      <formula>LEFT(EH216,LEN("Vacances"))="Vacances"</formula>
    </cfRule>
    <cfRule type="beginsWith" dxfId="7223" priority="18435" operator="beginsWith" text="Séminaire d'intégration">
      <formula>LEFT(EH216,LEN("Séminaire d'intégration"))="Séminaire d'intégration"</formula>
    </cfRule>
    <cfRule type="beginsWith" dxfId="7222" priority="18436" operator="beginsWith" text="Accueil">
      <formula>LEFT(EH216,LEN("Accueil"))="Accueil"</formula>
    </cfRule>
    <cfRule type="beginsWith" dxfId="7221" priority="18437" operator="beginsWith" text="Stage">
      <formula>LEFT(EH216,LEN("Stage"))="Stage"</formula>
    </cfRule>
    <cfRule type="beginsWith" dxfId="7220" priority="18438" operator="beginsWith" text="Entreprise">
      <formula>LEFT(EH216,LEN("Entreprise"))="Entreprise"</formula>
    </cfRule>
    <cfRule type="beginsWith" dxfId="7219" priority="18439" operator="beginsWith" text="Voltaire">
      <formula>LEFT(EH216,LEN("Voltaire"))="Voltaire"</formula>
    </cfRule>
  </conditionalFormatting>
  <conditionalFormatting sqref="EH241">
    <cfRule type="beginsWith" dxfId="7218" priority="25783" operator="beginsWith" text="Projet professionnel : Séminaire PFI">
      <formula>LEFT(EH241,LEN("Projet professionnel : Séminaire PFI"))="Projet professionnel : Séminaire PFI"</formula>
    </cfRule>
    <cfRule type="beginsWith" dxfId="7217" priority="25784" operator="beginsWith" text="Lancement Projet fil rouge">
      <formula>LEFT(EH241,LEN("Lancement Projet fil rouge"))="Lancement Projet fil rouge"</formula>
    </cfRule>
    <cfRule type="beginsWith" dxfId="7216" priority="25785" operator="beginsWith" text="Vacances">
      <formula>LEFT(EH241,LEN("Vacances"))="Vacances"</formula>
    </cfRule>
    <cfRule type="beginsWith" dxfId="7215" priority="25786" operator="beginsWith" text="Séminaire d'intégration">
      <formula>LEFT(EH241,LEN("Séminaire d'intégration"))="Séminaire d'intégration"</formula>
    </cfRule>
    <cfRule type="beginsWith" dxfId="7214" priority="25787" operator="beginsWith" text="Accueil">
      <formula>LEFT(EH241,LEN("Accueil"))="Accueil"</formula>
    </cfRule>
    <cfRule type="beginsWith" dxfId="7213" priority="25788" operator="beginsWith" text="Stage">
      <formula>LEFT(EH241,LEN("Stage"))="Stage"</formula>
    </cfRule>
    <cfRule type="beginsWith" dxfId="7212" priority="25789" operator="beginsWith" text="Entreprise">
      <formula>LEFT(EH241,LEN("Entreprise"))="Entreprise"</formula>
    </cfRule>
    <cfRule type="beginsWith" dxfId="7211" priority="25790" operator="beginsWith" text="Voltaire">
      <formula>LEFT(EH241,LEN("Voltaire"))="Voltaire"</formula>
    </cfRule>
    <cfRule type="beginsWith" dxfId="7210" priority="25791" operator="beginsWith" text="Projet professionnel : Séminaire PFI">
      <formula>LEFT(EH241,LEN("Projet professionnel : Séminaire PFI"))="Projet professionnel : Séminaire PFI"</formula>
    </cfRule>
    <cfRule type="beginsWith" dxfId="7209" priority="25792" operator="beginsWith" text="Lancement Projet fil rouge">
      <formula>LEFT(EH241,LEN("Lancement Projet fil rouge"))="Lancement Projet fil rouge"</formula>
    </cfRule>
    <cfRule type="beginsWith" dxfId="7208" priority="25793" operator="beginsWith" text="Vacances">
      <formula>LEFT(EH241,LEN("Vacances"))="Vacances"</formula>
    </cfRule>
    <cfRule type="beginsWith" dxfId="7207" priority="25794" operator="beginsWith" text="Séminaire d'intégration">
      <formula>LEFT(EH241,LEN("Séminaire d'intégration"))="Séminaire d'intégration"</formula>
    </cfRule>
    <cfRule type="beginsWith" dxfId="7206" priority="25795" operator="beginsWith" text="Accueil">
      <formula>LEFT(EH241,LEN("Accueil"))="Accueil"</formula>
    </cfRule>
    <cfRule type="beginsWith" dxfId="7205" priority="25796" operator="beginsWith" text="Stage">
      <formula>LEFT(EH241,LEN("Stage"))="Stage"</formula>
    </cfRule>
    <cfRule type="beginsWith" dxfId="7204" priority="25797" operator="beginsWith" text="Entreprise">
      <formula>LEFT(EH241,LEN("Entreprise"))="Entreprise"</formula>
    </cfRule>
    <cfRule type="beginsWith" dxfId="7203" priority="25798" operator="beginsWith" text="Voltaire">
      <formula>LEFT(EH241,LEN("Voltaire"))="Voltaire"</formula>
    </cfRule>
  </conditionalFormatting>
  <conditionalFormatting sqref="EH250">
    <cfRule type="beginsWith" dxfId="7202" priority="25815" operator="beginsWith" text="Projet professionnel : Séminaire PFI">
      <formula>LEFT(EH250,LEN("Projet professionnel : Séminaire PFI"))="Projet professionnel : Séminaire PFI"</formula>
    </cfRule>
    <cfRule type="beginsWith" dxfId="7201" priority="25816" operator="beginsWith" text="Lancement Projet fil rouge">
      <formula>LEFT(EH250,LEN("Lancement Projet fil rouge"))="Lancement Projet fil rouge"</formula>
    </cfRule>
    <cfRule type="beginsWith" dxfId="7200" priority="25817" operator="beginsWith" text="Vacances">
      <formula>LEFT(EH250,LEN("Vacances"))="Vacances"</formula>
    </cfRule>
    <cfRule type="beginsWith" dxfId="7199" priority="25818" operator="beginsWith" text="Séminaire d'intégration">
      <formula>LEFT(EH250,LEN("Séminaire d'intégration"))="Séminaire d'intégration"</formula>
    </cfRule>
    <cfRule type="beginsWith" dxfId="7198" priority="25819" operator="beginsWith" text="Accueil">
      <formula>LEFT(EH250,LEN("Accueil"))="Accueil"</formula>
    </cfRule>
    <cfRule type="beginsWith" dxfId="7197" priority="25820" operator="beginsWith" text="Stage">
      <formula>LEFT(EH250,LEN("Stage"))="Stage"</formula>
    </cfRule>
    <cfRule type="beginsWith" dxfId="7196" priority="25821" operator="beginsWith" text="Entreprise">
      <formula>LEFT(EH250,LEN("Entreprise"))="Entreprise"</formula>
    </cfRule>
    <cfRule type="beginsWith" dxfId="7195" priority="25822" operator="beginsWith" text="Voltaire">
      <formula>LEFT(EH250,LEN("Voltaire"))="Voltaire"</formula>
    </cfRule>
  </conditionalFormatting>
  <conditionalFormatting sqref="EH251">
    <cfRule type="beginsWith" dxfId="7194" priority="25655" operator="beginsWith" text="Projet professionnel : Séminaire PFI">
      <formula>LEFT(EH251,LEN("Projet professionnel : Séminaire PFI"))="Projet professionnel : Séminaire PFI"</formula>
    </cfRule>
    <cfRule type="beginsWith" dxfId="7193" priority="25656" operator="beginsWith" text="Lancement Projet fil rouge">
      <formula>LEFT(EH251,LEN("Lancement Projet fil rouge"))="Lancement Projet fil rouge"</formula>
    </cfRule>
    <cfRule type="beginsWith" dxfId="7192" priority="25657" operator="beginsWith" text="Vacances">
      <formula>LEFT(EH251,LEN("Vacances"))="Vacances"</formula>
    </cfRule>
    <cfRule type="beginsWith" dxfId="7191" priority="25658" operator="beginsWith" text="Séminaire d'intégration">
      <formula>LEFT(EH251,LEN("Séminaire d'intégration"))="Séminaire d'intégration"</formula>
    </cfRule>
    <cfRule type="beginsWith" dxfId="7190" priority="25659" operator="beginsWith" text="Accueil">
      <formula>LEFT(EH251,LEN("Accueil"))="Accueil"</formula>
    </cfRule>
    <cfRule type="beginsWith" dxfId="7189" priority="25660" operator="beginsWith" text="Stage">
      <formula>LEFT(EH251,LEN("Stage"))="Stage"</formula>
    </cfRule>
    <cfRule type="beginsWith" dxfId="7188" priority="25661" operator="beginsWith" text="Entreprise">
      <formula>LEFT(EH251,LEN("Entreprise"))="Entreprise"</formula>
    </cfRule>
    <cfRule type="beginsWith" dxfId="7187" priority="25662" operator="beginsWith" text="Voltaire">
      <formula>LEFT(EH251,LEN("Voltaire"))="Voltaire"</formula>
    </cfRule>
    <cfRule type="beginsWith" dxfId="7186" priority="25663" operator="beginsWith" text="Projet professionnel : Séminaire PFI">
      <formula>LEFT(EH251,LEN("Projet professionnel : Séminaire PFI"))="Projet professionnel : Séminaire PFI"</formula>
    </cfRule>
    <cfRule type="beginsWith" dxfId="7185" priority="25664" operator="beginsWith" text="Lancement Projet fil rouge">
      <formula>LEFT(EH251,LEN("Lancement Projet fil rouge"))="Lancement Projet fil rouge"</formula>
    </cfRule>
    <cfRule type="beginsWith" dxfId="7184" priority="25665" operator="beginsWith" text="Vacances">
      <formula>LEFT(EH251,LEN("Vacances"))="Vacances"</formula>
    </cfRule>
    <cfRule type="beginsWith" dxfId="7183" priority="25666" operator="beginsWith" text="Séminaire d'intégration">
      <formula>LEFT(EH251,LEN("Séminaire d'intégration"))="Séminaire d'intégration"</formula>
    </cfRule>
    <cfRule type="beginsWith" dxfId="7182" priority="25667" operator="beginsWith" text="Accueil">
      <formula>LEFT(EH251,LEN("Accueil"))="Accueil"</formula>
    </cfRule>
    <cfRule type="beginsWith" dxfId="7181" priority="25668" operator="beginsWith" text="Stage">
      <formula>LEFT(EH251,LEN("Stage"))="Stage"</formula>
    </cfRule>
    <cfRule type="beginsWith" dxfId="7180" priority="25669" operator="beginsWith" text="Entreprise">
      <formula>LEFT(EH251,LEN("Entreprise"))="Entreprise"</formula>
    </cfRule>
    <cfRule type="beginsWith" dxfId="7179" priority="25670" operator="beginsWith" text="Voltaire">
      <formula>LEFT(EH251,LEN("Voltaire"))="Voltaire"</formula>
    </cfRule>
  </conditionalFormatting>
  <conditionalFormatting sqref="EH256">
    <cfRule type="beginsWith" dxfId="7178" priority="20165" operator="beginsWith" text="Projet professionnel : Séminaire PFI">
      <formula>LEFT(EH256,LEN("Projet professionnel : Séminaire PFI"))="Projet professionnel : Séminaire PFI"</formula>
    </cfRule>
    <cfRule type="beginsWith" dxfId="7177" priority="20166" operator="beginsWith" text="Lancement Projet fil rouge">
      <formula>LEFT(EH256,LEN("Lancement Projet fil rouge"))="Lancement Projet fil rouge"</formula>
    </cfRule>
    <cfRule type="beginsWith" dxfId="7176" priority="20167" operator="beginsWith" text="Vacances">
      <formula>LEFT(EH256,LEN("Vacances"))="Vacances"</formula>
    </cfRule>
    <cfRule type="beginsWith" dxfId="7175" priority="20168" operator="beginsWith" text="Séminaire d'intégration">
      <formula>LEFT(EH256,LEN("Séminaire d'intégration"))="Séminaire d'intégration"</formula>
    </cfRule>
    <cfRule type="beginsWith" dxfId="7174" priority="20169" operator="beginsWith" text="Accueil">
      <formula>LEFT(EH256,LEN("Accueil"))="Accueil"</formula>
    </cfRule>
    <cfRule type="beginsWith" dxfId="7173" priority="20170" operator="beginsWith" text="Stage">
      <formula>LEFT(EH256,LEN("Stage"))="Stage"</formula>
    </cfRule>
    <cfRule type="beginsWith" dxfId="7172" priority="20171" operator="beginsWith" text="Entreprise">
      <formula>LEFT(EH256,LEN("Entreprise"))="Entreprise"</formula>
    </cfRule>
    <cfRule type="beginsWith" dxfId="7171" priority="20172" operator="beginsWith" text="Voltaire">
      <formula>LEFT(EH256,LEN("Voltaire"))="Voltaire"</formula>
    </cfRule>
  </conditionalFormatting>
  <conditionalFormatting sqref="EI56">
    <cfRule type="beginsWith" dxfId="7170" priority="21685" operator="beginsWith" text="Lancement Projet fil rouge">
      <formula>LEFT(EI56,LEN("Lancement Projet fil rouge"))="Lancement Projet fil rouge"</formula>
    </cfRule>
    <cfRule type="beginsWith" dxfId="7169" priority="21686" operator="beginsWith" text="Vacances">
      <formula>LEFT(EI56,LEN("Vacances"))="Vacances"</formula>
    </cfRule>
    <cfRule type="beginsWith" dxfId="7168" priority="21687" operator="beginsWith" text="Séminaire d'intégration">
      <formula>LEFT(EI56,LEN("Séminaire d'intégration"))="Séminaire d'intégration"</formula>
    </cfRule>
    <cfRule type="beginsWith" dxfId="7167" priority="21688" operator="beginsWith" text="Accueil">
      <formula>LEFT(EI56,LEN("Accueil"))="Accueil"</formula>
    </cfRule>
    <cfRule type="beginsWith" dxfId="7166" priority="21689" operator="beginsWith" text="Stage">
      <formula>LEFT(EI56,LEN("Stage"))="Stage"</formula>
    </cfRule>
    <cfRule type="beginsWith" dxfId="7165" priority="21690" operator="beginsWith" text="Entreprise">
      <formula>LEFT(EI56,LEN("Entreprise"))="Entreprise"</formula>
    </cfRule>
    <cfRule type="beginsWith" dxfId="7164" priority="21691" operator="beginsWith" text="Voltaire">
      <formula>LEFT(EI56,LEN("Voltaire"))="Voltaire"</formula>
    </cfRule>
  </conditionalFormatting>
  <conditionalFormatting sqref="EI61:EI65">
    <cfRule type="beginsWith" dxfId="7163" priority="18425" operator="beginsWith" text="Lancement Projet fil rouge">
      <formula>LEFT(EI61,LEN("Lancement Projet fil rouge"))="Lancement Projet fil rouge"</formula>
    </cfRule>
    <cfRule type="beginsWith" dxfId="7162" priority="18426" operator="beginsWith" text="Vacances">
      <formula>LEFT(EI61,LEN("Vacances"))="Vacances"</formula>
    </cfRule>
    <cfRule type="beginsWith" dxfId="7161" priority="18427" operator="beginsWith" text="Séminaire d'intégration">
      <formula>LEFT(EI61,LEN("Séminaire d'intégration"))="Séminaire d'intégration"</formula>
    </cfRule>
    <cfRule type="beginsWith" dxfId="7160" priority="18428" operator="beginsWith" text="Accueil">
      <formula>LEFT(EI61,LEN("Accueil"))="Accueil"</formula>
    </cfRule>
    <cfRule type="beginsWith" dxfId="7159" priority="18429" operator="beginsWith" text="Stage">
      <formula>LEFT(EI61,LEN("Stage"))="Stage"</formula>
    </cfRule>
    <cfRule type="beginsWith" dxfId="7158" priority="18430" operator="beginsWith" text="Entreprise">
      <formula>LEFT(EI61,LEN("Entreprise"))="Entreprise"</formula>
    </cfRule>
    <cfRule type="beginsWith" dxfId="7157" priority="18431" operator="beginsWith" text="Voltaire">
      <formula>LEFT(EI61,LEN("Voltaire"))="Voltaire"</formula>
    </cfRule>
  </conditionalFormatting>
  <conditionalFormatting sqref="EI151">
    <cfRule type="beginsWith" dxfId="7156" priority="23961" operator="beginsWith" text="Lancement Projet fil rouge">
      <formula>LEFT(EI151,LEN("Lancement Projet fil rouge"))="Lancement Projet fil rouge"</formula>
    </cfRule>
    <cfRule type="beginsWith" dxfId="7155" priority="23962" operator="beginsWith" text="Vacances">
      <formula>LEFT(EI151,LEN("Vacances"))="Vacances"</formula>
    </cfRule>
    <cfRule type="beginsWith" dxfId="7154" priority="23963" operator="beginsWith" text="Séminaire d'intégration">
      <formula>LEFT(EI151,LEN("Séminaire d'intégration"))="Séminaire d'intégration"</formula>
    </cfRule>
    <cfRule type="beginsWith" dxfId="7153" priority="23964" operator="beginsWith" text="Accueil">
      <formula>LEFT(EI151,LEN("Accueil"))="Accueil"</formula>
    </cfRule>
    <cfRule type="beginsWith" dxfId="7152" priority="23965" operator="beginsWith" text="Stage">
      <formula>LEFT(EI151,LEN("Stage"))="Stage"</formula>
    </cfRule>
    <cfRule type="beginsWith" dxfId="7151" priority="23966" operator="beginsWith" text="Entreprise">
      <formula>LEFT(EI151,LEN("Entreprise"))="Entreprise"</formula>
    </cfRule>
    <cfRule type="beginsWith" dxfId="7150" priority="23967" operator="beginsWith" text="Voltaire">
      <formula>LEFT(EI151,LEN("Voltaire"))="Voltaire"</formula>
    </cfRule>
  </conditionalFormatting>
  <conditionalFormatting sqref="EI221">
    <cfRule type="beginsWith" dxfId="7149" priority="18456" operator="beginsWith" text="Lancement Projet fil rouge">
      <formula>LEFT(EI221,LEN("Lancement Projet fil rouge"))="Lancement Projet fil rouge"</formula>
    </cfRule>
    <cfRule type="beginsWith" dxfId="7148" priority="18457" operator="beginsWith" text="Vacances">
      <formula>LEFT(EI221,LEN("Vacances"))="Vacances"</formula>
    </cfRule>
    <cfRule type="beginsWith" dxfId="7147" priority="18458" operator="beginsWith" text="Séminaire d'intégration">
      <formula>LEFT(EI221,LEN("Séminaire d'intégration"))="Séminaire d'intégration"</formula>
    </cfRule>
    <cfRule type="beginsWith" dxfId="7146" priority="18459" operator="beginsWith" text="Accueil">
      <formula>LEFT(EI221,LEN("Accueil"))="Accueil"</formula>
    </cfRule>
    <cfRule type="beginsWith" dxfId="7145" priority="18460" operator="beginsWith" text="Stage">
      <formula>LEFT(EI221,LEN("Stage"))="Stage"</formula>
    </cfRule>
    <cfRule type="beginsWith" dxfId="7144" priority="18461" operator="beginsWith" text="Entreprise">
      <formula>LEFT(EI221,LEN("Entreprise"))="Entreprise"</formula>
    </cfRule>
    <cfRule type="beginsWith" dxfId="7143" priority="18462" operator="beginsWith" text="Voltaire">
      <formula>LEFT(EI221,LEN("Voltaire"))="Voltaire"</formula>
    </cfRule>
  </conditionalFormatting>
  <conditionalFormatting sqref="EJ56:EJ59">
    <cfRule type="beginsWith" dxfId="7142" priority="20693" operator="beginsWith" text="Lancement Projet fil rouge">
      <formula>LEFT(EJ56,LEN("Lancement Projet fil rouge"))="Lancement Projet fil rouge"</formula>
    </cfRule>
    <cfRule type="beginsWith" dxfId="7141" priority="20694" operator="beginsWith" text="Vacances">
      <formula>LEFT(EJ56,LEN("Vacances"))="Vacances"</formula>
    </cfRule>
    <cfRule type="beginsWith" dxfId="7140" priority="20695" operator="beginsWith" text="Séminaire d'intégration">
      <formula>LEFT(EJ56,LEN("Séminaire d'intégration"))="Séminaire d'intégration"</formula>
    </cfRule>
    <cfRule type="beginsWith" dxfId="7139" priority="20696" operator="beginsWith" text="Accueil">
      <formula>LEFT(EJ56,LEN("Accueil"))="Accueil"</formula>
    </cfRule>
    <cfRule type="beginsWith" dxfId="7138" priority="20697" operator="beginsWith" text="Stage">
      <formula>LEFT(EJ56,LEN("Stage"))="Stage"</formula>
    </cfRule>
    <cfRule type="beginsWith" dxfId="7137" priority="20698" operator="beginsWith" text="Entreprise">
      <formula>LEFT(EJ56,LEN("Entreprise"))="Entreprise"</formula>
    </cfRule>
    <cfRule type="beginsWith" dxfId="7136" priority="20699" operator="beginsWith" text="Voltaire">
      <formula>LEFT(EJ56,LEN("Voltaire"))="Voltaire"</formula>
    </cfRule>
  </conditionalFormatting>
  <conditionalFormatting sqref="EJ61">
    <cfRule type="beginsWith" dxfId="7135" priority="18418" operator="beginsWith" text="Lancement Projet fil rouge">
      <formula>LEFT(EJ61,LEN("Lancement Projet fil rouge"))="Lancement Projet fil rouge"</formula>
    </cfRule>
    <cfRule type="beginsWith" dxfId="7134" priority="18419" operator="beginsWith" text="Vacances">
      <formula>LEFT(EJ61,LEN("Vacances"))="Vacances"</formula>
    </cfRule>
    <cfRule type="beginsWith" dxfId="7133" priority="18420" operator="beginsWith" text="Séminaire d'intégration">
      <formula>LEFT(EJ61,LEN("Séminaire d'intégration"))="Séminaire d'intégration"</formula>
    </cfRule>
    <cfRule type="beginsWith" dxfId="7132" priority="18421" operator="beginsWith" text="Accueil">
      <formula>LEFT(EJ61,LEN("Accueil"))="Accueil"</formula>
    </cfRule>
    <cfRule type="beginsWith" dxfId="7131" priority="18422" operator="beginsWith" text="Stage">
      <formula>LEFT(EJ61,LEN("Stage"))="Stage"</formula>
    </cfRule>
    <cfRule type="beginsWith" dxfId="7130" priority="18423" operator="beginsWith" text="Entreprise">
      <formula>LEFT(EJ61,LEN("Entreprise"))="Entreprise"</formula>
    </cfRule>
    <cfRule type="beginsWith" dxfId="7129" priority="18424" operator="beginsWith" text="Voltaire">
      <formula>LEFT(EJ61,LEN("Voltaire"))="Voltaire"</formula>
    </cfRule>
  </conditionalFormatting>
  <conditionalFormatting sqref="EJ67">
    <cfRule type="beginsWith" dxfId="7128" priority="20742" operator="beginsWith" text="Lancement Projet fil rouge">
      <formula>LEFT(EJ67,LEN("Lancement Projet fil rouge"))="Lancement Projet fil rouge"</formula>
    </cfRule>
    <cfRule type="beginsWith" dxfId="7127" priority="20743" operator="beginsWith" text="Vacances">
      <formula>LEFT(EJ67,LEN("Vacances"))="Vacances"</formula>
    </cfRule>
    <cfRule type="beginsWith" dxfId="7126" priority="20744" operator="beginsWith" text="Séminaire d'intégration">
      <formula>LEFT(EJ67,LEN("Séminaire d'intégration"))="Séminaire d'intégration"</formula>
    </cfRule>
    <cfRule type="beginsWith" dxfId="7125" priority="20745" operator="beginsWith" text="Accueil">
      <formula>LEFT(EJ67,LEN("Accueil"))="Accueil"</formula>
    </cfRule>
    <cfRule type="beginsWith" dxfId="7124" priority="20746" operator="beginsWith" text="Stage">
      <formula>LEFT(EJ67,LEN("Stage"))="Stage"</formula>
    </cfRule>
    <cfRule type="beginsWith" dxfId="7123" priority="20747" operator="beginsWith" text="Entreprise">
      <formula>LEFT(EJ67,LEN("Entreprise"))="Entreprise"</formula>
    </cfRule>
    <cfRule type="beginsWith" dxfId="7122" priority="20748" operator="beginsWith" text="Voltaire">
      <formula>LEFT(EJ67,LEN("Voltaire"))="Voltaire"</formula>
    </cfRule>
  </conditionalFormatting>
  <conditionalFormatting sqref="EJ68">
    <cfRule type="beginsWith" dxfId="7121" priority="18473" operator="beginsWith" text="Lancement Projet fil rouge">
      <formula>LEFT(EJ68,LEN("Lancement Projet fil rouge"))="Lancement Projet fil rouge"</formula>
    </cfRule>
    <cfRule type="beginsWith" dxfId="7120" priority="18474" operator="beginsWith" text="Vacances">
      <formula>LEFT(EJ68,LEN("Vacances"))="Vacances"</formula>
    </cfRule>
    <cfRule type="beginsWith" dxfId="7119" priority="18475" operator="beginsWith" text="Séminaire d'intégration">
      <formula>LEFT(EJ68,LEN("Séminaire d'intégration"))="Séminaire d'intégration"</formula>
    </cfRule>
    <cfRule type="beginsWith" dxfId="7118" priority="18476" operator="beginsWith" text="Accueil">
      <formula>LEFT(EJ68,LEN("Accueil"))="Accueil"</formula>
    </cfRule>
    <cfRule type="beginsWith" dxfId="7117" priority="18477" operator="beginsWith" text="Stage">
      <formula>LEFT(EJ68,LEN("Stage"))="Stage"</formula>
    </cfRule>
    <cfRule type="beginsWith" dxfId="7116" priority="18478" operator="beginsWith" text="Entreprise">
      <formula>LEFT(EJ68,LEN("Entreprise"))="Entreprise"</formula>
    </cfRule>
    <cfRule type="beginsWith" dxfId="7115" priority="18479" operator="beginsWith" text="Voltaire">
      <formula>LEFT(EJ68,LEN("Voltaire"))="Voltaire"</formula>
    </cfRule>
  </conditionalFormatting>
  <conditionalFormatting sqref="EJ71">
    <cfRule type="beginsWith" dxfId="7114" priority="20756" operator="beginsWith" text="Lancement Projet fil rouge">
      <formula>LEFT(EJ71,LEN("Lancement Projet fil rouge"))="Lancement Projet fil rouge"</formula>
    </cfRule>
    <cfRule type="beginsWith" dxfId="7113" priority="20757" operator="beginsWith" text="Vacances">
      <formula>LEFT(EJ71,LEN("Vacances"))="Vacances"</formula>
    </cfRule>
    <cfRule type="beginsWith" dxfId="7112" priority="20758" operator="beginsWith" text="Séminaire d'intégration">
      <formula>LEFT(EJ71,LEN("Séminaire d'intégration"))="Séminaire d'intégration"</formula>
    </cfRule>
    <cfRule type="beginsWith" dxfId="7111" priority="20759" operator="beginsWith" text="Accueil">
      <formula>LEFT(EJ71,LEN("Accueil"))="Accueil"</formula>
    </cfRule>
    <cfRule type="beginsWith" dxfId="7110" priority="20760" operator="beginsWith" text="Stage">
      <formula>LEFT(EJ71,LEN("Stage"))="Stage"</formula>
    </cfRule>
    <cfRule type="beginsWith" dxfId="7109" priority="20761" operator="beginsWith" text="Entreprise">
      <formula>LEFT(EJ71,LEN("Entreprise"))="Entreprise"</formula>
    </cfRule>
    <cfRule type="beginsWith" dxfId="7108" priority="20762" operator="beginsWith" text="Voltaire">
      <formula>LEFT(EJ71,LEN("Voltaire"))="Voltaire"</formula>
    </cfRule>
  </conditionalFormatting>
  <conditionalFormatting sqref="EJ76">
    <cfRule type="beginsWith" dxfId="7107" priority="20749" operator="beginsWith" text="Lancement Projet fil rouge">
      <formula>LEFT(EJ76,LEN("Lancement Projet fil rouge"))="Lancement Projet fil rouge"</formula>
    </cfRule>
    <cfRule type="beginsWith" dxfId="7106" priority="20750" operator="beginsWith" text="Vacances">
      <formula>LEFT(EJ76,LEN("Vacances"))="Vacances"</formula>
    </cfRule>
    <cfRule type="beginsWith" dxfId="7105" priority="20751" operator="beginsWith" text="Séminaire d'intégration">
      <formula>LEFT(EJ76,LEN("Séminaire d'intégration"))="Séminaire d'intégration"</formula>
    </cfRule>
    <cfRule type="beginsWith" dxfId="7104" priority="20752" operator="beginsWith" text="Accueil">
      <formula>LEFT(EJ76,LEN("Accueil"))="Accueil"</formula>
    </cfRule>
    <cfRule type="beginsWith" dxfId="7103" priority="20753" operator="beginsWith" text="Stage">
      <formula>LEFT(EJ76,LEN("Stage"))="Stage"</formula>
    </cfRule>
    <cfRule type="beginsWith" dxfId="7102" priority="20754" operator="beginsWith" text="Entreprise">
      <formula>LEFT(EJ76,LEN("Entreprise"))="Entreprise"</formula>
    </cfRule>
    <cfRule type="beginsWith" dxfId="7101" priority="20755" operator="beginsWith" text="Voltaire">
      <formula>LEFT(EJ76,LEN("Voltaire"))="Voltaire"</formula>
    </cfRule>
  </conditionalFormatting>
  <conditionalFormatting sqref="EJ96:EJ105">
    <cfRule type="beginsWith" dxfId="7100" priority="19837" operator="beginsWith" text="Lancement Projet fil rouge">
      <formula>LEFT(EJ96,LEN("Lancement Projet fil rouge"))="Lancement Projet fil rouge"</formula>
    </cfRule>
    <cfRule type="beginsWith" dxfId="7099" priority="19838" operator="beginsWith" text="Vacances">
      <formula>LEFT(EJ96,LEN("Vacances"))="Vacances"</formula>
    </cfRule>
    <cfRule type="beginsWith" dxfId="7098" priority="19839" operator="beginsWith" text="Séminaire d'intégration">
      <formula>LEFT(EJ96,LEN("Séminaire d'intégration"))="Séminaire d'intégration"</formula>
    </cfRule>
    <cfRule type="beginsWith" dxfId="7097" priority="19840" operator="beginsWith" text="Accueil">
      <formula>LEFT(EJ96,LEN("Accueil"))="Accueil"</formula>
    </cfRule>
    <cfRule type="beginsWith" dxfId="7096" priority="19841" operator="beginsWith" text="Stage">
      <formula>LEFT(EJ96,LEN("Stage"))="Stage"</formula>
    </cfRule>
    <cfRule type="beginsWith" dxfId="7095" priority="19842" operator="beginsWith" text="Entreprise">
      <formula>LEFT(EJ96,LEN("Entreprise"))="Entreprise"</formula>
    </cfRule>
    <cfRule type="beginsWith" dxfId="7094" priority="19843" operator="beginsWith" text="Voltaire">
      <formula>LEFT(EJ96,LEN("Voltaire"))="Voltaire"</formula>
    </cfRule>
  </conditionalFormatting>
  <conditionalFormatting sqref="EJ146:EJ150">
    <cfRule type="beginsWith" dxfId="7093" priority="18404" operator="beginsWith" text="Lancement Projet fil rouge">
      <formula>LEFT(EJ146,LEN("Lancement Projet fil rouge"))="Lancement Projet fil rouge"</formula>
    </cfRule>
    <cfRule type="beginsWith" dxfId="7092" priority="18405" operator="beginsWith" text="Vacances">
      <formula>LEFT(EJ146,LEN("Vacances"))="Vacances"</formula>
    </cfRule>
    <cfRule type="beginsWith" dxfId="7091" priority="18406" operator="beginsWith" text="Séminaire d'intégration">
      <formula>LEFT(EJ146,LEN("Séminaire d'intégration"))="Séminaire d'intégration"</formula>
    </cfRule>
    <cfRule type="beginsWith" dxfId="7090" priority="18407" operator="beginsWith" text="Accueil">
      <formula>LEFT(EJ146,LEN("Accueil"))="Accueil"</formula>
    </cfRule>
    <cfRule type="beginsWith" dxfId="7089" priority="18408" operator="beginsWith" text="Stage">
      <formula>LEFT(EJ146,LEN("Stage"))="Stage"</formula>
    </cfRule>
    <cfRule type="beginsWith" dxfId="7088" priority="18409" operator="beginsWith" text="Entreprise">
      <formula>LEFT(EJ146,LEN("Entreprise"))="Entreprise"</formula>
    </cfRule>
    <cfRule type="beginsWith" dxfId="7087" priority="18410" operator="beginsWith" text="Voltaire">
      <formula>LEFT(EJ146,LEN("Voltaire"))="Voltaire"</formula>
    </cfRule>
  </conditionalFormatting>
  <conditionalFormatting sqref="EJ151">
    <cfRule type="beginsWith" dxfId="7086" priority="12525" operator="beginsWith" text="Lancement Projet fil rouge">
      <formula>LEFT(EJ151,LEN("Lancement Projet fil rouge"))="Lancement Projet fil rouge"</formula>
    </cfRule>
    <cfRule type="beginsWith" dxfId="7085" priority="12526" operator="beginsWith" text="Vacances">
      <formula>LEFT(EJ151,LEN("Vacances"))="Vacances"</formula>
    </cfRule>
    <cfRule type="beginsWith" dxfId="7084" priority="12527" operator="beginsWith" text="Séminaire d'intégration">
      <formula>LEFT(EJ151,LEN("Séminaire d'intégration"))="Séminaire d'intégration"</formula>
    </cfRule>
    <cfRule type="beginsWith" dxfId="7083" priority="12528" operator="beginsWith" text="Accueil">
      <formula>LEFT(EJ151,LEN("Accueil"))="Accueil"</formula>
    </cfRule>
    <cfRule type="beginsWith" dxfId="7082" priority="12529" operator="beginsWith" text="Stage">
      <formula>LEFT(EJ151,LEN("Stage"))="Stage"</formula>
    </cfRule>
    <cfRule type="beginsWith" dxfId="7081" priority="12530" operator="beginsWith" text="Entreprise">
      <formula>LEFT(EJ151,LEN("Entreprise"))="Entreprise"</formula>
    </cfRule>
    <cfRule type="beginsWith" dxfId="7080" priority="12531" operator="beginsWith" text="Voltaire">
      <formula>LEFT(EJ151,LEN("Voltaire"))="Voltaire"</formula>
    </cfRule>
  </conditionalFormatting>
  <conditionalFormatting sqref="EJ156">
    <cfRule type="beginsWith" dxfId="7079" priority="12518" operator="beginsWith" text="Lancement Projet fil rouge">
      <formula>LEFT(EJ156,LEN("Lancement Projet fil rouge"))="Lancement Projet fil rouge"</formula>
    </cfRule>
    <cfRule type="beginsWith" dxfId="7078" priority="12519" operator="beginsWith" text="Vacances">
      <formula>LEFT(EJ156,LEN("Vacances"))="Vacances"</formula>
    </cfRule>
    <cfRule type="beginsWith" dxfId="7077" priority="12520" operator="beginsWith" text="Séminaire d'intégration">
      <formula>LEFT(EJ156,LEN("Séminaire d'intégration"))="Séminaire d'intégration"</formula>
    </cfRule>
    <cfRule type="beginsWith" dxfId="7076" priority="12521" operator="beginsWith" text="Accueil">
      <formula>LEFT(EJ156,LEN("Accueil"))="Accueil"</formula>
    </cfRule>
    <cfRule type="beginsWith" dxfId="7075" priority="12522" operator="beginsWith" text="Stage">
      <formula>LEFT(EJ156,LEN("Stage"))="Stage"</formula>
    </cfRule>
    <cfRule type="beginsWith" dxfId="7074" priority="12523" operator="beginsWith" text="Entreprise">
      <formula>LEFT(EJ156,LEN("Entreprise"))="Entreprise"</formula>
    </cfRule>
    <cfRule type="beginsWith" dxfId="7073" priority="12524" operator="beginsWith" text="Voltaire">
      <formula>LEFT(EJ156,LEN("Voltaire"))="Voltaire"</formula>
    </cfRule>
  </conditionalFormatting>
  <conditionalFormatting sqref="EJ161">
    <cfRule type="beginsWith" dxfId="7072" priority="12511" operator="beginsWith" text="Lancement Projet fil rouge">
      <formula>LEFT(EJ161,LEN("Lancement Projet fil rouge"))="Lancement Projet fil rouge"</formula>
    </cfRule>
    <cfRule type="beginsWith" dxfId="7071" priority="12512" operator="beginsWith" text="Vacances">
      <formula>LEFT(EJ161,LEN("Vacances"))="Vacances"</formula>
    </cfRule>
    <cfRule type="beginsWith" dxfId="7070" priority="12513" operator="beginsWith" text="Séminaire d'intégration">
      <formula>LEFT(EJ161,LEN("Séminaire d'intégration"))="Séminaire d'intégration"</formula>
    </cfRule>
    <cfRule type="beginsWith" dxfId="7069" priority="12514" operator="beginsWith" text="Accueil">
      <formula>LEFT(EJ161,LEN("Accueil"))="Accueil"</formula>
    </cfRule>
    <cfRule type="beginsWith" dxfId="7068" priority="12515" operator="beginsWith" text="Stage">
      <formula>LEFT(EJ161,LEN("Stage"))="Stage"</formula>
    </cfRule>
    <cfRule type="beginsWith" dxfId="7067" priority="12516" operator="beginsWith" text="Entreprise">
      <formula>LEFT(EJ161,LEN("Entreprise"))="Entreprise"</formula>
    </cfRule>
    <cfRule type="beginsWith" dxfId="7066" priority="12517" operator="beginsWith" text="Voltaire">
      <formula>LEFT(EJ161,LEN("Voltaire"))="Voltaire"</formula>
    </cfRule>
  </conditionalFormatting>
  <conditionalFormatting sqref="EJ166">
    <cfRule type="beginsWith" dxfId="7065" priority="20707" operator="beginsWith" text="Lancement Projet fil rouge">
      <formula>LEFT(EJ166,LEN("Lancement Projet fil rouge"))="Lancement Projet fil rouge"</formula>
    </cfRule>
    <cfRule type="beginsWith" dxfId="7064" priority="20708" operator="beginsWith" text="Vacances">
      <formula>LEFT(EJ166,LEN("Vacances"))="Vacances"</formula>
    </cfRule>
    <cfRule type="beginsWith" dxfId="7063" priority="20709" operator="beginsWith" text="Séminaire d'intégration">
      <formula>LEFT(EJ166,LEN("Séminaire d'intégration"))="Séminaire d'intégration"</formula>
    </cfRule>
    <cfRule type="beginsWith" dxfId="7062" priority="20710" operator="beginsWith" text="Accueil">
      <formula>LEFT(EJ166,LEN("Accueil"))="Accueil"</formula>
    </cfRule>
    <cfRule type="beginsWith" dxfId="7061" priority="20711" operator="beginsWith" text="Stage">
      <formula>LEFT(EJ166,LEN("Stage"))="Stage"</formula>
    </cfRule>
    <cfRule type="beginsWith" dxfId="7060" priority="20712" operator="beginsWith" text="Entreprise">
      <formula>LEFT(EJ166,LEN("Entreprise"))="Entreprise"</formula>
    </cfRule>
    <cfRule type="beginsWith" dxfId="7059" priority="20713" operator="beginsWith" text="Voltaire">
      <formula>LEFT(EJ166,LEN("Voltaire"))="Voltaire"</formula>
    </cfRule>
  </conditionalFormatting>
  <conditionalFormatting sqref="EJ211">
    <cfRule type="beginsWith" dxfId="7058" priority="20700" operator="beginsWith" text="Lancement Projet fil rouge">
      <formula>LEFT(EJ211,LEN("Lancement Projet fil rouge"))="Lancement Projet fil rouge"</formula>
    </cfRule>
    <cfRule type="beginsWith" dxfId="7057" priority="20701" operator="beginsWith" text="Vacances">
      <formula>LEFT(EJ211,LEN("Vacances"))="Vacances"</formula>
    </cfRule>
    <cfRule type="beginsWith" dxfId="7056" priority="20702" operator="beginsWith" text="Séminaire d'intégration">
      <formula>LEFT(EJ211,LEN("Séminaire d'intégration"))="Séminaire d'intégration"</formula>
    </cfRule>
    <cfRule type="beginsWith" dxfId="7055" priority="20703" operator="beginsWith" text="Accueil">
      <formula>LEFT(EJ211,LEN("Accueil"))="Accueil"</formula>
    </cfRule>
    <cfRule type="beginsWith" dxfId="7054" priority="20704" operator="beginsWith" text="Stage">
      <formula>LEFT(EJ211,LEN("Stage"))="Stage"</formula>
    </cfRule>
    <cfRule type="beginsWith" dxfId="7053" priority="20705" operator="beginsWith" text="Entreprise">
      <formula>LEFT(EJ211,LEN("Entreprise"))="Entreprise"</formula>
    </cfRule>
    <cfRule type="beginsWith" dxfId="7052" priority="20706" operator="beginsWith" text="Voltaire">
      <formula>LEFT(EJ211,LEN("Voltaire"))="Voltaire"</formula>
    </cfRule>
  </conditionalFormatting>
  <conditionalFormatting sqref="EJ216">
    <cfRule type="beginsWith" dxfId="7051" priority="18411" operator="beginsWith" text="Lancement Projet fil rouge">
      <formula>LEFT(EJ216,LEN("Lancement Projet fil rouge"))="Lancement Projet fil rouge"</formula>
    </cfRule>
    <cfRule type="beginsWith" dxfId="7050" priority="18412" operator="beginsWith" text="Vacances">
      <formula>LEFT(EJ216,LEN("Vacances"))="Vacances"</formula>
    </cfRule>
    <cfRule type="beginsWith" dxfId="7049" priority="18413" operator="beginsWith" text="Séminaire d'intégration">
      <formula>LEFT(EJ216,LEN("Séminaire d'intégration"))="Séminaire d'intégration"</formula>
    </cfRule>
    <cfRule type="beginsWith" dxfId="7048" priority="18414" operator="beginsWith" text="Accueil">
      <formula>LEFT(EJ216,LEN("Accueil"))="Accueil"</formula>
    </cfRule>
    <cfRule type="beginsWith" dxfId="7047" priority="18415" operator="beginsWith" text="Stage">
      <formula>LEFT(EJ216,LEN("Stage"))="Stage"</formula>
    </cfRule>
    <cfRule type="beginsWith" dxfId="7046" priority="18416" operator="beginsWith" text="Entreprise">
      <formula>LEFT(EJ216,LEN("Entreprise"))="Entreprise"</formula>
    </cfRule>
    <cfRule type="beginsWith" dxfId="7045" priority="18417" operator="beginsWith" text="Voltaire">
      <formula>LEFT(EJ216,LEN("Voltaire"))="Voltaire"</formula>
    </cfRule>
  </conditionalFormatting>
  <conditionalFormatting sqref="EK60">
    <cfRule type="beginsWith" dxfId="7044" priority="18490" operator="beginsWith" text="Lancement Projet fil rouge">
      <formula>LEFT(EK60,LEN("Lancement Projet fil rouge"))="Lancement Projet fil rouge"</formula>
    </cfRule>
    <cfRule type="beginsWith" dxfId="7043" priority="18491" operator="beginsWith" text="Vacances">
      <formula>LEFT(EK60,LEN("Vacances"))="Vacances"</formula>
    </cfRule>
    <cfRule type="beginsWith" dxfId="7042" priority="18492" operator="beginsWith" text="Séminaire d'intégration">
      <formula>LEFT(EK60,LEN("Séminaire d'intégration"))="Séminaire d'intégration"</formula>
    </cfRule>
    <cfRule type="beginsWith" dxfId="7041" priority="18493" operator="beginsWith" text="Accueil">
      <formula>LEFT(EK60,LEN("Accueil"))="Accueil"</formula>
    </cfRule>
    <cfRule type="beginsWith" dxfId="7040" priority="18494" operator="beginsWith" text="TOPHYC">
      <formula>LEFT(EK60,LEN("TOPHYC"))="TOPHYC"</formula>
    </cfRule>
    <cfRule type="beginsWith" dxfId="7039" priority="18495" operator="beginsWith" text="Global Exam">
      <formula>LEFT(EK60,LEN("Global Exam"))="Global Exam"</formula>
    </cfRule>
    <cfRule type="beginsWith" dxfId="7038" priority="18496" operator="beginsWith" text="Stage">
      <formula>LEFT(EK60,LEN("Stage"))="Stage"</formula>
    </cfRule>
    <cfRule type="beginsWith" dxfId="7037" priority="18497" operator="beginsWith" text="Entreprise">
      <formula>LEFT(EK60,LEN("Entreprise"))="Entreprise"</formula>
    </cfRule>
    <cfRule type="beginsWith" dxfId="7036" priority="18498" operator="beginsWith" text="TOMIC">
      <formula>LEFT(EK60,LEN("TOMIC"))="TOMIC"</formula>
    </cfRule>
    <cfRule type="beginsWith" dxfId="7035" priority="18499" operator="beginsWith" text="Voltaire">
      <formula>LEFT(EK60,LEN("Voltaire"))="Voltaire"</formula>
    </cfRule>
  </conditionalFormatting>
  <conditionalFormatting sqref="EK61">
    <cfRule type="beginsWith" dxfId="7034" priority="18480" operator="beginsWith" text="Lancement Projet fil rouge">
      <formula>LEFT(EK61,LEN("Lancement Projet fil rouge"))="Lancement Projet fil rouge"</formula>
    </cfRule>
    <cfRule type="beginsWith" dxfId="7033" priority="18481" operator="beginsWith" text="Vacances">
      <formula>LEFT(EK61,LEN("Vacances"))="Vacances"</formula>
    </cfRule>
    <cfRule type="beginsWith" dxfId="7032" priority="18482" operator="beginsWith" text="Séminaire d'intégration">
      <formula>LEFT(EK61,LEN("Séminaire d'intégration"))="Séminaire d'intégration"</formula>
    </cfRule>
    <cfRule type="beginsWith" dxfId="7031" priority="18483" operator="beginsWith" text="Accueil">
      <formula>LEFT(EK61,LEN("Accueil"))="Accueil"</formula>
    </cfRule>
    <cfRule type="beginsWith" dxfId="7030" priority="18484" operator="beginsWith" text="TOPHYC">
      <formula>LEFT(EK61,LEN("TOPHYC"))="TOPHYC"</formula>
    </cfRule>
    <cfRule type="beginsWith" dxfId="7029" priority="18485" operator="beginsWith" text="Global Exam">
      <formula>LEFT(EK61,LEN("Global Exam"))="Global Exam"</formula>
    </cfRule>
    <cfRule type="beginsWith" dxfId="7028" priority="18486" operator="beginsWith" text="Stage">
      <formula>LEFT(EK61,LEN("Stage"))="Stage"</formula>
    </cfRule>
    <cfRule type="beginsWith" dxfId="7027" priority="18487" operator="beginsWith" text="Entreprise">
      <formula>LEFT(EK61,LEN("Entreprise"))="Entreprise"</formula>
    </cfRule>
    <cfRule type="beginsWith" dxfId="7026" priority="18488" operator="beginsWith" text="TOMIC">
      <formula>LEFT(EK61,LEN("TOMIC"))="TOMIC"</formula>
    </cfRule>
    <cfRule type="beginsWith" dxfId="7025" priority="18489" operator="beginsWith" text="Voltaire">
      <formula>LEFT(EK61,LEN("Voltaire"))="Voltaire"</formula>
    </cfRule>
  </conditionalFormatting>
  <conditionalFormatting sqref="EK96:EL105">
    <cfRule type="beginsWith" dxfId="7024" priority="19844" operator="beginsWith" text="Lancement Projet fil rouge">
      <formula>LEFT(EK96,LEN("Lancement Projet fil rouge"))="Lancement Projet fil rouge"</formula>
    </cfRule>
    <cfRule type="beginsWith" dxfId="7023" priority="19845" operator="beginsWith" text="Vacances">
      <formula>LEFT(EK96,LEN("Vacances"))="Vacances"</formula>
    </cfRule>
    <cfRule type="beginsWith" dxfId="7022" priority="19846" operator="beginsWith" text="Séminaire d'intégration">
      <formula>LEFT(EK96,LEN("Séminaire d'intégration"))="Séminaire d'intégration"</formula>
    </cfRule>
    <cfRule type="beginsWith" dxfId="7021" priority="19847" operator="beginsWith" text="Accueil">
      <formula>LEFT(EK96,LEN("Accueil"))="Accueil"</formula>
    </cfRule>
    <cfRule type="beginsWith" dxfId="7020" priority="19848" operator="beginsWith" text="TOPHYC">
      <formula>LEFT(EK96,LEN("TOPHYC"))="TOPHYC"</formula>
    </cfRule>
    <cfRule type="beginsWith" dxfId="7019" priority="19849" operator="beginsWith" text="Global Exam">
      <formula>LEFT(EK96,LEN("Global Exam"))="Global Exam"</formula>
    </cfRule>
    <cfRule type="beginsWith" dxfId="7018" priority="19850" operator="beginsWith" text="Stage">
      <formula>LEFT(EK96,LEN("Stage"))="Stage"</formula>
    </cfRule>
    <cfRule type="beginsWith" dxfId="7017" priority="19851" operator="beginsWith" text="Entreprise">
      <formula>LEFT(EK96,LEN("Entreprise"))="Entreprise"</formula>
    </cfRule>
    <cfRule type="beginsWith" dxfId="7016" priority="19852" operator="beginsWith" text="TOMIC">
      <formula>LEFT(EK96,LEN("TOMIC"))="TOMIC"</formula>
    </cfRule>
    <cfRule type="beginsWith" dxfId="7015" priority="19853" operator="beginsWith" text="Voltaire">
      <formula>LEFT(EK96,LEN("Voltaire"))="Voltaire"</formula>
    </cfRule>
  </conditionalFormatting>
  <conditionalFormatting sqref="EL56:EL60">
    <cfRule type="beginsWith" dxfId="7014" priority="10838" operator="beginsWith" text="Lancement Projet fil rouge">
      <formula>LEFT(EL56,LEN("Lancement Projet fil rouge"))="Lancement Projet fil rouge"</formula>
    </cfRule>
    <cfRule type="beginsWith" dxfId="7013" priority="10839" operator="beginsWith" text="Vacances">
      <formula>LEFT(EL56,LEN("Vacances"))="Vacances"</formula>
    </cfRule>
    <cfRule type="beginsWith" dxfId="7012" priority="10840" operator="beginsWith" text="Séminaire d'intégration">
      <formula>LEFT(EL56,LEN("Séminaire d'intégration"))="Séminaire d'intégration"</formula>
    </cfRule>
    <cfRule type="beginsWith" dxfId="7011" priority="10841" operator="beginsWith" text="Accueil">
      <formula>LEFT(EL56,LEN("Accueil"))="Accueil"</formula>
    </cfRule>
    <cfRule type="beginsWith" dxfId="7010" priority="10842" operator="beginsWith" text="TOPHYC">
      <formula>LEFT(EL56,LEN("TOPHYC"))="TOPHYC"</formula>
    </cfRule>
    <cfRule type="beginsWith" dxfId="7009" priority="10843" operator="beginsWith" text="Global Exam">
      <formula>LEFT(EL56,LEN("Global Exam"))="Global Exam"</formula>
    </cfRule>
    <cfRule type="beginsWith" dxfId="7008" priority="10844" operator="beginsWith" text="Stage">
      <formula>LEFT(EL56,LEN("Stage"))="Stage"</formula>
    </cfRule>
    <cfRule type="beginsWith" dxfId="7007" priority="10845" operator="beginsWith" text="Entreprise">
      <formula>LEFT(EL56,LEN("Entreprise"))="Entreprise"</formula>
    </cfRule>
    <cfRule type="beginsWith" dxfId="7006" priority="10846" operator="beginsWith" text="TOMIC">
      <formula>LEFT(EL56,LEN("TOMIC"))="TOMIC"</formula>
    </cfRule>
    <cfRule type="beginsWith" dxfId="7005" priority="10847" operator="beginsWith" text="Voltaire">
      <formula>LEFT(EL56,LEN("Voltaire"))="Voltaire"</formula>
    </cfRule>
  </conditionalFormatting>
  <conditionalFormatting sqref="EL61:EL65">
    <cfRule type="beginsWith" dxfId="7004" priority="10758" operator="beginsWith" text="Lancement Projet fil rouge">
      <formula>LEFT(EL61,LEN("Lancement Projet fil rouge"))="Lancement Projet fil rouge"</formula>
    </cfRule>
    <cfRule type="beginsWith" dxfId="7003" priority="10759" operator="beginsWith" text="Vacances">
      <formula>LEFT(EL61,LEN("Vacances"))="Vacances"</formula>
    </cfRule>
    <cfRule type="beginsWith" dxfId="7002" priority="10760" operator="beginsWith" text="Séminaire d'intégration">
      <formula>LEFT(EL61,LEN("Séminaire d'intégration"))="Séminaire d'intégration"</formula>
    </cfRule>
    <cfRule type="beginsWith" dxfId="7001" priority="10761" operator="beginsWith" text="Accueil">
      <formula>LEFT(EL61,LEN("Accueil"))="Accueil"</formula>
    </cfRule>
    <cfRule type="beginsWith" dxfId="7000" priority="10762" operator="beginsWith" text="TOPHYC">
      <formula>LEFT(EL61,LEN("TOPHYC"))="TOPHYC"</formula>
    </cfRule>
    <cfRule type="beginsWith" dxfId="6999" priority="10763" operator="beginsWith" text="Global Exam">
      <formula>LEFT(EL61,LEN("Global Exam"))="Global Exam"</formula>
    </cfRule>
    <cfRule type="beginsWith" dxfId="6998" priority="10764" operator="beginsWith" text="Stage">
      <formula>LEFT(EL61,LEN("Stage"))="Stage"</formula>
    </cfRule>
    <cfRule type="beginsWith" dxfId="6997" priority="10765" operator="beginsWith" text="Entreprise">
      <formula>LEFT(EL61,LEN("Entreprise"))="Entreprise"</formula>
    </cfRule>
    <cfRule type="beginsWith" dxfId="6996" priority="10766" operator="beginsWith" text="TOMIC">
      <formula>LEFT(EL61,LEN("TOMIC"))="TOMIC"</formula>
    </cfRule>
    <cfRule type="beginsWith" dxfId="6995" priority="10767" operator="beginsWith" text="Voltaire">
      <formula>LEFT(EL61,LEN("Voltaire"))="Voltaire"</formula>
    </cfRule>
  </conditionalFormatting>
  <conditionalFormatting sqref="EL67">
    <cfRule type="beginsWith" dxfId="6994" priority="21661" operator="beginsWith" text="Lancement Projet fil rouge">
      <formula>LEFT(EL67,LEN("Lancement Projet fil rouge"))="Lancement Projet fil rouge"</formula>
    </cfRule>
    <cfRule type="beginsWith" dxfId="6993" priority="21662" operator="beginsWith" text="Vacances">
      <formula>LEFT(EL67,LEN("Vacances"))="Vacances"</formula>
    </cfRule>
    <cfRule type="beginsWith" dxfId="6992" priority="21663" operator="beginsWith" text="Séminaire d'intégration">
      <formula>LEFT(EL67,LEN("Séminaire d'intégration"))="Séminaire d'intégration"</formula>
    </cfRule>
    <cfRule type="beginsWith" dxfId="6991" priority="21664" operator="beginsWith" text="Accueil">
      <formula>LEFT(EL67,LEN("Accueil"))="Accueil"</formula>
    </cfRule>
    <cfRule type="beginsWith" dxfId="6990" priority="21665" operator="beginsWith" text="TOPHYC">
      <formula>LEFT(EL67,LEN("TOPHYC"))="TOPHYC"</formula>
    </cfRule>
    <cfRule type="beginsWith" dxfId="6989" priority="21666" operator="beginsWith" text="Global Exam">
      <formula>LEFT(EL67,LEN("Global Exam"))="Global Exam"</formula>
    </cfRule>
    <cfRule type="beginsWith" dxfId="6988" priority="21667" operator="beginsWith" text="Stage">
      <formula>LEFT(EL67,LEN("Stage"))="Stage"</formula>
    </cfRule>
    <cfRule type="beginsWith" dxfId="6987" priority="21668" operator="beginsWith" text="Entreprise">
      <formula>LEFT(EL67,LEN("Entreprise"))="Entreprise"</formula>
    </cfRule>
    <cfRule type="beginsWith" dxfId="6986" priority="21669" operator="beginsWith" text="TOMIC">
      <formula>LEFT(EL67,LEN("TOMIC"))="TOMIC"</formula>
    </cfRule>
    <cfRule type="beginsWith" dxfId="6985" priority="21670" operator="beginsWith" text="Voltaire">
      <formula>LEFT(EL67,LEN("Voltaire"))="Voltaire"</formula>
    </cfRule>
  </conditionalFormatting>
  <conditionalFormatting sqref="EL68:EL70">
    <cfRule type="beginsWith" dxfId="6984" priority="13688" operator="beginsWith" text="Lancement Projet fil rouge">
      <formula>LEFT(EL68,LEN("Lancement Projet fil rouge"))="Lancement Projet fil rouge"</formula>
    </cfRule>
    <cfRule type="beginsWith" dxfId="6983" priority="13689" operator="beginsWith" text="Vacances">
      <formula>LEFT(EL68,LEN("Vacances"))="Vacances"</formula>
    </cfRule>
    <cfRule type="beginsWith" dxfId="6982" priority="13690" operator="beginsWith" text="Séminaire d'intégration">
      <formula>LEFT(EL68,LEN("Séminaire d'intégration"))="Séminaire d'intégration"</formula>
    </cfRule>
    <cfRule type="beginsWith" dxfId="6981" priority="13691" operator="beginsWith" text="Accueil">
      <formula>LEFT(EL68,LEN("Accueil"))="Accueil"</formula>
    </cfRule>
    <cfRule type="beginsWith" dxfId="6980" priority="13692" operator="beginsWith" text="TOPHYC">
      <formula>LEFT(EL68,LEN("TOPHYC"))="TOPHYC"</formula>
    </cfRule>
    <cfRule type="beginsWith" dxfId="6979" priority="13693" operator="beginsWith" text="Global Exam">
      <formula>LEFT(EL68,LEN("Global Exam"))="Global Exam"</formula>
    </cfRule>
    <cfRule type="beginsWith" dxfId="6978" priority="13694" operator="beginsWith" text="Stage">
      <formula>LEFT(EL68,LEN("Stage"))="Stage"</formula>
    </cfRule>
    <cfRule type="beginsWith" dxfId="6977" priority="13695" operator="beginsWith" text="Entreprise">
      <formula>LEFT(EL68,LEN("Entreprise"))="Entreprise"</formula>
    </cfRule>
    <cfRule type="beginsWith" dxfId="6976" priority="13696" operator="beginsWith" text="TOMIC">
      <formula>LEFT(EL68,LEN("TOMIC"))="TOMIC"</formula>
    </cfRule>
    <cfRule type="beginsWith" dxfId="6975" priority="13697" operator="beginsWith" text="Voltaire">
      <formula>LEFT(EL68,LEN("Voltaire"))="Voltaire"</formula>
    </cfRule>
  </conditionalFormatting>
  <conditionalFormatting sqref="EN1:EN2 EN5 EN44:EN59">
    <cfRule type="beginsWith" dxfId="6974" priority="12125" operator="beginsWith" text="Projet professionnel : Séminaire PFI">
      <formula>LEFT(EN1,LEN("Projet professionnel : Séminaire PFI"))="Projet professionnel : Séminaire PFI"</formula>
    </cfRule>
    <cfRule type="beginsWith" dxfId="6973" priority="12126" operator="beginsWith" text="Lancement Projet fil rouge">
      <formula>LEFT(EN1,LEN("Lancement Projet fil rouge"))="Lancement Projet fil rouge"</formula>
    </cfRule>
    <cfRule type="beginsWith" dxfId="6972" priority="12127" operator="beginsWith" text="Vacances">
      <formula>LEFT(EN1,LEN("Vacances"))="Vacances"</formula>
    </cfRule>
    <cfRule type="beginsWith" dxfId="6971" priority="12128" operator="beginsWith" text="Séminaire d'intégration">
      <formula>LEFT(EN1,LEN("Séminaire d'intégration"))="Séminaire d'intégration"</formula>
    </cfRule>
    <cfRule type="beginsWith" dxfId="6970" priority="12129" operator="beginsWith" text="Accueil">
      <formula>LEFT(EN1,LEN("Accueil"))="Accueil"</formula>
    </cfRule>
    <cfRule type="beginsWith" dxfId="6969" priority="12130" operator="beginsWith" text="Stage">
      <formula>LEFT(EN1,LEN("Stage"))="Stage"</formula>
    </cfRule>
    <cfRule type="beginsWith" dxfId="6968" priority="12131" operator="beginsWith" text="Entreprise">
      <formula>LEFT(EN1,LEN("Entreprise"))="Entreprise"</formula>
    </cfRule>
    <cfRule type="beginsWith" dxfId="6967" priority="12132" operator="beginsWith" text="Voltaire">
      <formula>LEFT(EN1,LEN("Voltaire"))="Voltaire"</formula>
    </cfRule>
  </conditionalFormatting>
  <conditionalFormatting sqref="EN3">
    <cfRule type="beginsWith" dxfId="6966" priority="12046" operator="beginsWith" text="Lancement Projet fil rouge">
      <formula>LEFT(EN3,LEN("Lancement Projet fil rouge"))="Lancement Projet fil rouge"</formula>
    </cfRule>
    <cfRule type="beginsWith" dxfId="6965" priority="12047" operator="beginsWith" text="Vacances">
      <formula>LEFT(EN3,LEN("Vacances"))="Vacances"</formula>
    </cfRule>
    <cfRule type="beginsWith" dxfId="6964" priority="12048" operator="beginsWith" text="Séminaire d'intégration">
      <formula>LEFT(EN3,LEN("Séminaire d'intégration"))="Séminaire d'intégration"</formula>
    </cfRule>
    <cfRule type="beginsWith" dxfId="6963" priority="12049" operator="beginsWith" text="Accueil">
      <formula>LEFT(EN3,LEN("Accueil"))="Accueil"</formula>
    </cfRule>
    <cfRule type="beginsWith" dxfId="6962" priority="12050" operator="beginsWith" text="Stage">
      <formula>LEFT(EN3,LEN("Stage"))="Stage"</formula>
    </cfRule>
    <cfRule type="beginsWith" dxfId="6961" priority="12051" operator="beginsWith" text="Entreprise">
      <formula>LEFT(EN3,LEN("Entreprise"))="Entreprise"</formula>
    </cfRule>
    <cfRule type="beginsWith" dxfId="6960" priority="12052" operator="beginsWith" text="Voltaire">
      <formula>LEFT(EN3,LEN("Voltaire"))="Voltaire"</formula>
    </cfRule>
  </conditionalFormatting>
  <conditionalFormatting sqref="EN16">
    <cfRule type="beginsWith" dxfId="6959" priority="12101" operator="beginsWith" text="Projet professionnel : Séminaire PFI">
      <formula>LEFT(EN16,LEN("Projet professionnel : Séminaire PFI"))="Projet professionnel : Séminaire PFI"</formula>
    </cfRule>
    <cfRule type="beginsWith" dxfId="6958" priority="12102" operator="beginsWith" text="Lancement Projet fil rouge">
      <formula>LEFT(EN16,LEN("Lancement Projet fil rouge"))="Lancement Projet fil rouge"</formula>
    </cfRule>
    <cfRule type="beginsWith" dxfId="6957" priority="12103" operator="beginsWith" text="Vacances">
      <formula>LEFT(EN16,LEN("Vacances"))="Vacances"</formula>
    </cfRule>
    <cfRule type="beginsWith" dxfId="6956" priority="12104" operator="beginsWith" text="Séminaire d'intégration">
      <formula>LEFT(EN16,LEN("Séminaire d'intégration"))="Séminaire d'intégration"</formula>
    </cfRule>
    <cfRule type="beginsWith" dxfId="6955" priority="12105" operator="beginsWith" text="Accueil">
      <formula>LEFT(EN16,LEN("Accueil"))="Accueil"</formula>
    </cfRule>
    <cfRule type="beginsWith" dxfId="6954" priority="12106" operator="beginsWith" text="Stage">
      <formula>LEFT(EN16,LEN("Stage"))="Stage"</formula>
    </cfRule>
    <cfRule type="beginsWith" dxfId="6953" priority="12107" operator="beginsWith" text="Entreprise">
      <formula>LEFT(EN16,LEN("Entreprise"))="Entreprise"</formula>
    </cfRule>
    <cfRule type="beginsWith" dxfId="6952" priority="12108" operator="beginsWith" text="Voltaire">
      <formula>LEFT(EN16,LEN("Voltaire"))="Voltaire"</formula>
    </cfRule>
  </conditionalFormatting>
  <conditionalFormatting sqref="EN26">
    <cfRule type="beginsWith" dxfId="6951" priority="12109" operator="beginsWith" text="Projet professionnel : Séminaire PFI">
      <formula>LEFT(EN26,LEN("Projet professionnel : Séminaire PFI"))="Projet professionnel : Séminaire PFI"</formula>
    </cfRule>
    <cfRule type="beginsWith" dxfId="6950" priority="12110" operator="beginsWith" text="Lancement Projet fil rouge">
      <formula>LEFT(EN26,LEN("Lancement Projet fil rouge"))="Lancement Projet fil rouge"</formula>
    </cfRule>
    <cfRule type="beginsWith" dxfId="6949" priority="12111" operator="beginsWith" text="Vacances">
      <formula>LEFT(EN26,LEN("Vacances"))="Vacances"</formula>
    </cfRule>
    <cfRule type="beginsWith" dxfId="6948" priority="12112" operator="beginsWith" text="Séminaire d'intégration">
      <formula>LEFT(EN26,LEN("Séminaire d'intégration"))="Séminaire d'intégration"</formula>
    </cfRule>
    <cfRule type="beginsWith" dxfId="6947" priority="12113" operator="beginsWith" text="Accueil">
      <formula>LEFT(EN26,LEN("Accueil"))="Accueil"</formula>
    </cfRule>
    <cfRule type="beginsWith" dxfId="6946" priority="12114" operator="beginsWith" text="Stage">
      <formula>LEFT(EN26,LEN("Stage"))="Stage"</formula>
    </cfRule>
    <cfRule type="beginsWith" dxfId="6945" priority="12115" operator="beginsWith" text="Entreprise">
      <formula>LEFT(EN26,LEN("Entreprise"))="Entreprise"</formula>
    </cfRule>
    <cfRule type="beginsWith" dxfId="6944" priority="12116" operator="beginsWith" text="Voltaire">
      <formula>LEFT(EN26,LEN("Voltaire"))="Voltaire"</formula>
    </cfRule>
  </conditionalFormatting>
  <conditionalFormatting sqref="EN36:EN43">
    <cfRule type="beginsWith" dxfId="6943" priority="12085" operator="beginsWith" text="Projet professionnel : Séminaire PFI">
      <formula>LEFT(EN36,LEN("Projet professionnel : Séminaire PFI"))="Projet professionnel : Séminaire PFI"</formula>
    </cfRule>
    <cfRule type="beginsWith" dxfId="6942" priority="12086" operator="beginsWith" text="Lancement Projet fil rouge">
      <formula>LEFT(EN36,LEN("Lancement Projet fil rouge"))="Lancement Projet fil rouge"</formula>
    </cfRule>
    <cfRule type="beginsWith" dxfId="6941" priority="12087" operator="beginsWith" text="Vacances">
      <formula>LEFT(EN36,LEN("Vacances"))="Vacances"</formula>
    </cfRule>
    <cfRule type="beginsWith" dxfId="6940" priority="12088" operator="beginsWith" text="Séminaire d'intégration">
      <formula>LEFT(EN36,LEN("Séminaire d'intégration"))="Séminaire d'intégration"</formula>
    </cfRule>
    <cfRule type="beginsWith" dxfId="6939" priority="12089" operator="beginsWith" text="Accueil">
      <formula>LEFT(EN36,LEN("Accueil"))="Accueil"</formula>
    </cfRule>
    <cfRule type="beginsWith" dxfId="6938" priority="12090" operator="beginsWith" text="Stage">
      <formula>LEFT(EN36,LEN("Stage"))="Stage"</formula>
    </cfRule>
    <cfRule type="beginsWith" dxfId="6937" priority="12091" operator="beginsWith" text="Entreprise">
      <formula>LEFT(EN36,LEN("Entreprise"))="Entreprise"</formula>
    </cfRule>
    <cfRule type="beginsWith" dxfId="6936" priority="12092" operator="beginsWith" text="Voltaire">
      <formula>LEFT(EN36,LEN("Voltaire"))="Voltaire"</formula>
    </cfRule>
  </conditionalFormatting>
  <conditionalFormatting sqref="EN60">
    <cfRule type="beginsWith" dxfId="6935" priority="12093" operator="beginsWith" text="Projet professionnel : Séminaire PFI">
      <formula>LEFT(EN60,LEN("Projet professionnel : Séminaire PFI"))="Projet professionnel : Séminaire PFI"</formula>
    </cfRule>
    <cfRule type="beginsWith" dxfId="6934" priority="12094" operator="beginsWith" text="Lancement Projet fil rouge">
      <formula>LEFT(EN60,LEN("Lancement Projet fil rouge"))="Lancement Projet fil rouge"</formula>
    </cfRule>
    <cfRule type="beginsWith" dxfId="6933" priority="12095" operator="beginsWith" text="Vacances">
      <formula>LEFT(EN60,LEN("Vacances"))="Vacances"</formula>
    </cfRule>
    <cfRule type="beginsWith" dxfId="6932" priority="12096" operator="beginsWith" text="Séminaire d'intégration">
      <formula>LEFT(EN60,LEN("Séminaire d'intégration"))="Séminaire d'intégration"</formula>
    </cfRule>
    <cfRule type="beginsWith" dxfId="6931" priority="12097" operator="beginsWith" text="Accueil">
      <formula>LEFT(EN60,LEN("Accueil"))="Accueil"</formula>
    </cfRule>
    <cfRule type="beginsWith" dxfId="6930" priority="12098" operator="beginsWith" text="Stage">
      <formula>LEFT(EN60,LEN("Stage"))="Stage"</formula>
    </cfRule>
    <cfRule type="beginsWith" dxfId="6929" priority="12099" operator="beginsWith" text="Entreprise">
      <formula>LEFT(EN60,LEN("Entreprise"))="Entreprise"</formula>
    </cfRule>
    <cfRule type="beginsWith" dxfId="6928" priority="12100" operator="beginsWith" text="Voltaire">
      <formula>LEFT(EN60,LEN("Voltaire"))="Voltaire"</formula>
    </cfRule>
  </conditionalFormatting>
  <conditionalFormatting sqref="EN61">
    <cfRule type="beginsWith" dxfId="6927" priority="12077" operator="beginsWith" text="Projet professionnel : Séminaire PFI">
      <formula>LEFT(EN61,LEN("Projet professionnel : Séminaire PFI"))="Projet professionnel : Séminaire PFI"</formula>
    </cfRule>
    <cfRule type="beginsWith" dxfId="6926" priority="12078" operator="beginsWith" text="Lancement Projet fil rouge">
      <formula>LEFT(EN61,LEN("Lancement Projet fil rouge"))="Lancement Projet fil rouge"</formula>
    </cfRule>
    <cfRule type="beginsWith" dxfId="6925" priority="12079" operator="beginsWith" text="Vacances">
      <formula>LEFT(EN61,LEN("Vacances"))="Vacances"</formula>
    </cfRule>
    <cfRule type="beginsWith" dxfId="6924" priority="12080" operator="beginsWith" text="Séminaire d'intégration">
      <formula>LEFT(EN61,LEN("Séminaire d'intégration"))="Séminaire d'intégration"</formula>
    </cfRule>
    <cfRule type="beginsWith" dxfId="6923" priority="12081" operator="beginsWith" text="Accueil">
      <formula>LEFT(EN61,LEN("Accueil"))="Accueil"</formula>
    </cfRule>
    <cfRule type="beginsWith" dxfId="6922" priority="12082" operator="beginsWith" text="Stage">
      <formula>LEFT(EN61,LEN("Stage"))="Stage"</formula>
    </cfRule>
    <cfRule type="beginsWith" dxfId="6921" priority="12083" operator="beginsWith" text="Entreprise">
      <formula>LEFT(EN61,LEN("Entreprise"))="Entreprise"</formula>
    </cfRule>
    <cfRule type="beginsWith" dxfId="6920" priority="12084" operator="beginsWith" text="Voltaire">
      <formula>LEFT(EN61,LEN("Voltaire"))="Voltaire"</formula>
    </cfRule>
  </conditionalFormatting>
  <conditionalFormatting sqref="EN111">
    <cfRule type="beginsWith" dxfId="6919" priority="11643" operator="beginsWith" text="Projet professionnel : Séminaire PFI">
      <formula>LEFT(EN111,LEN("Projet professionnel : Séminaire PFI"))="Projet professionnel : Séminaire PFI"</formula>
    </cfRule>
    <cfRule type="beginsWith" dxfId="6918" priority="11644" operator="beginsWith" text="Lancement Projet fil rouge">
      <formula>LEFT(EN111,LEN("Lancement Projet fil rouge"))="Lancement Projet fil rouge"</formula>
    </cfRule>
    <cfRule type="beginsWith" dxfId="6917" priority="11645" operator="beginsWith" text="Vacances">
      <formula>LEFT(EN111,LEN("Vacances"))="Vacances"</formula>
    </cfRule>
    <cfRule type="beginsWith" dxfId="6916" priority="11646" operator="beginsWith" text="Séminaire d'intégration">
      <formula>LEFT(EN111,LEN("Séminaire d'intégration"))="Séminaire d'intégration"</formula>
    </cfRule>
    <cfRule type="beginsWith" dxfId="6915" priority="11647" operator="beginsWith" text="Accueil">
      <formula>LEFT(EN111,LEN("Accueil"))="Accueil"</formula>
    </cfRule>
    <cfRule type="beginsWith" dxfId="6914" priority="11648" operator="beginsWith" text="Stage">
      <formula>LEFT(EN111,LEN("Stage"))="Stage"</formula>
    </cfRule>
    <cfRule type="beginsWith" dxfId="6913" priority="11649" operator="beginsWith" text="Entreprise">
      <formula>LEFT(EN111,LEN("Entreprise"))="Entreprise"</formula>
    </cfRule>
    <cfRule type="beginsWith" dxfId="6912" priority="11650" operator="beginsWith" text="Voltaire">
      <formula>LEFT(EN111,LEN("Voltaire"))="Voltaire"</formula>
    </cfRule>
  </conditionalFormatting>
  <conditionalFormatting sqref="EN116">
    <cfRule type="beginsWith" dxfId="6911" priority="11627" operator="beginsWith" text="Projet professionnel : Séminaire PFI">
      <formula>LEFT(EN116,LEN("Projet professionnel : Séminaire PFI"))="Projet professionnel : Séminaire PFI"</formula>
    </cfRule>
    <cfRule type="beginsWith" dxfId="6910" priority="11628" operator="beginsWith" text="Lancement Projet fil rouge">
      <formula>LEFT(EN116,LEN("Lancement Projet fil rouge"))="Lancement Projet fil rouge"</formula>
    </cfRule>
    <cfRule type="beginsWith" dxfId="6909" priority="11629" operator="beginsWith" text="Vacances">
      <formula>LEFT(EN116,LEN("Vacances"))="Vacances"</formula>
    </cfRule>
    <cfRule type="beginsWith" dxfId="6908" priority="11630" operator="beginsWith" text="Séminaire d'intégration">
      <formula>LEFT(EN116,LEN("Séminaire d'intégration"))="Séminaire d'intégration"</formula>
    </cfRule>
    <cfRule type="beginsWith" dxfId="6907" priority="11631" operator="beginsWith" text="Accueil">
      <formula>LEFT(EN116,LEN("Accueil"))="Accueil"</formula>
    </cfRule>
    <cfRule type="beginsWith" dxfId="6906" priority="11632" operator="beginsWith" text="Stage">
      <formula>LEFT(EN116,LEN("Stage"))="Stage"</formula>
    </cfRule>
    <cfRule type="beginsWith" dxfId="6905" priority="11633" operator="beginsWith" text="Entreprise">
      <formula>LEFT(EN116,LEN("Entreprise"))="Entreprise"</formula>
    </cfRule>
    <cfRule type="beginsWith" dxfId="6904" priority="11634" operator="beginsWith" text="Voltaire">
      <formula>LEFT(EN116,LEN("Voltaire"))="Voltaire"</formula>
    </cfRule>
    <cfRule type="beginsWith" dxfId="6903" priority="11635" operator="beginsWith" text="Projet professionnel : Séminaire PFI">
      <formula>LEFT(EN116,LEN("Projet professionnel : Séminaire PFI"))="Projet professionnel : Séminaire PFI"</formula>
    </cfRule>
    <cfRule type="beginsWith" dxfId="6902" priority="11636" operator="beginsWith" text="Lancement Projet fil rouge">
      <formula>LEFT(EN116,LEN("Lancement Projet fil rouge"))="Lancement Projet fil rouge"</formula>
    </cfRule>
    <cfRule type="beginsWith" dxfId="6901" priority="11637" operator="beginsWith" text="Vacances">
      <formula>LEFT(EN116,LEN("Vacances"))="Vacances"</formula>
    </cfRule>
    <cfRule type="beginsWith" dxfId="6900" priority="11638" operator="beginsWith" text="Séminaire d'intégration">
      <formula>LEFT(EN116,LEN("Séminaire d'intégration"))="Séminaire d'intégration"</formula>
    </cfRule>
    <cfRule type="beginsWith" dxfId="6899" priority="11639" operator="beginsWith" text="Accueil">
      <formula>LEFT(EN116,LEN("Accueil"))="Accueil"</formula>
    </cfRule>
    <cfRule type="beginsWith" dxfId="6898" priority="11640" operator="beginsWith" text="Stage">
      <formula>LEFT(EN116,LEN("Stage"))="Stage"</formula>
    </cfRule>
    <cfRule type="beginsWith" dxfId="6897" priority="11641" operator="beginsWith" text="Entreprise">
      <formula>LEFT(EN116,LEN("Entreprise"))="Entreprise"</formula>
    </cfRule>
    <cfRule type="beginsWith" dxfId="6896" priority="11642" operator="beginsWith" text="Voltaire">
      <formula>LEFT(EN116,LEN("Voltaire"))="Voltaire"</formula>
    </cfRule>
  </conditionalFormatting>
  <conditionalFormatting sqref="EN126:EN130 EN136">
    <cfRule type="beginsWith" dxfId="6895" priority="11619" operator="beginsWith" text="Projet professionnel : Séminaire PFI">
      <formula>LEFT(EN126,LEN("Projet professionnel : Séminaire PFI"))="Projet professionnel : Séminaire PFI"</formula>
    </cfRule>
    <cfRule type="beginsWith" dxfId="6894" priority="11620" operator="beginsWith" text="Lancement Projet fil rouge">
      <formula>LEFT(EN126,LEN("Lancement Projet fil rouge"))="Lancement Projet fil rouge"</formula>
    </cfRule>
    <cfRule type="beginsWith" dxfId="6893" priority="11621" operator="beginsWith" text="Vacances">
      <formula>LEFT(EN126,LEN("Vacances"))="Vacances"</formula>
    </cfRule>
    <cfRule type="beginsWith" dxfId="6892" priority="11622" operator="beginsWith" text="Séminaire d'intégration">
      <formula>LEFT(EN126,LEN("Séminaire d'intégration"))="Séminaire d'intégration"</formula>
    </cfRule>
    <cfRule type="beginsWith" dxfId="6891" priority="11623" operator="beginsWith" text="Accueil">
      <formula>LEFT(EN126,LEN("Accueil"))="Accueil"</formula>
    </cfRule>
    <cfRule type="beginsWith" dxfId="6890" priority="11624" operator="beginsWith" text="Stage">
      <formula>LEFT(EN126,LEN("Stage"))="Stage"</formula>
    </cfRule>
    <cfRule type="beginsWith" dxfId="6889" priority="11625" operator="beginsWith" text="Entreprise">
      <formula>LEFT(EN126,LEN("Entreprise"))="Entreprise"</formula>
    </cfRule>
    <cfRule type="beginsWith" dxfId="6888" priority="11626" operator="beginsWith" text="Voltaire">
      <formula>LEFT(EN126,LEN("Voltaire"))="Voltaire"</formula>
    </cfRule>
  </conditionalFormatting>
  <conditionalFormatting sqref="EN131">
    <cfRule type="beginsWith" dxfId="6887" priority="11559" operator="beginsWith" text="Projet professionnel : Séminaire PFI">
      <formula>LEFT(EN131,LEN("Projet professionnel : Séminaire PFI"))="Projet professionnel : Séminaire PFI"</formula>
    </cfRule>
    <cfRule type="beginsWith" dxfId="6886" priority="11560" operator="beginsWith" text="Lancement Projet fil rouge">
      <formula>LEFT(EN131,LEN("Lancement Projet fil rouge"))="Lancement Projet fil rouge"</formula>
    </cfRule>
    <cfRule type="beginsWith" dxfId="6885" priority="11561" operator="beginsWith" text="Vacances">
      <formula>LEFT(EN131,LEN("Vacances"))="Vacances"</formula>
    </cfRule>
    <cfRule type="beginsWith" dxfId="6884" priority="11562" operator="beginsWith" text="Séminaire d'intégration">
      <formula>LEFT(EN131,LEN("Séminaire d'intégration"))="Séminaire d'intégration"</formula>
    </cfRule>
    <cfRule type="beginsWith" dxfId="6883" priority="11563" operator="beginsWith" text="Accueil">
      <formula>LEFT(EN131,LEN("Accueil"))="Accueil"</formula>
    </cfRule>
    <cfRule type="beginsWith" dxfId="6882" priority="11564" operator="beginsWith" text="Stage">
      <formula>LEFT(EN131,LEN("Stage"))="Stage"</formula>
    </cfRule>
    <cfRule type="beginsWith" dxfId="6881" priority="11565" operator="beginsWith" text="Entreprise">
      <formula>LEFT(EN131,LEN("Entreprise"))="Entreprise"</formula>
    </cfRule>
    <cfRule type="beginsWith" dxfId="6880" priority="11566" operator="beginsWith" text="Voltaire">
      <formula>LEFT(EN131,LEN("Voltaire"))="Voltaire"</formula>
    </cfRule>
    <cfRule type="beginsWith" dxfId="6879" priority="11567" operator="beginsWith" text="Projet professionnel : Séminaire PFI">
      <formula>LEFT(EN131,LEN("Projet professionnel : Séminaire PFI"))="Projet professionnel : Séminaire PFI"</formula>
    </cfRule>
    <cfRule type="beginsWith" dxfId="6878" priority="11568" operator="beginsWith" text="Lancement Projet fil rouge">
      <formula>LEFT(EN131,LEN("Lancement Projet fil rouge"))="Lancement Projet fil rouge"</formula>
    </cfRule>
    <cfRule type="beginsWith" dxfId="6877" priority="11569" operator="beginsWith" text="Vacances">
      <formula>LEFT(EN131,LEN("Vacances"))="Vacances"</formula>
    </cfRule>
    <cfRule type="beginsWith" dxfId="6876" priority="11570" operator="beginsWith" text="Séminaire d'intégration">
      <formula>LEFT(EN131,LEN("Séminaire d'intégration"))="Séminaire d'intégration"</formula>
    </cfRule>
    <cfRule type="beginsWith" dxfId="6875" priority="11571" operator="beginsWith" text="Accueil">
      <formula>LEFT(EN131,LEN("Accueil"))="Accueil"</formula>
    </cfRule>
    <cfRule type="beginsWith" dxfId="6874" priority="11572" operator="beginsWith" text="Stage">
      <formula>LEFT(EN131,LEN("Stage"))="Stage"</formula>
    </cfRule>
    <cfRule type="beginsWith" dxfId="6873" priority="11573" operator="beginsWith" text="Entreprise">
      <formula>LEFT(EN131,LEN("Entreprise"))="Entreprise"</formula>
    </cfRule>
    <cfRule type="beginsWith" dxfId="6872" priority="11574" operator="beginsWith" text="Voltaire">
      <formula>LEFT(EN131,LEN("Voltaire"))="Voltaire"</formula>
    </cfRule>
  </conditionalFormatting>
  <conditionalFormatting sqref="EN137:EN139">
    <cfRule type="beginsWith" dxfId="6871" priority="11902" operator="beginsWith" text="Projet professionnel : Séminaire PFI">
      <formula>LEFT(EN137,LEN("Projet professionnel : Séminaire PFI"))="Projet professionnel : Séminaire PFI"</formula>
    </cfRule>
    <cfRule type="beginsWith" dxfId="6870" priority="11903" operator="beginsWith" text="Lancement Projet fil rouge">
      <formula>LEFT(EN137,LEN("Lancement Projet fil rouge"))="Lancement Projet fil rouge"</formula>
    </cfRule>
    <cfRule type="beginsWith" dxfId="6869" priority="11904" operator="beginsWith" text="Vacances">
      <formula>LEFT(EN137,LEN("Vacances"))="Vacances"</formula>
    </cfRule>
    <cfRule type="beginsWith" dxfId="6868" priority="11905" operator="beginsWith" text="Séminaire d'intégration">
      <formula>LEFT(EN137,LEN("Séminaire d'intégration"))="Séminaire d'intégration"</formula>
    </cfRule>
    <cfRule type="beginsWith" dxfId="6867" priority="11906" operator="beginsWith" text="Accueil">
      <formula>LEFT(EN137,LEN("Accueil"))="Accueil"</formula>
    </cfRule>
    <cfRule type="beginsWith" dxfId="6866" priority="11907" operator="beginsWith" text="Stage">
      <formula>LEFT(EN137,LEN("Stage"))="Stage"</formula>
    </cfRule>
    <cfRule type="beginsWith" dxfId="6865" priority="11908" operator="beginsWith" text="Entreprise">
      <formula>LEFT(EN137,LEN("Entreprise"))="Entreprise"</formula>
    </cfRule>
    <cfRule type="beginsWith" dxfId="6864" priority="11909" operator="beginsWith" text="Voltaire">
      <formula>LEFT(EN137,LEN("Voltaire"))="Voltaire"</formula>
    </cfRule>
  </conditionalFormatting>
  <conditionalFormatting sqref="EN140:EN148">
    <cfRule type="beginsWith" dxfId="6863" priority="11551" operator="beginsWith" text="Projet professionnel : Séminaire PFI">
      <formula>LEFT(EN140,LEN("Projet professionnel : Séminaire PFI"))="Projet professionnel : Séminaire PFI"</formula>
    </cfRule>
    <cfRule type="beginsWith" dxfId="6862" priority="11552" operator="beginsWith" text="Lancement Projet fil rouge">
      <formula>LEFT(EN140,LEN("Lancement Projet fil rouge"))="Lancement Projet fil rouge"</formula>
    </cfRule>
    <cfRule type="beginsWith" dxfId="6861" priority="11553" operator="beginsWith" text="Vacances">
      <formula>LEFT(EN140,LEN("Vacances"))="Vacances"</formula>
    </cfRule>
    <cfRule type="beginsWith" dxfId="6860" priority="11554" operator="beginsWith" text="Séminaire d'intégration">
      <formula>LEFT(EN140,LEN("Séminaire d'intégration"))="Séminaire d'intégration"</formula>
    </cfRule>
    <cfRule type="beginsWith" dxfId="6859" priority="11555" operator="beginsWith" text="Accueil">
      <formula>LEFT(EN140,LEN("Accueil"))="Accueil"</formula>
    </cfRule>
    <cfRule type="beginsWith" dxfId="6858" priority="11556" operator="beginsWith" text="Stage">
      <formula>LEFT(EN140,LEN("Stage"))="Stage"</formula>
    </cfRule>
    <cfRule type="beginsWith" dxfId="6857" priority="11557" operator="beginsWith" text="Entreprise">
      <formula>LEFT(EN140,LEN("Entreprise"))="Entreprise"</formula>
    </cfRule>
    <cfRule type="beginsWith" dxfId="6856" priority="11558" operator="beginsWith" text="Voltaire">
      <formula>LEFT(EN140,LEN("Voltaire"))="Voltaire"</formula>
    </cfRule>
  </conditionalFormatting>
  <conditionalFormatting sqref="EN149:EN150">
    <cfRule type="beginsWith" dxfId="6855" priority="12069" operator="beginsWith" text="Projet professionnel : Séminaire PFI">
      <formula>LEFT(EN149,LEN("Projet professionnel : Séminaire PFI"))="Projet professionnel : Séminaire PFI"</formula>
    </cfRule>
    <cfRule type="beginsWith" dxfId="6854" priority="12070" operator="beginsWith" text="Lancement Projet fil rouge">
      <formula>LEFT(EN149,LEN("Lancement Projet fil rouge"))="Lancement Projet fil rouge"</formula>
    </cfRule>
    <cfRule type="beginsWith" dxfId="6853" priority="12071" operator="beginsWith" text="Vacances">
      <formula>LEFT(EN149,LEN("Vacances"))="Vacances"</formula>
    </cfRule>
    <cfRule type="beginsWith" dxfId="6852" priority="12072" operator="beginsWith" text="Séminaire d'intégration">
      <formula>LEFT(EN149,LEN("Séminaire d'intégration"))="Séminaire d'intégration"</formula>
    </cfRule>
    <cfRule type="beginsWith" dxfId="6851" priority="12073" operator="beginsWith" text="Accueil">
      <formula>LEFT(EN149,LEN("Accueil"))="Accueil"</formula>
    </cfRule>
    <cfRule type="beginsWith" dxfId="6850" priority="12074" operator="beginsWith" text="Stage">
      <formula>LEFT(EN149,LEN("Stage"))="Stage"</formula>
    </cfRule>
    <cfRule type="beginsWith" dxfId="6849" priority="12075" operator="beginsWith" text="Entreprise">
      <formula>LEFT(EN149,LEN("Entreprise"))="Entreprise"</formula>
    </cfRule>
    <cfRule type="beginsWith" dxfId="6848" priority="12076" operator="beginsWith" text="Voltaire">
      <formula>LEFT(EN149,LEN("Voltaire"))="Voltaire"</formula>
    </cfRule>
  </conditionalFormatting>
  <conditionalFormatting sqref="EN151">
    <cfRule type="beginsWith" dxfId="6847" priority="11505" operator="beginsWith" text="Projet professionnel : Séminaire PFI">
      <formula>LEFT(EN151,LEN("Projet professionnel : Séminaire PFI"))="Projet professionnel : Séminaire PFI"</formula>
    </cfRule>
    <cfRule type="beginsWith" dxfId="6846" priority="11506" operator="beginsWith" text="Lancement Projet fil rouge">
      <formula>LEFT(EN151,LEN("Lancement Projet fil rouge"))="Lancement Projet fil rouge"</formula>
    </cfRule>
    <cfRule type="beginsWith" dxfId="6845" priority="11507" operator="beginsWith" text="Vacances">
      <formula>LEFT(EN151,LEN("Vacances"))="Vacances"</formula>
    </cfRule>
    <cfRule type="beginsWith" dxfId="6844" priority="11508" operator="beginsWith" text="Séminaire d'intégration">
      <formula>LEFT(EN151,LEN("Séminaire d'intégration"))="Séminaire d'intégration"</formula>
    </cfRule>
    <cfRule type="beginsWith" dxfId="6843" priority="11509" operator="beginsWith" text="Accueil">
      <formula>LEFT(EN151,LEN("Accueil"))="Accueil"</formula>
    </cfRule>
    <cfRule type="beginsWith" dxfId="6842" priority="11510" operator="beginsWith" text="Stage">
      <formula>LEFT(EN151,LEN("Stage"))="Stage"</formula>
    </cfRule>
    <cfRule type="beginsWith" dxfId="6841" priority="11511" operator="beginsWith" text="Entreprise">
      <formula>LEFT(EN151,LEN("Entreprise"))="Entreprise"</formula>
    </cfRule>
    <cfRule type="beginsWith" dxfId="6840" priority="11512" operator="beginsWith" text="Voltaire">
      <formula>LEFT(EN151,LEN("Voltaire"))="Voltaire"</formula>
    </cfRule>
  </conditionalFormatting>
  <conditionalFormatting sqref="EN156:EN160">
    <cfRule type="beginsWith" dxfId="6839" priority="11910" operator="beginsWith" text="Projet professionnel : Séminaire PFI">
      <formula>LEFT(EN156,LEN("Projet professionnel : Séminaire PFI"))="Projet professionnel : Séminaire PFI"</formula>
    </cfRule>
    <cfRule type="beginsWith" dxfId="6838" priority="11911" operator="beginsWith" text="Lancement Projet fil rouge">
      <formula>LEFT(EN156,LEN("Lancement Projet fil rouge"))="Lancement Projet fil rouge"</formula>
    </cfRule>
    <cfRule type="beginsWith" dxfId="6837" priority="11912" operator="beginsWith" text="Vacances">
      <formula>LEFT(EN156,LEN("Vacances"))="Vacances"</formula>
    </cfRule>
    <cfRule type="beginsWith" dxfId="6836" priority="11913" operator="beginsWith" text="Séminaire d'intégration">
      <formula>LEFT(EN156,LEN("Séminaire d'intégration"))="Séminaire d'intégration"</formula>
    </cfRule>
    <cfRule type="beginsWith" dxfId="6835" priority="11914" operator="beginsWith" text="Accueil">
      <formula>LEFT(EN156,LEN("Accueil"))="Accueil"</formula>
    </cfRule>
    <cfRule type="beginsWith" dxfId="6834" priority="11915" operator="beginsWith" text="Stage">
      <formula>LEFT(EN156,LEN("Stage"))="Stage"</formula>
    </cfRule>
    <cfRule type="beginsWith" dxfId="6833" priority="11916" operator="beginsWith" text="Entreprise">
      <formula>LEFT(EN156,LEN("Entreprise"))="Entreprise"</formula>
    </cfRule>
    <cfRule type="beginsWith" dxfId="6832" priority="11917" operator="beginsWith" text="Voltaire">
      <formula>LEFT(EN156,LEN("Voltaire"))="Voltaire"</formula>
    </cfRule>
  </conditionalFormatting>
  <conditionalFormatting sqref="EN161">
    <cfRule type="beginsWith" dxfId="6831" priority="11918" operator="beginsWith" text="Projet professionnel : Séminaire PFI">
      <formula>LEFT(EN161,LEN("Projet professionnel : Séminaire PFI"))="Projet professionnel : Séminaire PFI"</formula>
    </cfRule>
    <cfRule type="beginsWith" dxfId="6830" priority="11919" operator="beginsWith" text="Lancement Projet fil rouge">
      <formula>LEFT(EN161,LEN("Lancement Projet fil rouge"))="Lancement Projet fil rouge"</formula>
    </cfRule>
    <cfRule type="beginsWith" dxfId="6829" priority="11920" operator="beginsWith" text="Vacances">
      <formula>LEFT(EN161,LEN("Vacances"))="Vacances"</formula>
    </cfRule>
    <cfRule type="beginsWith" dxfId="6828" priority="11921" operator="beginsWith" text="Séminaire d'intégration">
      <formula>LEFT(EN161,LEN("Séminaire d'intégration"))="Séminaire d'intégration"</formula>
    </cfRule>
    <cfRule type="beginsWith" dxfId="6827" priority="11922" operator="beginsWith" text="Accueil">
      <formula>LEFT(EN161,LEN("Accueil"))="Accueil"</formula>
    </cfRule>
    <cfRule type="beginsWith" dxfId="6826" priority="11923" operator="beginsWith" text="Stage">
      <formula>LEFT(EN161,LEN("Stage"))="Stage"</formula>
    </cfRule>
    <cfRule type="beginsWith" dxfId="6825" priority="11924" operator="beginsWith" text="Entreprise">
      <formula>LEFT(EN161,LEN("Entreprise"))="Entreprise"</formula>
    </cfRule>
    <cfRule type="beginsWith" dxfId="6824" priority="11925" operator="beginsWith" text="Voltaire">
      <formula>LEFT(EN161,LEN("Voltaire"))="Voltaire"</formula>
    </cfRule>
  </conditionalFormatting>
  <conditionalFormatting sqref="EN166:EN171">
    <cfRule type="beginsWith" dxfId="6823" priority="11957" operator="beginsWith" text="Projet professionnel : Séminaire PFI">
      <formula>LEFT(EN166,LEN("Projet professionnel : Séminaire PFI"))="Projet professionnel : Séminaire PFI"</formula>
    </cfRule>
    <cfRule type="beginsWith" dxfId="6822" priority="11958" operator="beginsWith" text="Lancement Projet fil rouge">
      <formula>LEFT(EN166,LEN("Lancement Projet fil rouge"))="Lancement Projet fil rouge"</formula>
    </cfRule>
    <cfRule type="beginsWith" dxfId="6821" priority="11959" operator="beginsWith" text="Vacances">
      <formula>LEFT(EN166,LEN("Vacances"))="Vacances"</formula>
    </cfRule>
    <cfRule type="beginsWith" dxfId="6820" priority="11960" operator="beginsWith" text="Séminaire d'intégration">
      <formula>LEFT(EN166,LEN("Séminaire d'intégration"))="Séminaire d'intégration"</formula>
    </cfRule>
    <cfRule type="beginsWith" dxfId="6819" priority="11961" operator="beginsWith" text="Accueil">
      <formula>LEFT(EN166,LEN("Accueil"))="Accueil"</formula>
    </cfRule>
    <cfRule type="beginsWith" dxfId="6818" priority="11962" operator="beginsWith" text="Stage">
      <formula>LEFT(EN166,LEN("Stage"))="Stage"</formula>
    </cfRule>
    <cfRule type="beginsWith" dxfId="6817" priority="11963" operator="beginsWith" text="Entreprise">
      <formula>LEFT(EN166,LEN("Entreprise"))="Entreprise"</formula>
    </cfRule>
    <cfRule type="beginsWith" dxfId="6816" priority="11964" operator="beginsWith" text="Voltaire">
      <formula>LEFT(EN166,LEN("Voltaire"))="Voltaire"</formula>
    </cfRule>
  </conditionalFormatting>
  <conditionalFormatting sqref="EN196">
    <cfRule type="beginsWith" dxfId="6815" priority="11965" operator="beginsWith" text="Projet professionnel : Séminaire PFI">
      <formula>LEFT(EN196,LEN("Projet professionnel : Séminaire PFI"))="Projet professionnel : Séminaire PFI"</formula>
    </cfRule>
    <cfRule type="beginsWith" dxfId="6814" priority="11966" operator="beginsWith" text="Lancement Projet fil rouge">
      <formula>LEFT(EN196,LEN("Lancement Projet fil rouge"))="Lancement Projet fil rouge"</formula>
    </cfRule>
    <cfRule type="beginsWith" dxfId="6813" priority="11967" operator="beginsWith" text="Vacances">
      <formula>LEFT(EN196,LEN("Vacances"))="Vacances"</formula>
    </cfRule>
    <cfRule type="beginsWith" dxfId="6812" priority="11968" operator="beginsWith" text="Séminaire d'intégration">
      <formula>LEFT(EN196,LEN("Séminaire d'intégration"))="Séminaire d'intégration"</formula>
    </cfRule>
    <cfRule type="beginsWith" dxfId="6811" priority="11969" operator="beginsWith" text="Accueil">
      <formula>LEFT(EN196,LEN("Accueil"))="Accueil"</formula>
    </cfRule>
    <cfRule type="beginsWith" dxfId="6810" priority="11970" operator="beginsWith" text="Stage">
      <formula>LEFT(EN196,LEN("Stage"))="Stage"</formula>
    </cfRule>
    <cfRule type="beginsWith" dxfId="6809" priority="11971" operator="beginsWith" text="Entreprise">
      <formula>LEFT(EN196,LEN("Entreprise"))="Entreprise"</formula>
    </cfRule>
    <cfRule type="beginsWith" dxfId="6808" priority="11972" operator="beginsWith" text="Voltaire">
      <formula>LEFT(EN196,LEN("Voltaire"))="Voltaire"</formula>
    </cfRule>
  </conditionalFormatting>
  <conditionalFormatting sqref="EN201">
    <cfRule type="beginsWith" dxfId="6807" priority="12061" operator="beginsWith" text="Projet professionnel : Séminaire PFI">
      <formula>LEFT(EN201,LEN("Projet professionnel : Séminaire PFI"))="Projet professionnel : Séminaire PFI"</formula>
    </cfRule>
    <cfRule type="beginsWith" dxfId="6806" priority="12062" operator="beginsWith" text="Lancement Projet fil rouge">
      <formula>LEFT(EN201,LEN("Lancement Projet fil rouge"))="Lancement Projet fil rouge"</formula>
    </cfRule>
    <cfRule type="beginsWith" dxfId="6805" priority="12063" operator="beginsWith" text="Vacances">
      <formula>LEFT(EN201,LEN("Vacances"))="Vacances"</formula>
    </cfRule>
    <cfRule type="beginsWith" dxfId="6804" priority="12064" operator="beginsWith" text="Séminaire d'intégration">
      <formula>LEFT(EN201,LEN("Séminaire d'intégration"))="Séminaire d'intégration"</formula>
    </cfRule>
    <cfRule type="beginsWith" dxfId="6803" priority="12065" operator="beginsWith" text="Accueil">
      <formula>LEFT(EN201,LEN("Accueil"))="Accueil"</formula>
    </cfRule>
    <cfRule type="beginsWith" dxfId="6802" priority="12066" operator="beginsWith" text="Stage">
      <formula>LEFT(EN201,LEN("Stage"))="Stage"</formula>
    </cfRule>
    <cfRule type="beginsWith" dxfId="6801" priority="12067" operator="beginsWith" text="Entreprise">
      <formula>LEFT(EN201,LEN("Entreprise"))="Entreprise"</formula>
    </cfRule>
    <cfRule type="beginsWith" dxfId="6800" priority="12068" operator="beginsWith" text="Voltaire">
      <formula>LEFT(EN201,LEN("Voltaire"))="Voltaire"</formula>
    </cfRule>
  </conditionalFormatting>
  <conditionalFormatting sqref="EN206">
    <cfRule type="beginsWith" dxfId="6799" priority="11973" operator="beginsWith" text="Projet professionnel : Séminaire PFI">
      <formula>LEFT(EN206,LEN("Projet professionnel : Séminaire PFI"))="Projet professionnel : Séminaire PFI"</formula>
    </cfRule>
    <cfRule type="beginsWith" dxfId="6798" priority="11974" operator="beginsWith" text="Lancement Projet fil rouge">
      <formula>LEFT(EN206,LEN("Lancement Projet fil rouge"))="Lancement Projet fil rouge"</formula>
    </cfRule>
    <cfRule type="beginsWith" dxfId="6797" priority="11975" operator="beginsWith" text="Vacances">
      <formula>LEFT(EN206,LEN("Vacances"))="Vacances"</formula>
    </cfRule>
    <cfRule type="beginsWith" dxfId="6796" priority="11976" operator="beginsWith" text="Séminaire d'intégration">
      <formula>LEFT(EN206,LEN("Séminaire d'intégration"))="Séminaire d'intégration"</formula>
    </cfRule>
    <cfRule type="beginsWith" dxfId="6795" priority="11977" operator="beginsWith" text="Accueil">
      <formula>LEFT(EN206,LEN("Accueil"))="Accueil"</formula>
    </cfRule>
    <cfRule type="beginsWith" dxfId="6794" priority="11978" operator="beginsWith" text="Stage">
      <formula>LEFT(EN206,LEN("Stage"))="Stage"</formula>
    </cfRule>
    <cfRule type="beginsWith" dxfId="6793" priority="11979" operator="beginsWith" text="Entreprise">
      <formula>LEFT(EN206,LEN("Entreprise"))="Entreprise"</formula>
    </cfRule>
    <cfRule type="beginsWith" dxfId="6792" priority="11980" operator="beginsWith" text="Voltaire">
      <formula>LEFT(EN206,LEN("Voltaire"))="Voltaire"</formula>
    </cfRule>
  </conditionalFormatting>
  <conditionalFormatting sqref="EN211">
    <cfRule type="beginsWith" dxfId="6791" priority="11981" operator="beginsWith" text="Projet professionnel : Séminaire PFI">
      <formula>LEFT(EN211,LEN("Projet professionnel : Séminaire PFI"))="Projet professionnel : Séminaire PFI"</formula>
    </cfRule>
    <cfRule type="beginsWith" dxfId="6790" priority="11982" operator="beginsWith" text="Lancement Projet fil rouge">
      <formula>LEFT(EN211,LEN("Lancement Projet fil rouge"))="Lancement Projet fil rouge"</formula>
    </cfRule>
    <cfRule type="beginsWith" dxfId="6789" priority="11983" operator="beginsWith" text="Vacances">
      <formula>LEFT(EN211,LEN("Vacances"))="Vacances"</formula>
    </cfRule>
    <cfRule type="beginsWith" dxfId="6788" priority="11984" operator="beginsWith" text="Séminaire d'intégration">
      <formula>LEFT(EN211,LEN("Séminaire d'intégration"))="Séminaire d'intégration"</formula>
    </cfRule>
    <cfRule type="beginsWith" dxfId="6787" priority="11985" operator="beginsWith" text="Accueil">
      <formula>LEFT(EN211,LEN("Accueil"))="Accueil"</formula>
    </cfRule>
    <cfRule type="beginsWith" dxfId="6786" priority="11986" operator="beginsWith" text="Stage">
      <formula>LEFT(EN211,LEN("Stage"))="Stage"</formula>
    </cfRule>
    <cfRule type="beginsWith" dxfId="6785" priority="11987" operator="beginsWith" text="Entreprise">
      <formula>LEFT(EN211,LEN("Entreprise"))="Entreprise"</formula>
    </cfRule>
    <cfRule type="beginsWith" dxfId="6784" priority="11988" operator="beginsWith" text="Voltaire">
      <formula>LEFT(EN211,LEN("Voltaire"))="Voltaire"</formula>
    </cfRule>
  </conditionalFormatting>
  <conditionalFormatting sqref="EN216">
    <cfRule type="beginsWith" dxfId="6783" priority="11350" operator="beginsWith" text="Projet professionnel : Séminaire PFI">
      <formula>LEFT(EN216,LEN("Projet professionnel : Séminaire PFI"))="Projet professionnel : Séminaire PFI"</formula>
    </cfRule>
    <cfRule type="beginsWith" dxfId="6782" priority="11351" operator="beginsWith" text="Lancement Projet fil rouge">
      <formula>LEFT(EN216,LEN("Lancement Projet fil rouge"))="Lancement Projet fil rouge"</formula>
    </cfRule>
    <cfRule type="beginsWith" dxfId="6781" priority="11352" operator="beginsWith" text="Vacances">
      <formula>LEFT(EN216,LEN("Vacances"))="Vacances"</formula>
    </cfRule>
    <cfRule type="beginsWith" dxfId="6780" priority="11353" operator="beginsWith" text="Séminaire d'intégration">
      <formula>LEFT(EN216,LEN("Séminaire d'intégration"))="Séminaire d'intégration"</formula>
    </cfRule>
    <cfRule type="beginsWith" dxfId="6779" priority="11354" operator="beginsWith" text="Accueil">
      <formula>LEFT(EN216,LEN("Accueil"))="Accueil"</formula>
    </cfRule>
    <cfRule type="beginsWith" dxfId="6778" priority="11355" operator="beginsWith" text="Stage">
      <formula>LEFT(EN216,LEN("Stage"))="Stage"</formula>
    </cfRule>
    <cfRule type="beginsWith" dxfId="6777" priority="11356" operator="beginsWith" text="Entreprise">
      <formula>LEFT(EN216,LEN("Entreprise"))="Entreprise"</formula>
    </cfRule>
    <cfRule type="beginsWith" dxfId="6776" priority="11357" operator="beginsWith" text="Voltaire">
      <formula>LEFT(EN216,LEN("Voltaire"))="Voltaire"</formula>
    </cfRule>
  </conditionalFormatting>
  <conditionalFormatting sqref="EN221">
    <cfRule type="beginsWith" dxfId="6775" priority="11342" operator="beginsWith" text="Projet professionnel : Séminaire PFI">
      <formula>LEFT(EN221,LEN("Projet professionnel : Séminaire PFI"))="Projet professionnel : Séminaire PFI"</formula>
    </cfRule>
    <cfRule type="beginsWith" dxfId="6774" priority="11343" operator="beginsWith" text="Lancement Projet fil rouge">
      <formula>LEFT(EN221,LEN("Lancement Projet fil rouge"))="Lancement Projet fil rouge"</formula>
    </cfRule>
    <cfRule type="beginsWith" dxfId="6773" priority="11344" operator="beginsWith" text="Vacances">
      <formula>LEFT(EN221,LEN("Vacances"))="Vacances"</formula>
    </cfRule>
    <cfRule type="beginsWith" dxfId="6772" priority="11345" operator="beginsWith" text="Séminaire d'intégration">
      <formula>LEFT(EN221,LEN("Séminaire d'intégration"))="Séminaire d'intégration"</formula>
    </cfRule>
    <cfRule type="beginsWith" dxfId="6771" priority="11346" operator="beginsWith" text="Accueil">
      <formula>LEFT(EN221,LEN("Accueil"))="Accueil"</formula>
    </cfRule>
    <cfRule type="beginsWith" dxfId="6770" priority="11347" operator="beginsWith" text="Stage">
      <formula>LEFT(EN221,LEN("Stage"))="Stage"</formula>
    </cfRule>
    <cfRule type="beginsWith" dxfId="6769" priority="11348" operator="beginsWith" text="Entreprise">
      <formula>LEFT(EN221,LEN("Entreprise"))="Entreprise"</formula>
    </cfRule>
    <cfRule type="beginsWith" dxfId="6768" priority="11349" operator="beginsWith" text="Voltaire">
      <formula>LEFT(EN221,LEN("Voltaire"))="Voltaire"</formula>
    </cfRule>
  </conditionalFormatting>
  <conditionalFormatting sqref="EN236">
    <cfRule type="beginsWith" dxfId="6767" priority="12117" operator="beginsWith" text="Projet professionnel : Séminaire PFI">
      <formula>LEFT(EN236,LEN("Projet professionnel : Séminaire PFI"))="Projet professionnel : Séminaire PFI"</formula>
    </cfRule>
    <cfRule type="beginsWith" dxfId="6766" priority="12118" operator="beginsWith" text="Lancement Projet fil rouge">
      <formula>LEFT(EN236,LEN("Lancement Projet fil rouge"))="Lancement Projet fil rouge"</formula>
    </cfRule>
    <cfRule type="beginsWith" dxfId="6765" priority="12119" operator="beginsWith" text="Vacances">
      <formula>LEFT(EN236,LEN("Vacances"))="Vacances"</formula>
    </cfRule>
    <cfRule type="beginsWith" dxfId="6764" priority="12120" operator="beginsWith" text="Séminaire d'intégration">
      <formula>LEFT(EN236,LEN("Séminaire d'intégration"))="Séminaire d'intégration"</formula>
    </cfRule>
    <cfRule type="beginsWith" dxfId="6763" priority="12121" operator="beginsWith" text="Accueil">
      <formula>LEFT(EN236,LEN("Accueil"))="Accueil"</formula>
    </cfRule>
    <cfRule type="beginsWith" dxfId="6762" priority="12122" operator="beginsWith" text="Stage">
      <formula>LEFT(EN236,LEN("Stage"))="Stage"</formula>
    </cfRule>
    <cfRule type="beginsWith" dxfId="6761" priority="12123" operator="beginsWith" text="Entreprise">
      <formula>LEFT(EN236,LEN("Entreprise"))="Entreprise"</formula>
    </cfRule>
    <cfRule type="beginsWith" dxfId="6760" priority="12124" operator="beginsWith" text="Voltaire">
      <formula>LEFT(EN236,LEN("Voltaire"))="Voltaire"</formula>
    </cfRule>
  </conditionalFormatting>
  <conditionalFormatting sqref="EN249:EN252">
    <cfRule type="beginsWith" dxfId="6759" priority="12053" operator="beginsWith" text="Projet professionnel : Séminaire PFI">
      <formula>LEFT(EN249,LEN("Projet professionnel : Séminaire PFI"))="Projet professionnel : Séminaire PFI"</formula>
    </cfRule>
    <cfRule type="beginsWith" dxfId="6758" priority="12054" operator="beginsWith" text="Lancement Projet fil rouge">
      <formula>LEFT(EN249,LEN("Lancement Projet fil rouge"))="Lancement Projet fil rouge"</formula>
    </cfRule>
    <cfRule type="beginsWith" dxfId="6757" priority="12055" operator="beginsWith" text="Vacances">
      <formula>LEFT(EN249,LEN("Vacances"))="Vacances"</formula>
    </cfRule>
    <cfRule type="beginsWith" dxfId="6756" priority="12056" operator="beginsWith" text="Séminaire d'intégration">
      <formula>LEFT(EN249,LEN("Séminaire d'intégration"))="Séminaire d'intégration"</formula>
    </cfRule>
    <cfRule type="beginsWith" dxfId="6755" priority="12057" operator="beginsWith" text="Accueil">
      <formula>LEFT(EN249,LEN("Accueil"))="Accueil"</formula>
    </cfRule>
    <cfRule type="beginsWith" dxfId="6754" priority="12058" operator="beginsWith" text="Stage">
      <formula>LEFT(EN249,LEN("Stage"))="Stage"</formula>
    </cfRule>
    <cfRule type="beginsWith" dxfId="6753" priority="12059" operator="beginsWith" text="Entreprise">
      <formula>LEFT(EN249,LEN("Entreprise"))="Entreprise"</formula>
    </cfRule>
    <cfRule type="beginsWith" dxfId="6752" priority="12060" operator="beginsWith" text="Voltaire">
      <formula>LEFT(EN249,LEN("Voltaire"))="Voltaire"</formula>
    </cfRule>
  </conditionalFormatting>
  <conditionalFormatting sqref="EN253:EN1048576">
    <cfRule type="beginsWith" dxfId="6751" priority="12187" operator="beginsWith" text="Projet professionnel : Séminaire PFI">
      <formula>LEFT(EN253,LEN("Projet professionnel : Séminaire PFI"))="Projet professionnel : Séminaire PFI"</formula>
    </cfRule>
    <cfRule type="beginsWith" dxfId="6750" priority="12188" operator="beginsWith" text="Lancement Projet fil rouge">
      <formula>LEFT(EN253,LEN("Lancement Projet fil rouge"))="Lancement Projet fil rouge"</formula>
    </cfRule>
    <cfRule type="beginsWith" dxfId="6749" priority="12189" operator="beginsWith" text="Vacances">
      <formula>LEFT(EN253,LEN("Vacances"))="Vacances"</formula>
    </cfRule>
    <cfRule type="beginsWith" dxfId="6748" priority="12192" operator="beginsWith" text="Séminaire d'intégration">
      <formula>LEFT(EN253,LEN("Séminaire d'intégration"))="Séminaire d'intégration"</formula>
    </cfRule>
    <cfRule type="beginsWith" dxfId="6747" priority="12193" operator="beginsWith" text="Accueil">
      <formula>LEFT(EN253,LEN("Accueil"))="Accueil"</formula>
    </cfRule>
    <cfRule type="beginsWith" dxfId="6746" priority="12196" operator="beginsWith" text="Stage">
      <formula>LEFT(EN253,LEN("Stage"))="Stage"</formula>
    </cfRule>
    <cfRule type="beginsWith" dxfId="6745" priority="12197" operator="beginsWith" text="Entreprise">
      <formula>LEFT(EN253,LEN("Entreprise"))="Entreprise"</formula>
    </cfRule>
    <cfRule type="beginsWith" dxfId="6744" priority="12199" operator="beginsWith" text="Voltaire">
      <formula>LEFT(EN253,LEN("Voltaire"))="Voltaire"</formula>
    </cfRule>
  </conditionalFormatting>
  <conditionalFormatting sqref="EO5">
    <cfRule type="beginsWith" dxfId="6743" priority="9807" operator="beginsWith" text="Lancement Projet fil rouge">
      <formula>LEFT(EO5,LEN("Lancement Projet fil rouge"))="Lancement Projet fil rouge"</formula>
    </cfRule>
    <cfRule type="beginsWith" dxfId="6742" priority="9808" operator="beginsWith" text="Vacances">
      <formula>LEFT(EO5,LEN("Vacances"))="Vacances"</formula>
    </cfRule>
    <cfRule type="beginsWith" dxfId="6741" priority="9809" operator="beginsWith" text="Séminaire d'intégration">
      <formula>LEFT(EO5,LEN("Séminaire d'intégration"))="Séminaire d'intégration"</formula>
    </cfRule>
    <cfRule type="beginsWith" dxfId="6740" priority="9810" operator="beginsWith" text="Accueil">
      <formula>LEFT(EO5,LEN("Accueil"))="Accueil"</formula>
    </cfRule>
    <cfRule type="beginsWith" dxfId="6739" priority="9811" operator="beginsWith" text="Stage">
      <formula>LEFT(EO5,LEN("Stage"))="Stage"</formula>
    </cfRule>
    <cfRule type="beginsWith" dxfId="6738" priority="9812" operator="beginsWith" text="Entreprise">
      <formula>LEFT(EO5,LEN("Entreprise"))="Entreprise"</formula>
    </cfRule>
    <cfRule type="beginsWith" dxfId="6737" priority="9813" operator="beginsWith" text="Voltaire">
      <formula>LEFT(EO5,LEN("Voltaire"))="Voltaire"</formula>
    </cfRule>
  </conditionalFormatting>
  <conditionalFormatting sqref="EO56">
    <cfRule type="beginsWith" dxfId="6736" priority="9800" operator="beginsWith" text="Lancement Projet fil rouge">
      <formula>LEFT(EO56,LEN("Lancement Projet fil rouge"))="Lancement Projet fil rouge"</formula>
    </cfRule>
    <cfRule type="beginsWith" dxfId="6735" priority="9801" operator="beginsWith" text="Vacances">
      <formula>LEFT(EO56,LEN("Vacances"))="Vacances"</formula>
    </cfRule>
    <cfRule type="beginsWith" dxfId="6734" priority="9802" operator="beginsWith" text="Séminaire d'intégration">
      <formula>LEFT(EO56,LEN("Séminaire d'intégration"))="Séminaire d'intégration"</formula>
    </cfRule>
    <cfRule type="beginsWith" dxfId="6733" priority="9803" operator="beginsWith" text="Accueil">
      <formula>LEFT(EO56,LEN("Accueil"))="Accueil"</formula>
    </cfRule>
    <cfRule type="beginsWith" dxfId="6732" priority="9804" operator="beginsWith" text="Stage">
      <formula>LEFT(EO56,LEN("Stage"))="Stage"</formula>
    </cfRule>
    <cfRule type="beginsWith" dxfId="6731" priority="9805" operator="beginsWith" text="Entreprise">
      <formula>LEFT(EO56,LEN("Entreprise"))="Entreprise"</formula>
    </cfRule>
    <cfRule type="beginsWith" dxfId="6730" priority="9806" operator="beginsWith" text="Voltaire">
      <formula>LEFT(EO56,LEN("Voltaire"))="Voltaire"</formula>
    </cfRule>
  </conditionalFormatting>
  <conditionalFormatting sqref="EO60">
    <cfRule type="beginsWith" dxfId="6729" priority="9790" operator="beginsWith" text="Lancement Projet fil rouge">
      <formula>LEFT(EO60,LEN("Lancement Projet fil rouge"))="Lancement Projet fil rouge"</formula>
    </cfRule>
    <cfRule type="beginsWith" dxfId="6728" priority="9791" operator="beginsWith" text="Vacances">
      <formula>LEFT(EO60,LEN("Vacances"))="Vacances"</formula>
    </cfRule>
    <cfRule type="beginsWith" dxfId="6727" priority="9792" operator="beginsWith" text="Séminaire d'intégration">
      <formula>LEFT(EO60,LEN("Séminaire d'intégration"))="Séminaire d'intégration"</formula>
    </cfRule>
    <cfRule type="beginsWith" dxfId="6726" priority="9793" operator="beginsWith" text="Accueil">
      <formula>LEFT(EO60,LEN("Accueil"))="Accueil"</formula>
    </cfRule>
    <cfRule type="beginsWith" dxfId="6725" priority="9794" operator="beginsWith" text="TOPHYC">
      <formula>LEFT(EO60,LEN("TOPHYC"))="TOPHYC"</formula>
    </cfRule>
    <cfRule type="beginsWith" dxfId="6724" priority="9795" operator="beginsWith" text="Global Exam">
      <formula>LEFT(EO60,LEN("Global Exam"))="Global Exam"</formula>
    </cfRule>
    <cfRule type="beginsWith" dxfId="6723" priority="9796" operator="beginsWith" text="Stage">
      <formula>LEFT(EO60,LEN("Stage"))="Stage"</formula>
    </cfRule>
    <cfRule type="beginsWith" dxfId="6722" priority="9797" operator="beginsWith" text="Entreprise">
      <formula>LEFT(EO60,LEN("Entreprise"))="Entreprise"</formula>
    </cfRule>
    <cfRule type="beginsWith" dxfId="6721" priority="9798" operator="beginsWith" text="TOMIC">
      <formula>LEFT(EO60,LEN("TOMIC"))="TOMIC"</formula>
    </cfRule>
    <cfRule type="beginsWith" dxfId="6720" priority="9799" operator="beginsWith" text="Voltaire">
      <formula>LEFT(EO60,LEN("Voltaire"))="Voltaire"</formula>
    </cfRule>
  </conditionalFormatting>
  <conditionalFormatting sqref="EO161">
    <cfRule type="beginsWith" dxfId="6719" priority="9783" operator="beginsWith" text="Lancement Projet fil rouge">
      <formula>LEFT(EO161,LEN("Lancement Projet fil rouge"))="Lancement Projet fil rouge"</formula>
    </cfRule>
    <cfRule type="beginsWith" dxfId="6718" priority="9784" operator="beginsWith" text="Vacances">
      <formula>LEFT(EO161,LEN("Vacances"))="Vacances"</formula>
    </cfRule>
    <cfRule type="beginsWith" dxfId="6717" priority="9785" operator="beginsWith" text="Séminaire d'intégration">
      <formula>LEFT(EO161,LEN("Séminaire d'intégration"))="Séminaire d'intégration"</formula>
    </cfRule>
    <cfRule type="beginsWith" dxfId="6716" priority="9786" operator="beginsWith" text="Accueil">
      <formula>LEFT(EO161,LEN("Accueil"))="Accueil"</formula>
    </cfRule>
    <cfRule type="beginsWith" dxfId="6715" priority="9787" operator="beginsWith" text="Stage">
      <formula>LEFT(EO161,LEN("Stage"))="Stage"</formula>
    </cfRule>
    <cfRule type="beginsWith" dxfId="6714" priority="9788" operator="beginsWith" text="Entreprise">
      <formula>LEFT(EO161,LEN("Entreprise"))="Entreprise"</formula>
    </cfRule>
    <cfRule type="beginsWith" dxfId="6713" priority="9789" operator="beginsWith" text="Voltaire">
      <formula>LEFT(EO161,LEN("Voltaire"))="Voltaire"</formula>
    </cfRule>
  </conditionalFormatting>
  <conditionalFormatting sqref="EO196 EO199:EO200">
    <cfRule type="beginsWith" dxfId="6712" priority="9772" operator="beginsWith" text="TOPHYC">
      <formula>LEFT(EO196,LEN("TOPHYC"))="TOPHYC"</formula>
    </cfRule>
    <cfRule type="beginsWith" dxfId="6711" priority="9773" operator="beginsWith" text="Global Exam">
      <formula>LEFT(EO196,LEN("Global Exam"))="Global Exam"</formula>
    </cfRule>
    <cfRule type="beginsWith" dxfId="6710" priority="9774" operator="beginsWith" text="TOMIC">
      <formula>LEFT(EO196,LEN("TOMIC"))="TOMIC"</formula>
    </cfRule>
  </conditionalFormatting>
  <conditionalFormatting sqref="EO211">
    <cfRule type="beginsWith" dxfId="6709" priority="9775" operator="beginsWith" text="Projet professionnel : Séminaire PFI">
      <formula>LEFT(EO211,LEN("Projet professionnel : Séminaire PFI"))="Projet professionnel : Séminaire PFI"</formula>
    </cfRule>
    <cfRule type="beginsWith" dxfId="6708" priority="9776" operator="beginsWith" text="Lancement Projet fil rouge">
      <formula>LEFT(EO211,LEN("Lancement Projet fil rouge"))="Lancement Projet fil rouge"</formula>
    </cfRule>
    <cfRule type="beginsWith" dxfId="6707" priority="9777" operator="beginsWith" text="Vacances">
      <formula>LEFT(EO211,LEN("Vacances"))="Vacances"</formula>
    </cfRule>
    <cfRule type="beginsWith" dxfId="6706" priority="9778" operator="beginsWith" text="Séminaire d'intégration">
      <formula>LEFT(EO211,LEN("Séminaire d'intégration"))="Séminaire d'intégration"</formula>
    </cfRule>
    <cfRule type="beginsWith" dxfId="6705" priority="9779" operator="beginsWith" text="Accueil">
      <formula>LEFT(EO211,LEN("Accueil"))="Accueil"</formula>
    </cfRule>
    <cfRule type="beginsWith" dxfId="6704" priority="9780" operator="beginsWith" text="Stage">
      <formula>LEFT(EO211,LEN("Stage"))="Stage"</formula>
    </cfRule>
    <cfRule type="beginsWith" dxfId="6703" priority="9781" operator="beginsWith" text="Entreprise">
      <formula>LEFT(EO211,LEN("Entreprise"))="Entreprise"</formula>
    </cfRule>
    <cfRule type="beginsWith" dxfId="6702" priority="9782" operator="beginsWith" text="Voltaire">
      <formula>LEFT(EO211,LEN("Voltaire"))="Voltaire"</formula>
    </cfRule>
  </conditionalFormatting>
  <conditionalFormatting sqref="M239:M240">
    <cfRule type="beginsWith" dxfId="6701" priority="9108" operator="beginsWith" text="Lancement Projet fil rouge">
      <formula>LEFT(M239,LEN("Lancement Projet fil rouge"))="Lancement Projet fil rouge"</formula>
    </cfRule>
  </conditionalFormatting>
  <conditionalFormatting sqref="M239:M240">
    <cfRule type="beginsWith" dxfId="6700" priority="9109" operator="beginsWith" text="Vacances">
      <formula>LEFT(M239,LEN("Vacances"))="Vacances"</formula>
    </cfRule>
  </conditionalFormatting>
  <conditionalFormatting sqref="M239:M240">
    <cfRule type="beginsWith" dxfId="6699" priority="9110" operator="beginsWith" text="Séminaire d'intégration">
      <formula>LEFT(M239,LEN("Séminaire d'intégration"))="Séminaire d'intégration"</formula>
    </cfRule>
  </conditionalFormatting>
  <conditionalFormatting sqref="M239:M240">
    <cfRule type="beginsWith" dxfId="6698" priority="9111" operator="beginsWith" text="Accueil">
      <formula>LEFT(M239,LEN("Accueil"))="Accueil"</formula>
    </cfRule>
  </conditionalFormatting>
  <conditionalFormatting sqref="M239:M240">
    <cfRule type="beginsWith" dxfId="6697" priority="9112" operator="beginsWith" text="Stage">
      <formula>LEFT(M239,LEN("Stage"))="Stage"</formula>
    </cfRule>
    <cfRule type="beginsWith" dxfId="6696" priority="9113" operator="beginsWith" text="Entreprise">
      <formula>LEFT(M239,LEN("Entreprise"))="Entreprise"</formula>
    </cfRule>
    <cfRule type="beginsWith" dxfId="6695" priority="9114" operator="beginsWith" text="Voltaire">
      <formula>LEFT(M239,LEN("Voltaire"))="Voltaire"</formula>
    </cfRule>
  </conditionalFormatting>
  <conditionalFormatting sqref="M236">
    <cfRule type="beginsWith" dxfId="6694" priority="9098" operator="beginsWith" text="Lancement Projet fil rouge">
      <formula>LEFT(M236,LEN("Lancement Projet fil rouge"))="Lancement Projet fil rouge"</formula>
    </cfRule>
  </conditionalFormatting>
  <conditionalFormatting sqref="M236">
    <cfRule type="beginsWith" dxfId="6693" priority="9099" operator="beginsWith" text="Vacances">
      <formula>LEFT(M236,LEN("Vacances"))="Vacances"</formula>
    </cfRule>
  </conditionalFormatting>
  <conditionalFormatting sqref="M236">
    <cfRule type="beginsWith" dxfId="6692" priority="9100" operator="beginsWith" text="Séminaire d'intégration">
      <formula>LEFT(M236,LEN("Séminaire d'intégration"))="Séminaire d'intégration"</formula>
    </cfRule>
  </conditionalFormatting>
  <conditionalFormatting sqref="M236">
    <cfRule type="beginsWith" dxfId="6691" priority="9101" operator="beginsWith" text="Accueil">
      <formula>LEFT(M236,LEN("Accueil"))="Accueil"</formula>
    </cfRule>
  </conditionalFormatting>
  <conditionalFormatting sqref="M236">
    <cfRule type="beginsWith" dxfId="6690" priority="9104" operator="beginsWith" text="Stage">
      <formula>LEFT(M236,LEN("Stage"))="Stage"</formula>
    </cfRule>
    <cfRule type="beginsWith" dxfId="6689" priority="9105" operator="beginsWith" text="Entreprise">
      <formula>LEFT(M236,LEN("Entreprise"))="Entreprise"</formula>
    </cfRule>
    <cfRule type="beginsWith" dxfId="6688" priority="9107" operator="beginsWith" text="Voltaire">
      <formula>LEFT(M236,LEN("Voltaire"))="Voltaire"</formula>
    </cfRule>
  </conditionalFormatting>
  <conditionalFormatting sqref="M236">
    <cfRule type="beginsWith" dxfId="6687" priority="9102" operator="beginsWith" text="TOPHYC">
      <formula>LEFT(M236,LEN("TOPHYC"))="TOPHYC"</formula>
    </cfRule>
    <cfRule type="beginsWith" dxfId="6686" priority="9103" operator="beginsWith" text="Global Exam">
      <formula>LEFT(M236,LEN("Global Exam"))="Global Exam"</formula>
    </cfRule>
    <cfRule type="beginsWith" dxfId="6685" priority="9106" operator="beginsWith" text="TOMIC">
      <formula>LEFT(M236,LEN("TOMIC"))="TOMIC"</formula>
    </cfRule>
  </conditionalFormatting>
  <conditionalFormatting sqref="M233:M234">
    <cfRule type="beginsWith" dxfId="6684" priority="9088" operator="beginsWith" text="Lancement Projet fil rouge">
      <formula>LEFT(M233,LEN("Lancement Projet fil rouge"))="Lancement Projet fil rouge"</formula>
    </cfRule>
  </conditionalFormatting>
  <conditionalFormatting sqref="M233:M234">
    <cfRule type="beginsWith" dxfId="6683" priority="9089" operator="beginsWith" text="Vacances">
      <formula>LEFT(M233,LEN("Vacances"))="Vacances"</formula>
    </cfRule>
  </conditionalFormatting>
  <conditionalFormatting sqref="M233:M234">
    <cfRule type="beginsWith" dxfId="6682" priority="9090" operator="beginsWith" text="Séminaire d'intégration">
      <formula>LEFT(M233,LEN("Séminaire d'intégration"))="Séminaire d'intégration"</formula>
    </cfRule>
  </conditionalFormatting>
  <conditionalFormatting sqref="M233:M234">
    <cfRule type="beginsWith" dxfId="6681" priority="9091" operator="beginsWith" text="Accueil">
      <formula>LEFT(M233,LEN("Accueil"))="Accueil"</formula>
    </cfRule>
  </conditionalFormatting>
  <conditionalFormatting sqref="M233:M234">
    <cfRule type="beginsWith" dxfId="6680" priority="9094" operator="beginsWith" text="Stage">
      <formula>LEFT(M233,LEN("Stage"))="Stage"</formula>
    </cfRule>
    <cfRule type="beginsWith" dxfId="6679" priority="9095" operator="beginsWith" text="Entreprise">
      <formula>LEFT(M233,LEN("Entreprise"))="Entreprise"</formula>
    </cfRule>
    <cfRule type="beginsWith" dxfId="6678" priority="9097" operator="beginsWith" text="Voltaire">
      <formula>LEFT(M233,LEN("Voltaire"))="Voltaire"</formula>
    </cfRule>
  </conditionalFormatting>
  <conditionalFormatting sqref="M233:M234">
    <cfRule type="beginsWith" dxfId="6677" priority="9092" operator="beginsWith" text="TOPHYC">
      <formula>LEFT(M233,LEN("TOPHYC"))="TOPHYC"</formula>
    </cfRule>
    <cfRule type="beginsWith" dxfId="6676" priority="9093" operator="beginsWith" text="Global Exam">
      <formula>LEFT(M233,LEN("Global Exam"))="Global Exam"</formula>
    </cfRule>
    <cfRule type="beginsWith" dxfId="6675" priority="9096" operator="beginsWith" text="TOMIC">
      <formula>LEFT(M233,LEN("TOMIC"))="TOMIC"</formula>
    </cfRule>
  </conditionalFormatting>
  <conditionalFormatting sqref="E232:E233 E235">
    <cfRule type="beginsWith" dxfId="6674" priority="9081" operator="beginsWith" text="Lancement Projet fil rouge">
      <formula>LEFT(E232,LEN("Lancement Projet fil rouge"))="Lancement Projet fil rouge"</formula>
    </cfRule>
  </conditionalFormatting>
  <conditionalFormatting sqref="E232:E233 E235">
    <cfRule type="beginsWith" dxfId="6673" priority="9082" operator="beginsWith" text="Vacances">
      <formula>LEFT(E232,LEN("Vacances"))="Vacances"</formula>
    </cfRule>
  </conditionalFormatting>
  <conditionalFormatting sqref="E232:E233 E235">
    <cfRule type="beginsWith" dxfId="6672" priority="9083" operator="beginsWith" text="Séminaire d'intégration">
      <formula>LEFT(E232,LEN("Séminaire d'intégration"))="Séminaire d'intégration"</formula>
    </cfRule>
  </conditionalFormatting>
  <conditionalFormatting sqref="E232:E233 E235">
    <cfRule type="beginsWith" dxfId="6671" priority="9084" operator="beginsWith" text="Accueil">
      <formula>LEFT(E232,LEN("Accueil"))="Accueil"</formula>
    </cfRule>
  </conditionalFormatting>
  <conditionalFormatting sqref="E232:E233 E235">
    <cfRule type="beginsWith" dxfId="6670" priority="9085" operator="beginsWith" text="Stage">
      <formula>LEFT(E232,LEN("Stage"))="Stage"</formula>
    </cfRule>
    <cfRule type="beginsWith" dxfId="6669" priority="9086" operator="beginsWith" text="Entreprise">
      <formula>LEFT(E232,LEN("Entreprise"))="Entreprise"</formula>
    </cfRule>
    <cfRule type="beginsWith" dxfId="6668" priority="9087" operator="beginsWith" text="Voltaire">
      <formula>LEFT(E232,LEN("Voltaire"))="Voltaire"</formula>
    </cfRule>
  </conditionalFormatting>
  <conditionalFormatting sqref="E236">
    <cfRule type="beginsWith" dxfId="6667" priority="9074" operator="beginsWith" text="Lancement Projet fil rouge">
      <formula>LEFT(E236,LEN("Lancement Projet fil rouge"))="Lancement Projet fil rouge"</formula>
    </cfRule>
  </conditionalFormatting>
  <conditionalFormatting sqref="E236">
    <cfRule type="beginsWith" dxfId="6666" priority="9075" operator="beginsWith" text="Vacances">
      <formula>LEFT(E236,LEN("Vacances"))="Vacances"</formula>
    </cfRule>
  </conditionalFormatting>
  <conditionalFormatting sqref="E236">
    <cfRule type="beginsWith" dxfId="6665" priority="9076" operator="beginsWith" text="Séminaire d'intégration">
      <formula>LEFT(E236,LEN("Séminaire d'intégration"))="Séminaire d'intégration"</formula>
    </cfRule>
  </conditionalFormatting>
  <conditionalFormatting sqref="E236">
    <cfRule type="beginsWith" dxfId="6664" priority="9077" operator="beginsWith" text="Accueil">
      <formula>LEFT(E236,LEN("Accueil"))="Accueil"</formula>
    </cfRule>
  </conditionalFormatting>
  <conditionalFormatting sqref="E236">
    <cfRule type="beginsWith" dxfId="6663" priority="9078" operator="beginsWith" text="Stage">
      <formula>LEFT(E236,LEN("Stage"))="Stage"</formula>
    </cfRule>
    <cfRule type="beginsWith" dxfId="6662" priority="9079" operator="beginsWith" text="Entreprise">
      <formula>LEFT(E236,LEN("Entreprise"))="Entreprise"</formula>
    </cfRule>
    <cfRule type="beginsWith" dxfId="6661" priority="9080" operator="beginsWith" text="Voltaire">
      <formula>LEFT(E236,LEN("Voltaire"))="Voltaire"</formula>
    </cfRule>
  </conditionalFormatting>
  <conditionalFormatting sqref="I226">
    <cfRule type="beginsWith" dxfId="6660" priority="9066" operator="beginsWith" text="Projet professionnel : Séminaire PFI">
      <formula>LEFT(I226,LEN("Projet professionnel : Séminaire PFI"))="Projet professionnel : Séminaire PFI"</formula>
    </cfRule>
    <cfRule type="beginsWith" dxfId="6659" priority="9067" operator="beginsWith" text="Lancement Projet fil rouge">
      <formula>LEFT(I226,LEN("Lancement Projet fil rouge"))="Lancement Projet fil rouge"</formula>
    </cfRule>
    <cfRule type="beginsWith" dxfId="6658" priority="9068" operator="beginsWith" text="Vacances">
      <formula>LEFT(I226,LEN("Vacances"))="Vacances"</formula>
    </cfRule>
    <cfRule type="beginsWith" dxfId="6657" priority="9069" operator="beginsWith" text="Séminaire d'intégration">
      <formula>LEFT(I226,LEN("Séminaire d'intégration"))="Séminaire d'intégration"</formula>
    </cfRule>
    <cfRule type="beginsWith" dxfId="6656" priority="9070" operator="beginsWith" text="Accueil">
      <formula>LEFT(I226,LEN("Accueil"))="Accueil"</formula>
    </cfRule>
    <cfRule type="beginsWith" dxfId="6655" priority="9071" operator="beginsWith" text="Stage">
      <formula>LEFT(I226,LEN("Stage"))="Stage"</formula>
    </cfRule>
    <cfRule type="beginsWith" dxfId="6654" priority="9072" operator="beginsWith" text="Entreprise">
      <formula>LEFT(I226,LEN("Entreprise"))="Entreprise"</formula>
    </cfRule>
    <cfRule type="beginsWith" dxfId="6653" priority="9073" operator="beginsWith" text="Voltaire">
      <formula>LEFT(I226,LEN("Voltaire"))="Voltaire"</formula>
    </cfRule>
  </conditionalFormatting>
  <conditionalFormatting sqref="I241">
    <cfRule type="beginsWith" dxfId="6652" priority="9058" operator="beginsWith" text="Projet professionnel : Séminaire PFI">
      <formula>LEFT(I241,LEN("Projet professionnel : Séminaire PFI"))="Projet professionnel : Séminaire PFI"</formula>
    </cfRule>
    <cfRule type="beginsWith" dxfId="6651" priority="9059" operator="beginsWith" text="Lancement Projet fil rouge">
      <formula>LEFT(I241,LEN("Lancement Projet fil rouge"))="Lancement Projet fil rouge"</formula>
    </cfRule>
    <cfRule type="beginsWith" dxfId="6650" priority="9060" operator="beginsWith" text="Vacances">
      <formula>LEFT(I241,LEN("Vacances"))="Vacances"</formula>
    </cfRule>
    <cfRule type="beginsWith" dxfId="6649" priority="9061" operator="beginsWith" text="Séminaire d'intégration">
      <formula>LEFT(I241,LEN("Séminaire d'intégration"))="Séminaire d'intégration"</formula>
    </cfRule>
    <cfRule type="beginsWith" dxfId="6648" priority="9062" operator="beginsWith" text="Accueil">
      <formula>LEFT(I241,LEN("Accueil"))="Accueil"</formula>
    </cfRule>
    <cfRule type="beginsWith" dxfId="6647" priority="9063" operator="beginsWith" text="Stage">
      <formula>LEFT(I241,LEN("Stage"))="Stage"</formula>
    </cfRule>
    <cfRule type="beginsWith" dxfId="6646" priority="9064" operator="beginsWith" text="Entreprise">
      <formula>LEFT(I241,LEN("Entreprise"))="Entreprise"</formula>
    </cfRule>
    <cfRule type="beginsWith" dxfId="6645" priority="9065" operator="beginsWith" text="Voltaire">
      <formula>LEFT(I241,LEN("Voltaire"))="Voltaire"</formula>
    </cfRule>
  </conditionalFormatting>
  <conditionalFormatting sqref="E239">
    <cfRule type="beginsWith" dxfId="6644" priority="9051" operator="beginsWith" text="Lancement Projet fil rouge">
      <formula>LEFT(E239,LEN("Lancement Projet fil rouge"))="Lancement Projet fil rouge"</formula>
    </cfRule>
  </conditionalFormatting>
  <conditionalFormatting sqref="E239">
    <cfRule type="beginsWith" dxfId="6643" priority="9052" operator="beginsWith" text="Vacances">
      <formula>LEFT(E239,LEN("Vacances"))="Vacances"</formula>
    </cfRule>
  </conditionalFormatting>
  <conditionalFormatting sqref="E239">
    <cfRule type="beginsWith" dxfId="6642" priority="9053" operator="beginsWith" text="Séminaire d'intégration">
      <formula>LEFT(E239,LEN("Séminaire d'intégration"))="Séminaire d'intégration"</formula>
    </cfRule>
  </conditionalFormatting>
  <conditionalFormatting sqref="E239">
    <cfRule type="beginsWith" dxfId="6641" priority="9054" operator="beginsWith" text="Accueil">
      <formula>LEFT(E239,LEN("Accueil"))="Accueil"</formula>
    </cfRule>
  </conditionalFormatting>
  <conditionalFormatting sqref="E239">
    <cfRule type="beginsWith" dxfId="6640" priority="9055" operator="beginsWith" text="Stage">
      <formula>LEFT(E239,LEN("Stage"))="Stage"</formula>
    </cfRule>
    <cfRule type="beginsWith" dxfId="6639" priority="9056" operator="beginsWith" text="Entreprise">
      <formula>LEFT(E239,LEN("Entreprise"))="Entreprise"</formula>
    </cfRule>
    <cfRule type="beginsWith" dxfId="6638" priority="9057" operator="beginsWith" text="Voltaire">
      <formula>LEFT(E239,LEN("Voltaire"))="Voltaire"</formula>
    </cfRule>
  </conditionalFormatting>
  <conditionalFormatting sqref="I76">
    <cfRule type="beginsWith" dxfId="6637" priority="9027" operator="beginsWith" text="Projet professionnel : Séminaire PFI">
      <formula>LEFT(I76,LEN("Projet professionnel : Séminaire PFI"))="Projet professionnel : Séminaire PFI"</formula>
    </cfRule>
    <cfRule type="beginsWith" dxfId="6636" priority="9028" operator="beginsWith" text="Lancement Projet fil rouge">
      <formula>LEFT(I76,LEN("Lancement Projet fil rouge"))="Lancement Projet fil rouge"</formula>
    </cfRule>
    <cfRule type="beginsWith" dxfId="6635" priority="9029" operator="beginsWith" text="Vacances">
      <formula>LEFT(I76,LEN("Vacances"))="Vacances"</formula>
    </cfRule>
    <cfRule type="beginsWith" dxfId="6634" priority="9030" operator="beginsWith" text="Séminaire d'intégration">
      <formula>LEFT(I76,LEN("Séminaire d'intégration"))="Séminaire d'intégration"</formula>
    </cfRule>
    <cfRule type="beginsWith" dxfId="6633" priority="9031" operator="beginsWith" text="Accueil">
      <formula>LEFT(I76,LEN("Accueil"))="Accueil"</formula>
    </cfRule>
    <cfRule type="beginsWith" dxfId="6632" priority="9032" operator="beginsWith" text="Stage">
      <formula>LEFT(I76,LEN("Stage"))="Stage"</formula>
    </cfRule>
    <cfRule type="beginsWith" dxfId="6631" priority="9033" operator="beginsWith" text="Entreprise">
      <formula>LEFT(I76,LEN("Entreprise"))="Entreprise"</formula>
    </cfRule>
    <cfRule type="beginsWith" dxfId="6630" priority="9034" operator="beginsWith" text="Voltaire">
      <formula>LEFT(I76,LEN("Voltaire"))="Voltaire"</formula>
    </cfRule>
  </conditionalFormatting>
  <conditionalFormatting sqref="I81">
    <cfRule type="beginsWith" dxfId="6629" priority="9019" operator="beginsWith" text="Projet professionnel : Séminaire PFI">
      <formula>LEFT(I81,LEN("Projet professionnel : Séminaire PFI"))="Projet professionnel : Séminaire PFI"</formula>
    </cfRule>
    <cfRule type="beginsWith" dxfId="6628" priority="9020" operator="beginsWith" text="Lancement Projet fil rouge">
      <formula>LEFT(I81,LEN("Lancement Projet fil rouge"))="Lancement Projet fil rouge"</formula>
    </cfRule>
    <cfRule type="beginsWith" dxfId="6627" priority="9021" operator="beginsWith" text="Vacances">
      <formula>LEFT(I81,LEN("Vacances"))="Vacances"</formula>
    </cfRule>
    <cfRule type="beginsWith" dxfId="6626" priority="9022" operator="beginsWith" text="Séminaire d'intégration">
      <formula>LEFT(I81,LEN("Séminaire d'intégration"))="Séminaire d'intégration"</formula>
    </cfRule>
    <cfRule type="beginsWith" dxfId="6625" priority="9023" operator="beginsWith" text="Accueil">
      <formula>LEFT(I81,LEN("Accueil"))="Accueil"</formula>
    </cfRule>
    <cfRule type="beginsWith" dxfId="6624" priority="9024" operator="beginsWith" text="Stage">
      <formula>LEFT(I81,LEN("Stage"))="Stage"</formula>
    </cfRule>
    <cfRule type="beginsWith" dxfId="6623" priority="9025" operator="beginsWith" text="Entreprise">
      <formula>LEFT(I81,LEN("Entreprise"))="Entreprise"</formula>
    </cfRule>
    <cfRule type="beginsWith" dxfId="6622" priority="9026" operator="beginsWith" text="Voltaire">
      <formula>LEFT(I81,LEN("Voltaire"))="Voltaire"</formula>
    </cfRule>
  </conditionalFormatting>
  <conditionalFormatting sqref="I86">
    <cfRule type="beginsWith" dxfId="6621" priority="9011" operator="beginsWith" text="Projet professionnel : Séminaire PFI">
      <formula>LEFT(I86,LEN("Projet professionnel : Séminaire PFI"))="Projet professionnel : Séminaire PFI"</formula>
    </cfRule>
    <cfRule type="beginsWith" dxfId="6620" priority="9012" operator="beginsWith" text="Lancement Projet fil rouge">
      <formula>LEFT(I86,LEN("Lancement Projet fil rouge"))="Lancement Projet fil rouge"</formula>
    </cfRule>
    <cfRule type="beginsWith" dxfId="6619" priority="9013" operator="beginsWith" text="Vacances">
      <formula>LEFT(I86,LEN("Vacances"))="Vacances"</formula>
    </cfRule>
    <cfRule type="beginsWith" dxfId="6618" priority="9014" operator="beginsWith" text="Séminaire d'intégration">
      <formula>LEFT(I86,LEN("Séminaire d'intégration"))="Séminaire d'intégration"</formula>
    </cfRule>
    <cfRule type="beginsWith" dxfId="6617" priority="9015" operator="beginsWith" text="Accueil">
      <formula>LEFT(I86,LEN("Accueil"))="Accueil"</formula>
    </cfRule>
    <cfRule type="beginsWith" dxfId="6616" priority="9016" operator="beginsWith" text="Stage">
      <formula>LEFT(I86,LEN("Stage"))="Stage"</formula>
    </cfRule>
    <cfRule type="beginsWith" dxfId="6615" priority="9017" operator="beginsWith" text="Entreprise">
      <formula>LEFT(I86,LEN("Entreprise"))="Entreprise"</formula>
    </cfRule>
    <cfRule type="beginsWith" dxfId="6614" priority="9018" operator="beginsWith" text="Voltaire">
      <formula>LEFT(I86,LEN("Voltaire"))="Voltaire"</formula>
    </cfRule>
  </conditionalFormatting>
  <conditionalFormatting sqref="I106">
    <cfRule type="beginsWith" dxfId="6613" priority="9003" operator="beginsWith" text="Projet professionnel : Séminaire PFI">
      <formula>LEFT(I106,LEN("Projet professionnel : Séminaire PFI"))="Projet professionnel : Séminaire PFI"</formula>
    </cfRule>
    <cfRule type="beginsWith" dxfId="6612" priority="9004" operator="beginsWith" text="Lancement Projet fil rouge">
      <formula>LEFT(I106,LEN("Lancement Projet fil rouge"))="Lancement Projet fil rouge"</formula>
    </cfRule>
    <cfRule type="beginsWith" dxfId="6611" priority="9005" operator="beginsWith" text="Vacances">
      <formula>LEFT(I106,LEN("Vacances"))="Vacances"</formula>
    </cfRule>
    <cfRule type="beginsWith" dxfId="6610" priority="9006" operator="beginsWith" text="Séminaire d'intégration">
      <formula>LEFT(I106,LEN("Séminaire d'intégration"))="Séminaire d'intégration"</formula>
    </cfRule>
    <cfRule type="beginsWith" dxfId="6609" priority="9007" operator="beginsWith" text="Accueil">
      <formula>LEFT(I106,LEN("Accueil"))="Accueil"</formula>
    </cfRule>
    <cfRule type="beginsWith" dxfId="6608" priority="9008" operator="beginsWith" text="Stage">
      <formula>LEFT(I106,LEN("Stage"))="Stage"</formula>
    </cfRule>
    <cfRule type="beginsWith" dxfId="6607" priority="9009" operator="beginsWith" text="Entreprise">
      <formula>LEFT(I106,LEN("Entreprise"))="Entreprise"</formula>
    </cfRule>
    <cfRule type="beginsWith" dxfId="6606" priority="9010" operator="beginsWith" text="Voltaire">
      <formula>LEFT(I106,LEN("Voltaire"))="Voltaire"</formula>
    </cfRule>
  </conditionalFormatting>
  <conditionalFormatting sqref="I141">
    <cfRule type="beginsWith" dxfId="6605" priority="8995" operator="beginsWith" text="Projet professionnel : Séminaire PFI">
      <formula>LEFT(I141,LEN("Projet professionnel : Séminaire PFI"))="Projet professionnel : Séminaire PFI"</formula>
    </cfRule>
    <cfRule type="beginsWith" dxfId="6604" priority="8996" operator="beginsWith" text="Lancement Projet fil rouge">
      <formula>LEFT(I141,LEN("Lancement Projet fil rouge"))="Lancement Projet fil rouge"</formula>
    </cfRule>
    <cfRule type="beginsWith" dxfId="6603" priority="8997" operator="beginsWith" text="Vacances">
      <formula>LEFT(I141,LEN("Vacances"))="Vacances"</formula>
    </cfRule>
    <cfRule type="beginsWith" dxfId="6602" priority="8998" operator="beginsWith" text="Séminaire d'intégration">
      <formula>LEFT(I141,LEN("Séminaire d'intégration"))="Séminaire d'intégration"</formula>
    </cfRule>
    <cfRule type="beginsWith" dxfId="6601" priority="8999" operator="beginsWith" text="Accueil">
      <formula>LEFT(I141,LEN("Accueil"))="Accueil"</formula>
    </cfRule>
    <cfRule type="beginsWith" dxfId="6600" priority="9000" operator="beginsWith" text="Stage">
      <formula>LEFT(I141,LEN("Stage"))="Stage"</formula>
    </cfRule>
    <cfRule type="beginsWith" dxfId="6599" priority="9001" operator="beginsWith" text="Entreprise">
      <formula>LEFT(I141,LEN("Entreprise"))="Entreprise"</formula>
    </cfRule>
    <cfRule type="beginsWith" dxfId="6598" priority="9002" operator="beginsWith" text="Voltaire">
      <formula>LEFT(I141,LEN("Voltaire"))="Voltaire"</formula>
    </cfRule>
  </conditionalFormatting>
  <conditionalFormatting sqref="I146">
    <cfRule type="beginsWith" dxfId="6597" priority="8987" operator="beginsWith" text="Projet professionnel : Séminaire PFI">
      <formula>LEFT(I146,LEN("Projet professionnel : Séminaire PFI"))="Projet professionnel : Séminaire PFI"</formula>
    </cfRule>
    <cfRule type="beginsWith" dxfId="6596" priority="8988" operator="beginsWith" text="Lancement Projet fil rouge">
      <formula>LEFT(I146,LEN("Lancement Projet fil rouge"))="Lancement Projet fil rouge"</formula>
    </cfRule>
    <cfRule type="beginsWith" dxfId="6595" priority="8989" operator="beginsWith" text="Vacances">
      <formula>LEFT(I146,LEN("Vacances"))="Vacances"</formula>
    </cfRule>
    <cfRule type="beginsWith" dxfId="6594" priority="8990" operator="beginsWith" text="Séminaire d'intégration">
      <formula>LEFT(I146,LEN("Séminaire d'intégration"))="Séminaire d'intégration"</formula>
    </cfRule>
    <cfRule type="beginsWith" dxfId="6593" priority="8991" operator="beginsWith" text="Accueil">
      <formula>LEFT(I146,LEN("Accueil"))="Accueil"</formula>
    </cfRule>
    <cfRule type="beginsWith" dxfId="6592" priority="8992" operator="beginsWith" text="Stage">
      <formula>LEFT(I146,LEN("Stage"))="Stage"</formula>
    </cfRule>
    <cfRule type="beginsWith" dxfId="6591" priority="8993" operator="beginsWith" text="Entreprise">
      <formula>LEFT(I146,LEN("Entreprise"))="Entreprise"</formula>
    </cfRule>
    <cfRule type="beginsWith" dxfId="6590" priority="8994" operator="beginsWith" text="Voltaire">
      <formula>LEFT(I146,LEN("Voltaire"))="Voltaire"</formula>
    </cfRule>
  </conditionalFormatting>
  <conditionalFormatting sqref="I151">
    <cfRule type="beginsWith" dxfId="6589" priority="8979" operator="beginsWith" text="Projet professionnel : Séminaire PFI">
      <formula>LEFT(I151,LEN("Projet professionnel : Séminaire PFI"))="Projet professionnel : Séminaire PFI"</formula>
    </cfRule>
    <cfRule type="beginsWith" dxfId="6588" priority="8980" operator="beginsWith" text="Lancement Projet fil rouge">
      <formula>LEFT(I151,LEN("Lancement Projet fil rouge"))="Lancement Projet fil rouge"</formula>
    </cfRule>
    <cfRule type="beginsWith" dxfId="6587" priority="8981" operator="beginsWith" text="Vacances">
      <formula>LEFT(I151,LEN("Vacances"))="Vacances"</formula>
    </cfRule>
    <cfRule type="beginsWith" dxfId="6586" priority="8982" operator="beginsWith" text="Séminaire d'intégration">
      <formula>LEFT(I151,LEN("Séminaire d'intégration"))="Séminaire d'intégration"</formula>
    </cfRule>
    <cfRule type="beginsWith" dxfId="6585" priority="8983" operator="beginsWith" text="Accueil">
      <formula>LEFT(I151,LEN("Accueil"))="Accueil"</formula>
    </cfRule>
    <cfRule type="beginsWith" dxfId="6584" priority="8984" operator="beginsWith" text="Stage">
      <formula>LEFT(I151,LEN("Stage"))="Stage"</formula>
    </cfRule>
    <cfRule type="beginsWith" dxfId="6583" priority="8985" operator="beginsWith" text="Entreprise">
      <formula>LEFT(I151,LEN("Entreprise"))="Entreprise"</formula>
    </cfRule>
    <cfRule type="beginsWith" dxfId="6582" priority="8986" operator="beginsWith" text="Voltaire">
      <formula>LEFT(I151,LEN("Voltaire"))="Voltaire"</formula>
    </cfRule>
  </conditionalFormatting>
  <conditionalFormatting sqref="I171">
    <cfRule type="beginsWith" dxfId="6581" priority="8971" operator="beginsWith" text="Projet professionnel : Séminaire PFI">
      <formula>LEFT(I171,LEN("Projet professionnel : Séminaire PFI"))="Projet professionnel : Séminaire PFI"</formula>
    </cfRule>
    <cfRule type="beginsWith" dxfId="6580" priority="8972" operator="beginsWith" text="Lancement Projet fil rouge">
      <formula>LEFT(I171,LEN("Lancement Projet fil rouge"))="Lancement Projet fil rouge"</formula>
    </cfRule>
    <cfRule type="beginsWith" dxfId="6579" priority="8973" operator="beginsWith" text="Vacances">
      <formula>LEFT(I171,LEN("Vacances"))="Vacances"</formula>
    </cfRule>
    <cfRule type="beginsWith" dxfId="6578" priority="8974" operator="beginsWith" text="Séminaire d'intégration">
      <formula>LEFT(I171,LEN("Séminaire d'intégration"))="Séminaire d'intégration"</formula>
    </cfRule>
    <cfRule type="beginsWith" dxfId="6577" priority="8975" operator="beginsWith" text="Accueil">
      <formula>LEFT(I171,LEN("Accueil"))="Accueil"</formula>
    </cfRule>
    <cfRule type="beginsWith" dxfId="6576" priority="8976" operator="beginsWith" text="Stage">
      <formula>LEFT(I171,LEN("Stage"))="Stage"</formula>
    </cfRule>
    <cfRule type="beginsWith" dxfId="6575" priority="8977" operator="beginsWith" text="Entreprise">
      <formula>LEFT(I171,LEN("Entreprise"))="Entreprise"</formula>
    </cfRule>
    <cfRule type="beginsWith" dxfId="6574" priority="8978" operator="beginsWith" text="Voltaire">
      <formula>LEFT(I171,LEN("Voltaire"))="Voltaire"</formula>
    </cfRule>
  </conditionalFormatting>
  <conditionalFormatting sqref="I201">
    <cfRule type="beginsWith" dxfId="6573" priority="8963" operator="beginsWith" text="Projet professionnel : Séminaire PFI">
      <formula>LEFT(I201,LEN("Projet professionnel : Séminaire PFI"))="Projet professionnel : Séminaire PFI"</formula>
    </cfRule>
    <cfRule type="beginsWith" dxfId="6572" priority="8964" operator="beginsWith" text="Lancement Projet fil rouge">
      <formula>LEFT(I201,LEN("Lancement Projet fil rouge"))="Lancement Projet fil rouge"</formula>
    </cfRule>
    <cfRule type="beginsWith" dxfId="6571" priority="8965" operator="beginsWith" text="Vacances">
      <formula>LEFT(I201,LEN("Vacances"))="Vacances"</formula>
    </cfRule>
    <cfRule type="beginsWith" dxfId="6570" priority="8966" operator="beginsWith" text="Séminaire d'intégration">
      <formula>LEFT(I201,LEN("Séminaire d'intégration"))="Séminaire d'intégration"</formula>
    </cfRule>
    <cfRule type="beginsWith" dxfId="6569" priority="8967" operator="beginsWith" text="Accueil">
      <formula>LEFT(I201,LEN("Accueil"))="Accueil"</formula>
    </cfRule>
    <cfRule type="beginsWith" dxfId="6568" priority="8968" operator="beginsWith" text="Stage">
      <formula>LEFT(I201,LEN("Stage"))="Stage"</formula>
    </cfRule>
    <cfRule type="beginsWith" dxfId="6567" priority="8969" operator="beginsWith" text="Entreprise">
      <formula>LEFT(I201,LEN("Entreprise"))="Entreprise"</formula>
    </cfRule>
    <cfRule type="beginsWith" dxfId="6566" priority="8970" operator="beginsWith" text="Voltaire">
      <formula>LEFT(I201,LEN("Voltaire"))="Voltaire"</formula>
    </cfRule>
  </conditionalFormatting>
  <conditionalFormatting sqref="I216">
    <cfRule type="beginsWith" dxfId="6565" priority="8955" operator="beginsWith" text="Projet professionnel : Séminaire PFI">
      <formula>LEFT(I216,LEN("Projet professionnel : Séminaire PFI"))="Projet professionnel : Séminaire PFI"</formula>
    </cfRule>
    <cfRule type="beginsWith" dxfId="6564" priority="8956" operator="beginsWith" text="Lancement Projet fil rouge">
      <formula>LEFT(I216,LEN("Lancement Projet fil rouge"))="Lancement Projet fil rouge"</formula>
    </cfRule>
    <cfRule type="beginsWith" dxfId="6563" priority="8957" operator="beginsWith" text="Vacances">
      <formula>LEFT(I216,LEN("Vacances"))="Vacances"</formula>
    </cfRule>
    <cfRule type="beginsWith" dxfId="6562" priority="8958" operator="beginsWith" text="Séminaire d'intégration">
      <formula>LEFT(I216,LEN("Séminaire d'intégration"))="Séminaire d'intégration"</formula>
    </cfRule>
    <cfRule type="beginsWith" dxfId="6561" priority="8959" operator="beginsWith" text="Accueil">
      <formula>LEFT(I216,LEN("Accueil"))="Accueil"</formula>
    </cfRule>
    <cfRule type="beginsWith" dxfId="6560" priority="8960" operator="beginsWith" text="Stage">
      <formula>LEFT(I216,LEN("Stage"))="Stage"</formula>
    </cfRule>
    <cfRule type="beginsWith" dxfId="6559" priority="8961" operator="beginsWith" text="Entreprise">
      <formula>LEFT(I216,LEN("Entreprise"))="Entreprise"</formula>
    </cfRule>
    <cfRule type="beginsWith" dxfId="6558" priority="8962" operator="beginsWith" text="Voltaire">
      <formula>LEFT(I216,LEN("Voltaire"))="Voltaire"</formula>
    </cfRule>
  </conditionalFormatting>
  <conditionalFormatting sqref="P1:P5 P56:P60 P96:P104 P138 P182:P187 P264:P1048576">
    <cfRule type="beginsWith" dxfId="6557" priority="8948" operator="beginsWith" text="Lancement Projet fil rouge">
      <formula>LEFT(P1,LEN("Lancement Projet fil rouge"))="Lancement Projet fil rouge"</formula>
    </cfRule>
  </conditionalFormatting>
  <conditionalFormatting sqref="P105">
    <cfRule type="beginsWith" dxfId="6556" priority="8946" operator="beginsWith" text="Lancement Projet fil rouge">
      <formula>LEFT(P105,LEN("Lancement Projet fil rouge"))="Lancement Projet fil rouge"</formula>
    </cfRule>
  </conditionalFormatting>
  <conditionalFormatting sqref="P6">
    <cfRule type="beginsWith" dxfId="6555" priority="8906" operator="beginsWith" text="Projet professionnel : Séminaire PFI">
      <formula>LEFT(P6,LEN("Projet professionnel : Séminaire PFI"))="Projet professionnel : Séminaire PFI"</formula>
    </cfRule>
    <cfRule type="beginsWith" dxfId="6554" priority="8907" operator="beginsWith" text="Lancement Projet fil rouge">
      <formula>LEFT(P6,LEN("Lancement Projet fil rouge"))="Lancement Projet fil rouge"</formula>
    </cfRule>
    <cfRule type="beginsWith" dxfId="6553" priority="8908" operator="beginsWith" text="Vacances">
      <formula>LEFT(P6,LEN("Vacances"))="Vacances"</formula>
    </cfRule>
    <cfRule type="beginsWith" dxfId="6552" priority="8909" operator="beginsWith" text="Séminaire d'intégration">
      <formula>LEFT(P6,LEN("Séminaire d'intégration"))="Séminaire d'intégration"</formula>
    </cfRule>
    <cfRule type="beginsWith" dxfId="6551" priority="8910" operator="beginsWith" text="Accueil">
      <formula>LEFT(P6,LEN("Accueil"))="Accueil"</formula>
    </cfRule>
    <cfRule type="beginsWith" dxfId="6550" priority="8911" operator="beginsWith" text="Stage">
      <formula>LEFT(P6,LEN("Stage"))="Stage"</formula>
    </cfRule>
    <cfRule type="beginsWith" dxfId="6549" priority="8912" operator="beginsWith" text="Entreprise">
      <formula>LEFT(P6,LEN("Entreprise"))="Entreprise"</formula>
    </cfRule>
    <cfRule type="beginsWith" dxfId="6548" priority="8913" operator="beginsWith" text="Voltaire">
      <formula>LEFT(P6,LEN("Voltaire"))="Voltaire"</formula>
    </cfRule>
  </conditionalFormatting>
  <conditionalFormatting sqref="P11">
    <cfRule type="beginsWith" dxfId="6547" priority="8914" operator="beginsWith" text="Projet professionnel : Séminaire PFI">
      <formula>LEFT(P11,LEN("Projet professionnel : Séminaire PFI"))="Projet professionnel : Séminaire PFI"</formula>
    </cfRule>
    <cfRule type="beginsWith" dxfId="6546" priority="8915" operator="beginsWith" text="Lancement Projet fil rouge">
      <formula>LEFT(P11,LEN("Lancement Projet fil rouge"))="Lancement Projet fil rouge"</formula>
    </cfRule>
    <cfRule type="beginsWith" dxfId="6545" priority="8916" operator="beginsWith" text="Vacances">
      <formula>LEFT(P11,LEN("Vacances"))="Vacances"</formula>
    </cfRule>
    <cfRule type="beginsWith" dxfId="6544" priority="8917" operator="beginsWith" text="Séminaire d'intégration">
      <formula>LEFT(P11,LEN("Séminaire d'intégration"))="Séminaire d'intégration"</formula>
    </cfRule>
    <cfRule type="beginsWith" dxfId="6543" priority="8918" operator="beginsWith" text="Accueil">
      <formula>LEFT(P11,LEN("Accueil"))="Accueil"</formula>
    </cfRule>
    <cfRule type="beginsWith" dxfId="6542" priority="8919" operator="beginsWith" text="Stage">
      <formula>LEFT(P11,LEN("Stage"))="Stage"</formula>
    </cfRule>
    <cfRule type="beginsWith" dxfId="6541" priority="8920" operator="beginsWith" text="Entreprise">
      <formula>LEFT(P11,LEN("Entreprise"))="Entreprise"</formula>
    </cfRule>
    <cfRule type="beginsWith" dxfId="6540" priority="8921" operator="beginsWith" text="Voltaire">
      <formula>LEFT(P11,LEN("Voltaire"))="Voltaire"</formula>
    </cfRule>
  </conditionalFormatting>
  <conditionalFormatting sqref="P21">
    <cfRule type="beginsWith" dxfId="6539" priority="8922" operator="beginsWith" text="Projet professionnel : Séminaire PFI">
      <formula>LEFT(P21,LEN("Projet professionnel : Séminaire PFI"))="Projet professionnel : Séminaire PFI"</formula>
    </cfRule>
    <cfRule type="beginsWith" dxfId="6538" priority="8923" operator="beginsWith" text="Lancement Projet fil rouge">
      <formula>LEFT(P21,LEN("Lancement Projet fil rouge"))="Lancement Projet fil rouge"</formula>
    </cfRule>
    <cfRule type="beginsWith" dxfId="6537" priority="8924" operator="beginsWith" text="Vacances">
      <formula>LEFT(P21,LEN("Vacances"))="Vacances"</formula>
    </cfRule>
    <cfRule type="beginsWith" dxfId="6536" priority="8925" operator="beginsWith" text="Séminaire d'intégration">
      <formula>LEFT(P21,LEN("Séminaire d'intégration"))="Séminaire d'intégration"</formula>
    </cfRule>
    <cfRule type="beginsWith" dxfId="6535" priority="8926" operator="beginsWith" text="Accueil">
      <formula>LEFT(P21,LEN("Accueil"))="Accueil"</formula>
    </cfRule>
    <cfRule type="beginsWith" dxfId="6534" priority="8927" operator="beginsWith" text="Stage">
      <formula>LEFT(P21,LEN("Stage"))="Stage"</formula>
    </cfRule>
    <cfRule type="beginsWith" dxfId="6533" priority="8928" operator="beginsWith" text="Entreprise">
      <formula>LEFT(P21,LEN("Entreprise"))="Entreprise"</formula>
    </cfRule>
    <cfRule type="beginsWith" dxfId="6532" priority="8929" operator="beginsWith" text="Voltaire">
      <formula>LEFT(P21,LEN("Voltaire"))="Voltaire"</formula>
    </cfRule>
  </conditionalFormatting>
  <conditionalFormatting sqref="P36">
    <cfRule type="beginsWith" dxfId="6531" priority="8930" operator="beginsWith" text="Projet professionnel : Séminaire PFI">
      <formula>LEFT(P36,LEN("Projet professionnel : Séminaire PFI"))="Projet professionnel : Séminaire PFI"</formula>
    </cfRule>
    <cfRule type="beginsWith" dxfId="6530" priority="8932" operator="beginsWith" text="Vacances">
      <formula>LEFT(P36,LEN("Vacances"))="Vacances"</formula>
    </cfRule>
    <cfRule type="beginsWith" dxfId="6529" priority="8933" operator="beginsWith" text="Séminaire d'intégration">
      <formula>LEFT(P36,LEN("Séminaire d'intégration"))="Séminaire d'intégration"</formula>
    </cfRule>
    <cfRule type="beginsWith" dxfId="6528" priority="8934" operator="beginsWith" text="Accueil">
      <formula>LEFT(P36,LEN("Accueil"))="Accueil"</formula>
    </cfRule>
    <cfRule type="beginsWith" dxfId="6527" priority="8935" operator="beginsWith" text="Stage">
      <formula>LEFT(P36,LEN("Stage"))="Stage"</formula>
    </cfRule>
    <cfRule type="beginsWith" dxfId="6526" priority="8936" operator="beginsWith" text="Entreprise">
      <formula>LEFT(P36,LEN("Entreprise"))="Entreprise"</formula>
    </cfRule>
    <cfRule type="beginsWith" dxfId="6525" priority="8937" operator="beginsWith" text="Voltaire">
      <formula>LEFT(P36,LEN("Voltaire"))="Voltaire"</formula>
    </cfRule>
  </conditionalFormatting>
  <conditionalFormatting sqref="P51">
    <cfRule type="beginsWith" dxfId="6524" priority="8938" operator="beginsWith" text="Projet professionnel : Séminaire PFI">
      <formula>LEFT(P51,LEN("Projet professionnel : Séminaire PFI"))="Projet professionnel : Séminaire PFI"</formula>
    </cfRule>
    <cfRule type="beginsWith" dxfId="6523" priority="8939" operator="beginsWith" text="Lancement Projet fil rouge">
      <formula>LEFT(P51,LEN("Lancement Projet fil rouge"))="Lancement Projet fil rouge"</formula>
    </cfRule>
    <cfRule type="beginsWith" dxfId="6522" priority="8940" operator="beginsWith" text="Vacances">
      <formula>LEFT(P51,LEN("Vacances"))="Vacances"</formula>
    </cfRule>
    <cfRule type="beginsWith" dxfId="6521" priority="8941" operator="beginsWith" text="Séminaire d'intégration">
      <formula>LEFT(P51,LEN("Séminaire d'intégration"))="Séminaire d'intégration"</formula>
    </cfRule>
    <cfRule type="beginsWith" dxfId="6520" priority="8942" operator="beginsWith" text="Accueil">
      <formula>LEFT(P51,LEN("Accueil"))="Accueil"</formula>
    </cfRule>
    <cfRule type="beginsWith" dxfId="6519" priority="8943" operator="beginsWith" text="Stage">
      <formula>LEFT(P51,LEN("Stage"))="Stage"</formula>
    </cfRule>
    <cfRule type="beginsWith" dxfId="6518" priority="8944" operator="beginsWith" text="Entreprise">
      <formula>LEFT(P51,LEN("Entreprise"))="Entreprise"</formula>
    </cfRule>
    <cfRule type="beginsWith" dxfId="6517" priority="8945" operator="beginsWith" text="Voltaire">
      <formula>LEFT(P51,LEN("Voltaire"))="Voltaire"</formula>
    </cfRule>
  </conditionalFormatting>
  <conditionalFormatting sqref="P61:P65">
    <cfRule type="beginsWith" dxfId="6516" priority="8899" operator="beginsWith" text="Lancement Projet fil rouge">
      <formula>LEFT(P61,LEN("Lancement Projet fil rouge"))="Lancement Projet fil rouge"</formula>
    </cfRule>
    <cfRule type="beginsWith" dxfId="6515" priority="8900" operator="beginsWith" text="Vacances">
      <formula>LEFT(P61,LEN("Vacances"))="Vacances"</formula>
    </cfRule>
    <cfRule type="beginsWith" dxfId="6514" priority="8901" operator="beginsWith" text="Séminaire d'intégration">
      <formula>LEFT(P61,LEN("Séminaire d'intégration"))="Séminaire d'intégration"</formula>
    </cfRule>
    <cfRule type="beginsWith" dxfId="6513" priority="8902" operator="beginsWith" text="Accueil">
      <formula>LEFT(P61,LEN("Accueil"))="Accueil"</formula>
    </cfRule>
    <cfRule type="beginsWith" dxfId="6512" priority="8903" operator="beginsWith" text="Stage">
      <formula>LEFT(P61,LEN("Stage"))="Stage"</formula>
    </cfRule>
    <cfRule type="beginsWith" dxfId="6511" priority="8904" operator="beginsWith" text="Entreprise">
      <formula>LEFT(P61,LEN("Entreprise"))="Entreprise"</formula>
    </cfRule>
    <cfRule type="beginsWith" dxfId="6510" priority="8905" operator="beginsWith" text="Voltaire">
      <formula>LEFT(P61,LEN("Voltaire"))="Voltaire"</formula>
    </cfRule>
  </conditionalFormatting>
  <conditionalFormatting sqref="P66">
    <cfRule type="beginsWith" dxfId="6509" priority="8891" operator="beginsWith" text="Projet professionnel : Séminaire PFI">
      <formula>LEFT(P66,LEN("Projet professionnel : Séminaire PFI"))="Projet professionnel : Séminaire PFI"</formula>
    </cfRule>
    <cfRule type="beginsWith" dxfId="6508" priority="8892" operator="beginsWith" text="Lancement Projet fil rouge">
      <formula>LEFT(P66,LEN("Lancement Projet fil rouge"))="Lancement Projet fil rouge"</formula>
    </cfRule>
    <cfRule type="beginsWith" dxfId="6507" priority="8893" operator="beginsWith" text="Vacances">
      <formula>LEFT(P66,LEN("Vacances"))="Vacances"</formula>
    </cfRule>
    <cfRule type="beginsWith" dxfId="6506" priority="8894" operator="beginsWith" text="Séminaire d'intégration">
      <formula>LEFT(P66,LEN("Séminaire d'intégration"))="Séminaire d'intégration"</formula>
    </cfRule>
    <cfRule type="beginsWith" dxfId="6505" priority="8895" operator="beginsWith" text="Accueil">
      <formula>LEFT(P66,LEN("Accueil"))="Accueil"</formula>
    </cfRule>
    <cfRule type="beginsWith" dxfId="6504" priority="8896" operator="beginsWith" text="Stage">
      <formula>LEFT(P66,LEN("Stage"))="Stage"</formula>
    </cfRule>
    <cfRule type="beginsWith" dxfId="6503" priority="8897" operator="beginsWith" text="Entreprise">
      <formula>LEFT(P66,LEN("Entreprise"))="Entreprise"</formula>
    </cfRule>
    <cfRule type="beginsWith" dxfId="6502" priority="8898" operator="beginsWith" text="Voltaire">
      <formula>LEFT(P66,LEN("Voltaire"))="Voltaire"</formula>
    </cfRule>
  </conditionalFormatting>
  <conditionalFormatting sqref="P71">
    <cfRule type="beginsWith" dxfId="6501" priority="8883" operator="beginsWith" text="Projet professionnel : Séminaire PFI">
      <formula>LEFT(P71,LEN("Projet professionnel : Séminaire PFI"))="Projet professionnel : Séminaire PFI"</formula>
    </cfRule>
    <cfRule type="beginsWith" dxfId="6500" priority="8884" operator="beginsWith" text="Lancement Projet fil rouge">
      <formula>LEFT(P71,LEN("Lancement Projet fil rouge"))="Lancement Projet fil rouge"</formula>
    </cfRule>
    <cfRule type="beginsWith" dxfId="6499" priority="8885" operator="beginsWith" text="Vacances">
      <formula>LEFT(P71,LEN("Vacances"))="Vacances"</formula>
    </cfRule>
    <cfRule type="beginsWith" dxfId="6498" priority="8886" operator="beginsWith" text="Séminaire d'intégration">
      <formula>LEFT(P71,LEN("Séminaire d'intégration"))="Séminaire d'intégration"</formula>
    </cfRule>
    <cfRule type="beginsWith" dxfId="6497" priority="8887" operator="beginsWith" text="Accueil">
      <formula>LEFT(P71,LEN("Accueil"))="Accueil"</formula>
    </cfRule>
    <cfRule type="beginsWith" dxfId="6496" priority="8888" operator="beginsWith" text="Stage">
      <formula>LEFT(P71,LEN("Stage"))="Stage"</formula>
    </cfRule>
    <cfRule type="beginsWith" dxfId="6495" priority="8889" operator="beginsWith" text="Entreprise">
      <formula>LEFT(P71,LEN("Entreprise"))="Entreprise"</formula>
    </cfRule>
    <cfRule type="beginsWith" dxfId="6494" priority="8890" operator="beginsWith" text="Voltaire">
      <formula>LEFT(P71,LEN("Voltaire"))="Voltaire"</formula>
    </cfRule>
  </conditionalFormatting>
  <conditionalFormatting sqref="P91">
    <cfRule type="beginsWith" dxfId="6493" priority="8875" operator="beginsWith" text="Projet professionnel : Séminaire PFI">
      <formula>LEFT(P91,LEN("Projet professionnel : Séminaire PFI"))="Projet professionnel : Séminaire PFI"</formula>
    </cfRule>
    <cfRule type="beginsWith" dxfId="6492" priority="8876" operator="beginsWith" text="Lancement Projet fil rouge">
      <formula>LEFT(P91,LEN("Lancement Projet fil rouge"))="Lancement Projet fil rouge"</formula>
    </cfRule>
    <cfRule type="beginsWith" dxfId="6491" priority="8877" operator="beginsWith" text="Vacances">
      <formula>LEFT(P91,LEN("Vacances"))="Vacances"</formula>
    </cfRule>
    <cfRule type="beginsWith" dxfId="6490" priority="8878" operator="beginsWith" text="Séminaire d'intégration">
      <formula>LEFT(P91,LEN("Séminaire d'intégration"))="Séminaire d'intégration"</formula>
    </cfRule>
    <cfRule type="beginsWith" dxfId="6489" priority="8879" operator="beginsWith" text="Accueil">
      <formula>LEFT(P91,LEN("Accueil"))="Accueil"</formula>
    </cfRule>
    <cfRule type="beginsWith" dxfId="6488" priority="8880" operator="beginsWith" text="Stage">
      <formula>LEFT(P91,LEN("Stage"))="Stage"</formula>
    </cfRule>
    <cfRule type="beginsWith" dxfId="6487" priority="8881" operator="beginsWith" text="Entreprise">
      <formula>LEFT(P91,LEN("Entreprise"))="Entreprise"</formula>
    </cfRule>
    <cfRule type="beginsWith" dxfId="6486" priority="8882" operator="beginsWith" text="Voltaire">
      <formula>LEFT(P91,LEN("Voltaire"))="Voltaire"</formula>
    </cfRule>
  </conditionalFormatting>
  <conditionalFormatting sqref="P126">
    <cfRule type="beginsWith" dxfId="6485" priority="8867" operator="beginsWith" text="Projet professionnel : Séminaire PFI">
      <formula>LEFT(P126,LEN("Projet professionnel : Séminaire PFI"))="Projet professionnel : Séminaire PFI"</formula>
    </cfRule>
    <cfRule type="beginsWith" dxfId="6484" priority="8868" operator="beginsWith" text="Lancement Projet fil rouge">
      <formula>LEFT(P126,LEN("Lancement Projet fil rouge"))="Lancement Projet fil rouge"</formula>
    </cfRule>
    <cfRule type="beginsWith" dxfId="6483" priority="8869" operator="beginsWith" text="Vacances">
      <formula>LEFT(P126,LEN("Vacances"))="Vacances"</formula>
    </cfRule>
    <cfRule type="beginsWith" dxfId="6482" priority="8870" operator="beginsWith" text="Séminaire d'intégration">
      <formula>LEFT(P126,LEN("Séminaire d'intégration"))="Séminaire d'intégration"</formula>
    </cfRule>
    <cfRule type="beginsWith" dxfId="6481" priority="8871" operator="beginsWith" text="Accueil">
      <formula>LEFT(P126,LEN("Accueil"))="Accueil"</formula>
    </cfRule>
    <cfRule type="beginsWith" dxfId="6480" priority="8872" operator="beginsWith" text="Stage">
      <formula>LEFT(P126,LEN("Stage"))="Stage"</formula>
    </cfRule>
    <cfRule type="beginsWith" dxfId="6479" priority="8873" operator="beginsWith" text="Entreprise">
      <formula>LEFT(P126,LEN("Entreprise"))="Entreprise"</formula>
    </cfRule>
    <cfRule type="beginsWith" dxfId="6478" priority="8874" operator="beginsWith" text="Voltaire">
      <formula>LEFT(P126,LEN("Voltaire"))="Voltaire"</formula>
    </cfRule>
  </conditionalFormatting>
  <conditionalFormatting sqref="P161">
    <cfRule type="beginsWith" dxfId="6477" priority="8859" operator="beginsWith" text="Projet professionnel : Séminaire PFI">
      <formula>LEFT(P161,LEN("Projet professionnel : Séminaire PFI"))="Projet professionnel : Séminaire PFI"</formula>
    </cfRule>
    <cfRule type="beginsWith" dxfId="6476" priority="8860" operator="beginsWith" text="Lancement Projet fil rouge">
      <formula>LEFT(P161,LEN("Lancement Projet fil rouge"))="Lancement Projet fil rouge"</formula>
    </cfRule>
    <cfRule type="beginsWith" dxfId="6475" priority="8861" operator="beginsWith" text="Vacances">
      <formula>LEFT(P161,LEN("Vacances"))="Vacances"</formula>
    </cfRule>
    <cfRule type="beginsWith" dxfId="6474" priority="8862" operator="beginsWith" text="Séminaire d'intégration">
      <formula>LEFT(P161,LEN("Séminaire d'intégration"))="Séminaire d'intégration"</formula>
    </cfRule>
    <cfRule type="beginsWith" dxfId="6473" priority="8863" operator="beginsWith" text="Accueil">
      <formula>LEFT(P161,LEN("Accueil"))="Accueil"</formula>
    </cfRule>
    <cfRule type="beginsWith" dxfId="6472" priority="8864" operator="beginsWith" text="Stage">
      <formula>LEFT(P161,LEN("Stage"))="Stage"</formula>
    </cfRule>
    <cfRule type="beginsWith" dxfId="6471" priority="8865" operator="beginsWith" text="Entreprise">
      <formula>LEFT(P161,LEN("Entreprise"))="Entreprise"</formula>
    </cfRule>
    <cfRule type="beginsWith" dxfId="6470" priority="8866" operator="beginsWith" text="Voltaire">
      <formula>LEFT(P161,LEN("Voltaire"))="Voltaire"</formula>
    </cfRule>
  </conditionalFormatting>
  <conditionalFormatting sqref="P166">
    <cfRule type="beginsWith" dxfId="6469" priority="8851" operator="beginsWith" text="Projet professionnel : Séminaire PFI">
      <formula>LEFT(P166,LEN("Projet professionnel : Séminaire PFI"))="Projet professionnel : Séminaire PFI"</formula>
    </cfRule>
    <cfRule type="beginsWith" dxfId="6468" priority="8852" operator="beginsWith" text="Lancement Projet fil rouge">
      <formula>LEFT(P166,LEN("Lancement Projet fil rouge"))="Lancement Projet fil rouge"</formula>
    </cfRule>
    <cfRule type="beginsWith" dxfId="6467" priority="8853" operator="beginsWith" text="Vacances">
      <formula>LEFT(P166,LEN("Vacances"))="Vacances"</formula>
    </cfRule>
    <cfRule type="beginsWith" dxfId="6466" priority="8854" operator="beginsWith" text="Séminaire d'intégration">
      <formula>LEFT(P166,LEN("Séminaire d'intégration"))="Séminaire d'intégration"</formula>
    </cfRule>
    <cfRule type="beginsWith" dxfId="6465" priority="8855" operator="beginsWith" text="Accueil">
      <formula>LEFT(P166,LEN("Accueil"))="Accueil"</formula>
    </cfRule>
    <cfRule type="beginsWith" dxfId="6464" priority="8856" operator="beginsWith" text="Stage">
      <formula>LEFT(P166,LEN("Stage"))="Stage"</formula>
    </cfRule>
    <cfRule type="beginsWith" dxfId="6463" priority="8857" operator="beginsWith" text="Entreprise">
      <formula>LEFT(P166,LEN("Entreprise"))="Entreprise"</formula>
    </cfRule>
    <cfRule type="beginsWith" dxfId="6462" priority="8858" operator="beginsWith" text="Voltaire">
      <formula>LEFT(P166,LEN("Voltaire"))="Voltaire"</formula>
    </cfRule>
  </conditionalFormatting>
  <conditionalFormatting sqref="P180:P181">
    <cfRule type="beginsWith" dxfId="6461" priority="8844" operator="beginsWith" text="Lancement Projet fil rouge">
      <formula>LEFT(P180,LEN("Lancement Projet fil rouge"))="Lancement Projet fil rouge"</formula>
    </cfRule>
    <cfRule type="beginsWith" dxfId="6460" priority="8845" operator="beginsWith" text="Vacances">
      <formula>LEFT(P180,LEN("Vacances"))="Vacances"</formula>
    </cfRule>
    <cfRule type="beginsWith" dxfId="6459" priority="8846" operator="beginsWith" text="Séminaire d'intégration">
      <formula>LEFT(P180,LEN("Séminaire d'intégration"))="Séminaire d'intégration"</formula>
    </cfRule>
    <cfRule type="beginsWith" dxfId="6458" priority="8847" operator="beginsWith" text="Accueil">
      <formula>LEFT(P180,LEN("Accueil"))="Accueil"</formula>
    </cfRule>
    <cfRule type="beginsWith" dxfId="6457" priority="8848" operator="beginsWith" text="Stage">
      <formula>LEFT(P180,LEN("Stage"))="Stage"</formula>
    </cfRule>
    <cfRule type="beginsWith" dxfId="6456" priority="8849" operator="beginsWith" text="Entreprise">
      <formula>LEFT(P180,LEN("Entreprise"))="Entreprise"</formula>
    </cfRule>
    <cfRule type="beginsWith" dxfId="6455" priority="8850" operator="beginsWith" text="Voltaire">
      <formula>LEFT(P180,LEN("Voltaire"))="Voltaire"</formula>
    </cfRule>
  </conditionalFormatting>
  <conditionalFormatting sqref="P188:P194">
    <cfRule type="beginsWith" dxfId="6454" priority="8829" operator="beginsWith" text="Lancement Projet fil rouge">
      <formula>LEFT(P188,LEN("Lancement Projet fil rouge"))="Lancement Projet fil rouge"</formula>
    </cfRule>
    <cfRule type="beginsWith" dxfId="6453" priority="8830" operator="beginsWith" text="Vacances">
      <formula>LEFT(P188,LEN("Vacances"))="Vacances"</formula>
    </cfRule>
    <cfRule type="beginsWith" dxfId="6452" priority="8831" operator="beginsWith" text="Séminaire d'intégration">
      <formula>LEFT(P188,LEN("Séminaire d'intégration"))="Séminaire d'intégration"</formula>
    </cfRule>
    <cfRule type="beginsWith" dxfId="6451" priority="8832" operator="beginsWith" text="Accueil">
      <formula>LEFT(P188,LEN("Accueil"))="Accueil"</formula>
    </cfRule>
    <cfRule type="beginsWith" dxfId="6450" priority="8833" operator="beginsWith" text="Stage">
      <formula>LEFT(P188,LEN("Stage"))="Stage"</formula>
    </cfRule>
    <cfRule type="beginsWith" dxfId="6449" priority="8834" operator="beginsWith" text="Entreprise">
      <formula>LEFT(P188,LEN("Entreprise"))="Entreprise"</formula>
    </cfRule>
    <cfRule type="beginsWith" dxfId="6448" priority="8835" operator="beginsWith" text="Voltaire">
      <formula>LEFT(P188,LEN("Voltaire"))="Voltaire"</formula>
    </cfRule>
  </conditionalFormatting>
  <conditionalFormatting sqref="P196">
    <cfRule type="beginsWith" dxfId="6447" priority="8821" operator="beginsWith" text="Projet professionnel : Séminaire PFI">
      <formula>LEFT(P196,LEN("Projet professionnel : Séminaire PFI"))="Projet professionnel : Séminaire PFI"</formula>
    </cfRule>
    <cfRule type="beginsWith" dxfId="6446" priority="8822" operator="beginsWith" text="Lancement Projet fil rouge">
      <formula>LEFT(P196,LEN("Lancement Projet fil rouge"))="Lancement Projet fil rouge"</formula>
    </cfRule>
    <cfRule type="beginsWith" dxfId="6445" priority="8823" operator="beginsWith" text="Vacances">
      <formula>LEFT(P196,LEN("Vacances"))="Vacances"</formula>
    </cfRule>
    <cfRule type="beginsWith" dxfId="6444" priority="8824" operator="beginsWith" text="Séminaire d'intégration">
      <formula>LEFT(P196,LEN("Séminaire d'intégration"))="Séminaire d'intégration"</formula>
    </cfRule>
    <cfRule type="beginsWith" dxfId="6443" priority="8825" operator="beginsWith" text="Accueil">
      <formula>LEFT(P196,LEN("Accueil"))="Accueil"</formula>
    </cfRule>
    <cfRule type="beginsWith" dxfId="6442" priority="8826" operator="beginsWith" text="Stage">
      <formula>LEFT(P196,LEN("Stage"))="Stage"</formula>
    </cfRule>
    <cfRule type="beginsWith" dxfId="6441" priority="8827" operator="beginsWith" text="Entreprise">
      <formula>LEFT(P196,LEN("Entreprise"))="Entreprise"</formula>
    </cfRule>
    <cfRule type="beginsWith" dxfId="6440" priority="8828" operator="beginsWith" text="Voltaire">
      <formula>LEFT(P196,LEN("Voltaire"))="Voltaire"</formula>
    </cfRule>
  </conditionalFormatting>
  <conditionalFormatting sqref="P206:P211">
    <cfRule type="beginsWith" dxfId="6439" priority="8814" operator="beginsWith" text="Lancement Projet fil rouge">
      <formula>LEFT(P206,LEN("Lancement Projet fil rouge"))="Lancement Projet fil rouge"</formula>
    </cfRule>
    <cfRule type="beginsWith" dxfId="6438" priority="8815" operator="beginsWith" text="Vacances">
      <formula>LEFT(P206,LEN("Vacances"))="Vacances"</formula>
    </cfRule>
    <cfRule type="beginsWith" dxfId="6437" priority="8816" operator="beginsWith" text="Séminaire d'intégration">
      <formula>LEFT(P206,LEN("Séminaire d'intégration"))="Séminaire d'intégration"</formula>
    </cfRule>
    <cfRule type="beginsWith" dxfId="6436" priority="8817" operator="beginsWith" text="Accueil">
      <formula>LEFT(P206,LEN("Accueil"))="Accueil"</formula>
    </cfRule>
    <cfRule type="beginsWith" dxfId="6435" priority="8818" operator="beginsWith" text="Stage">
      <formula>LEFT(P206,LEN("Stage"))="Stage"</formula>
    </cfRule>
    <cfRule type="beginsWith" dxfId="6434" priority="8819" operator="beginsWith" text="Entreprise">
      <formula>LEFT(P206,LEN("Entreprise"))="Entreprise"</formula>
    </cfRule>
    <cfRule type="beginsWith" dxfId="6433" priority="8820" operator="beginsWith" text="Voltaire">
      <formula>LEFT(P206,LEN("Voltaire"))="Voltaire"</formula>
    </cfRule>
  </conditionalFormatting>
  <conditionalFormatting sqref="P221">
    <cfRule type="beginsWith" dxfId="6432" priority="8836" operator="beginsWith" text="Projet professionnel : Séminaire PFI">
      <formula>LEFT(P221,LEN("Projet professionnel : Séminaire PFI"))="Projet professionnel : Séminaire PFI"</formula>
    </cfRule>
    <cfRule type="beginsWith" dxfId="6431" priority="8837" operator="beginsWith" text="Lancement Projet fil rouge">
      <formula>LEFT(P221,LEN("Lancement Projet fil rouge"))="Lancement Projet fil rouge"</formula>
    </cfRule>
    <cfRule type="beginsWith" dxfId="6430" priority="8838" operator="beginsWith" text="Vacances">
      <formula>LEFT(P221,LEN("Vacances"))="Vacances"</formula>
    </cfRule>
    <cfRule type="beginsWith" dxfId="6429" priority="8839" operator="beginsWith" text="Séminaire d'intégration">
      <formula>LEFT(P221,LEN("Séminaire d'intégration"))="Séminaire d'intégration"</formula>
    </cfRule>
    <cfRule type="beginsWith" dxfId="6428" priority="8840" operator="beginsWith" text="Accueil">
      <formula>LEFT(P221,LEN("Accueil"))="Accueil"</formula>
    </cfRule>
    <cfRule type="beginsWith" dxfId="6427" priority="8841" operator="beginsWith" text="Stage">
      <formula>LEFT(P221,LEN("Stage"))="Stage"</formula>
    </cfRule>
    <cfRule type="beginsWith" dxfId="6426" priority="8842" operator="beginsWith" text="Entreprise">
      <formula>LEFT(P221,LEN("Entreprise"))="Entreprise"</formula>
    </cfRule>
    <cfRule type="beginsWith" dxfId="6425" priority="8843" operator="beginsWith" text="Voltaire">
      <formula>LEFT(P221,LEN("Voltaire"))="Voltaire"</formula>
    </cfRule>
  </conditionalFormatting>
  <conditionalFormatting sqref="P36">
    <cfRule type="beginsWith" dxfId="6424" priority="8931" operator="beginsWith" text="Lancement Projet fil rouge">
      <formula>LEFT(P36,LEN("Lancement Projet fil rouge"))="Lancement Projet fil rouge"</formula>
    </cfRule>
  </conditionalFormatting>
  <conditionalFormatting sqref="P261:P262">
    <cfRule type="beginsWith" dxfId="6423" priority="8947" operator="beginsWith" text="Lancement Projet fil rouge">
      <formula>LEFT(P261,LEN("Lancement Projet fil rouge"))="Lancement Projet fil rouge"</formula>
    </cfRule>
  </conditionalFormatting>
  <conditionalFormatting sqref="P1:P5 P56:P60 P96:P105 P138 P182:P187 P261:P262 P264:P1048576">
    <cfRule type="beginsWith" dxfId="6422" priority="8949" operator="beginsWith" text="Vacances">
      <formula>LEFT(P1,LEN("Vacances"))="Vacances"</formula>
    </cfRule>
  </conditionalFormatting>
  <conditionalFormatting sqref="P1:P5 P56:P60 P96:P105 P138 P182:P187 P261:P262 P264:P1048576">
    <cfRule type="beginsWith" dxfId="6421" priority="8950" operator="beginsWith" text="Séminaire d'intégration">
      <formula>LEFT(P1,LEN("Séminaire d'intégration"))="Séminaire d'intégration"</formula>
    </cfRule>
  </conditionalFormatting>
  <conditionalFormatting sqref="P1:P5 P56:P60 P96:P105 P138 P182:P187 P261:P262 P264:P1048576">
    <cfRule type="beginsWith" dxfId="6420" priority="8951" operator="beginsWith" text="Accueil">
      <formula>LEFT(P1,LEN("Accueil"))="Accueil"</formula>
    </cfRule>
  </conditionalFormatting>
  <conditionalFormatting sqref="P56:P60 P138 P261:P262 P1:P5 P96:P105 P182:P187 P264:P1048576">
    <cfRule type="beginsWith" dxfId="6419" priority="8952" operator="beginsWith" text="Stage">
      <formula>LEFT(P1,LEN("Stage"))="Stage"</formula>
    </cfRule>
    <cfRule type="beginsWith" dxfId="6418" priority="8953" operator="beginsWith" text="Entreprise">
      <formula>LEFT(P1,LEN("Entreprise"))="Entreprise"</formula>
    </cfRule>
    <cfRule type="beginsWith" dxfId="6417" priority="8954" operator="beginsWith" text="Voltaire">
      <formula>LEFT(P1,LEN("Voltaire"))="Voltaire"</formula>
    </cfRule>
  </conditionalFormatting>
  <conditionalFormatting sqref="P226">
    <cfRule type="beginsWith" dxfId="6416" priority="8806" operator="beginsWith" text="Projet professionnel : Séminaire PFI">
      <formula>LEFT(P226,LEN("Projet professionnel : Séminaire PFI"))="Projet professionnel : Séminaire PFI"</formula>
    </cfRule>
    <cfRule type="beginsWith" dxfId="6415" priority="8807" operator="beginsWith" text="Lancement Projet fil rouge">
      <formula>LEFT(P226,LEN("Lancement Projet fil rouge"))="Lancement Projet fil rouge"</formula>
    </cfRule>
    <cfRule type="beginsWith" dxfId="6414" priority="8808" operator="beginsWith" text="Vacances">
      <formula>LEFT(P226,LEN("Vacances"))="Vacances"</formula>
    </cfRule>
    <cfRule type="beginsWith" dxfId="6413" priority="8809" operator="beginsWith" text="Séminaire d'intégration">
      <formula>LEFT(P226,LEN("Séminaire d'intégration"))="Séminaire d'intégration"</formula>
    </cfRule>
    <cfRule type="beginsWith" dxfId="6412" priority="8810" operator="beginsWith" text="Accueil">
      <formula>LEFT(P226,LEN("Accueil"))="Accueil"</formula>
    </cfRule>
    <cfRule type="beginsWith" dxfId="6411" priority="8811" operator="beginsWith" text="Stage">
      <formula>LEFT(P226,LEN("Stage"))="Stage"</formula>
    </cfRule>
    <cfRule type="beginsWith" dxfId="6410" priority="8812" operator="beginsWith" text="Entreprise">
      <formula>LEFT(P226,LEN("Entreprise"))="Entreprise"</formula>
    </cfRule>
    <cfRule type="beginsWith" dxfId="6409" priority="8813" operator="beginsWith" text="Voltaire">
      <formula>LEFT(P226,LEN("Voltaire"))="Voltaire"</formula>
    </cfRule>
  </conditionalFormatting>
  <conditionalFormatting sqref="P241">
    <cfRule type="beginsWith" dxfId="6408" priority="8798" operator="beginsWith" text="Projet professionnel : Séminaire PFI">
      <formula>LEFT(P241,LEN("Projet professionnel : Séminaire PFI"))="Projet professionnel : Séminaire PFI"</formula>
    </cfRule>
    <cfRule type="beginsWith" dxfId="6407" priority="8799" operator="beginsWith" text="Lancement Projet fil rouge">
      <formula>LEFT(P241,LEN("Lancement Projet fil rouge"))="Lancement Projet fil rouge"</formula>
    </cfRule>
    <cfRule type="beginsWith" dxfId="6406" priority="8800" operator="beginsWith" text="Vacances">
      <formula>LEFT(P241,LEN("Vacances"))="Vacances"</formula>
    </cfRule>
    <cfRule type="beginsWith" dxfId="6405" priority="8801" operator="beginsWith" text="Séminaire d'intégration">
      <formula>LEFT(P241,LEN("Séminaire d'intégration"))="Séminaire d'intégration"</formula>
    </cfRule>
    <cfRule type="beginsWith" dxfId="6404" priority="8802" operator="beginsWith" text="Accueil">
      <formula>LEFT(P241,LEN("Accueil"))="Accueil"</formula>
    </cfRule>
    <cfRule type="beginsWith" dxfId="6403" priority="8803" operator="beginsWith" text="Stage">
      <formula>LEFT(P241,LEN("Stage"))="Stage"</formula>
    </cfRule>
    <cfRule type="beginsWith" dxfId="6402" priority="8804" operator="beginsWith" text="Entreprise">
      <formula>LEFT(P241,LEN("Entreprise"))="Entreprise"</formula>
    </cfRule>
    <cfRule type="beginsWith" dxfId="6401" priority="8805" operator="beginsWith" text="Voltaire">
      <formula>LEFT(P241,LEN("Voltaire"))="Voltaire"</formula>
    </cfRule>
  </conditionalFormatting>
  <conditionalFormatting sqref="P76">
    <cfRule type="beginsWith" dxfId="6400" priority="8790" operator="beginsWith" text="Projet professionnel : Séminaire PFI">
      <formula>LEFT(P76,LEN("Projet professionnel : Séminaire PFI"))="Projet professionnel : Séminaire PFI"</formula>
    </cfRule>
    <cfRule type="beginsWith" dxfId="6399" priority="8791" operator="beginsWith" text="Lancement Projet fil rouge">
      <formula>LEFT(P76,LEN("Lancement Projet fil rouge"))="Lancement Projet fil rouge"</formula>
    </cfRule>
    <cfRule type="beginsWith" dxfId="6398" priority="8792" operator="beginsWith" text="Vacances">
      <formula>LEFT(P76,LEN("Vacances"))="Vacances"</formula>
    </cfRule>
    <cfRule type="beginsWith" dxfId="6397" priority="8793" operator="beginsWith" text="Séminaire d'intégration">
      <formula>LEFT(P76,LEN("Séminaire d'intégration"))="Séminaire d'intégration"</formula>
    </cfRule>
    <cfRule type="beginsWith" dxfId="6396" priority="8794" operator="beginsWith" text="Accueil">
      <formula>LEFT(P76,LEN("Accueil"))="Accueil"</formula>
    </cfRule>
    <cfRule type="beginsWith" dxfId="6395" priority="8795" operator="beginsWith" text="Stage">
      <formula>LEFT(P76,LEN("Stage"))="Stage"</formula>
    </cfRule>
    <cfRule type="beginsWith" dxfId="6394" priority="8796" operator="beginsWith" text="Entreprise">
      <formula>LEFT(P76,LEN("Entreprise"))="Entreprise"</formula>
    </cfRule>
    <cfRule type="beginsWith" dxfId="6393" priority="8797" operator="beginsWith" text="Voltaire">
      <formula>LEFT(P76,LEN("Voltaire"))="Voltaire"</formula>
    </cfRule>
  </conditionalFormatting>
  <conditionalFormatting sqref="P81">
    <cfRule type="beginsWith" dxfId="6392" priority="8782" operator="beginsWith" text="Projet professionnel : Séminaire PFI">
      <formula>LEFT(P81,LEN("Projet professionnel : Séminaire PFI"))="Projet professionnel : Séminaire PFI"</formula>
    </cfRule>
    <cfRule type="beginsWith" dxfId="6391" priority="8783" operator="beginsWith" text="Lancement Projet fil rouge">
      <formula>LEFT(P81,LEN("Lancement Projet fil rouge"))="Lancement Projet fil rouge"</formula>
    </cfRule>
    <cfRule type="beginsWith" dxfId="6390" priority="8784" operator="beginsWith" text="Vacances">
      <formula>LEFT(P81,LEN("Vacances"))="Vacances"</formula>
    </cfRule>
    <cfRule type="beginsWith" dxfId="6389" priority="8785" operator="beginsWith" text="Séminaire d'intégration">
      <formula>LEFT(P81,LEN("Séminaire d'intégration"))="Séminaire d'intégration"</formula>
    </cfRule>
    <cfRule type="beginsWith" dxfId="6388" priority="8786" operator="beginsWith" text="Accueil">
      <formula>LEFT(P81,LEN("Accueil"))="Accueil"</formula>
    </cfRule>
    <cfRule type="beginsWith" dxfId="6387" priority="8787" operator="beginsWith" text="Stage">
      <formula>LEFT(P81,LEN("Stage"))="Stage"</formula>
    </cfRule>
    <cfRule type="beginsWith" dxfId="6386" priority="8788" operator="beginsWith" text="Entreprise">
      <formula>LEFT(P81,LEN("Entreprise"))="Entreprise"</formula>
    </cfRule>
    <cfRule type="beginsWith" dxfId="6385" priority="8789" operator="beginsWith" text="Voltaire">
      <formula>LEFT(P81,LEN("Voltaire"))="Voltaire"</formula>
    </cfRule>
  </conditionalFormatting>
  <conditionalFormatting sqref="P86">
    <cfRule type="beginsWith" dxfId="6384" priority="8774" operator="beginsWith" text="Projet professionnel : Séminaire PFI">
      <formula>LEFT(P86,LEN("Projet professionnel : Séminaire PFI"))="Projet professionnel : Séminaire PFI"</formula>
    </cfRule>
    <cfRule type="beginsWith" dxfId="6383" priority="8775" operator="beginsWith" text="Lancement Projet fil rouge">
      <formula>LEFT(P86,LEN("Lancement Projet fil rouge"))="Lancement Projet fil rouge"</formula>
    </cfRule>
    <cfRule type="beginsWith" dxfId="6382" priority="8776" operator="beginsWith" text="Vacances">
      <formula>LEFT(P86,LEN("Vacances"))="Vacances"</formula>
    </cfRule>
    <cfRule type="beginsWith" dxfId="6381" priority="8777" operator="beginsWith" text="Séminaire d'intégration">
      <formula>LEFT(P86,LEN("Séminaire d'intégration"))="Séminaire d'intégration"</formula>
    </cfRule>
    <cfRule type="beginsWith" dxfId="6380" priority="8778" operator="beginsWith" text="Accueil">
      <formula>LEFT(P86,LEN("Accueil"))="Accueil"</formula>
    </cfRule>
    <cfRule type="beginsWith" dxfId="6379" priority="8779" operator="beginsWith" text="Stage">
      <formula>LEFT(P86,LEN("Stage"))="Stage"</formula>
    </cfRule>
    <cfRule type="beginsWith" dxfId="6378" priority="8780" operator="beginsWith" text="Entreprise">
      <formula>LEFT(P86,LEN("Entreprise"))="Entreprise"</formula>
    </cfRule>
    <cfRule type="beginsWith" dxfId="6377" priority="8781" operator="beginsWith" text="Voltaire">
      <formula>LEFT(P86,LEN("Voltaire"))="Voltaire"</formula>
    </cfRule>
  </conditionalFormatting>
  <conditionalFormatting sqref="P106">
    <cfRule type="beginsWith" dxfId="6376" priority="8766" operator="beginsWith" text="Projet professionnel : Séminaire PFI">
      <formula>LEFT(P106,LEN("Projet professionnel : Séminaire PFI"))="Projet professionnel : Séminaire PFI"</formula>
    </cfRule>
    <cfRule type="beginsWith" dxfId="6375" priority="8767" operator="beginsWith" text="Lancement Projet fil rouge">
      <formula>LEFT(P106,LEN("Lancement Projet fil rouge"))="Lancement Projet fil rouge"</formula>
    </cfRule>
    <cfRule type="beginsWith" dxfId="6374" priority="8768" operator="beginsWith" text="Vacances">
      <formula>LEFT(P106,LEN("Vacances"))="Vacances"</formula>
    </cfRule>
    <cfRule type="beginsWith" dxfId="6373" priority="8769" operator="beginsWith" text="Séminaire d'intégration">
      <formula>LEFT(P106,LEN("Séminaire d'intégration"))="Séminaire d'intégration"</formula>
    </cfRule>
    <cfRule type="beginsWith" dxfId="6372" priority="8770" operator="beginsWith" text="Accueil">
      <formula>LEFT(P106,LEN("Accueil"))="Accueil"</formula>
    </cfRule>
    <cfRule type="beginsWith" dxfId="6371" priority="8771" operator="beginsWith" text="Stage">
      <formula>LEFT(P106,LEN("Stage"))="Stage"</formula>
    </cfRule>
    <cfRule type="beginsWith" dxfId="6370" priority="8772" operator="beginsWith" text="Entreprise">
      <formula>LEFT(P106,LEN("Entreprise"))="Entreprise"</formula>
    </cfRule>
    <cfRule type="beginsWith" dxfId="6369" priority="8773" operator="beginsWith" text="Voltaire">
      <formula>LEFT(P106,LEN("Voltaire"))="Voltaire"</formula>
    </cfRule>
  </conditionalFormatting>
  <conditionalFormatting sqref="P141">
    <cfRule type="beginsWith" dxfId="6368" priority="8758" operator="beginsWith" text="Projet professionnel : Séminaire PFI">
      <formula>LEFT(P141,LEN("Projet professionnel : Séminaire PFI"))="Projet professionnel : Séminaire PFI"</formula>
    </cfRule>
    <cfRule type="beginsWith" dxfId="6367" priority="8759" operator="beginsWith" text="Lancement Projet fil rouge">
      <formula>LEFT(P141,LEN("Lancement Projet fil rouge"))="Lancement Projet fil rouge"</formula>
    </cfRule>
    <cfRule type="beginsWith" dxfId="6366" priority="8760" operator="beginsWith" text="Vacances">
      <formula>LEFT(P141,LEN("Vacances"))="Vacances"</formula>
    </cfRule>
    <cfRule type="beginsWith" dxfId="6365" priority="8761" operator="beginsWith" text="Séminaire d'intégration">
      <formula>LEFT(P141,LEN("Séminaire d'intégration"))="Séminaire d'intégration"</formula>
    </cfRule>
    <cfRule type="beginsWith" dxfId="6364" priority="8762" operator="beginsWith" text="Accueil">
      <formula>LEFT(P141,LEN("Accueil"))="Accueil"</formula>
    </cfRule>
    <cfRule type="beginsWith" dxfId="6363" priority="8763" operator="beginsWith" text="Stage">
      <formula>LEFT(P141,LEN("Stage"))="Stage"</formula>
    </cfRule>
    <cfRule type="beginsWith" dxfId="6362" priority="8764" operator="beginsWith" text="Entreprise">
      <formula>LEFT(P141,LEN("Entreprise"))="Entreprise"</formula>
    </cfRule>
    <cfRule type="beginsWith" dxfId="6361" priority="8765" operator="beginsWith" text="Voltaire">
      <formula>LEFT(P141,LEN("Voltaire"))="Voltaire"</formula>
    </cfRule>
  </conditionalFormatting>
  <conditionalFormatting sqref="P146">
    <cfRule type="beginsWith" dxfId="6360" priority="8750" operator="beginsWith" text="Projet professionnel : Séminaire PFI">
      <formula>LEFT(P146,LEN("Projet professionnel : Séminaire PFI"))="Projet professionnel : Séminaire PFI"</formula>
    </cfRule>
    <cfRule type="beginsWith" dxfId="6359" priority="8751" operator="beginsWith" text="Lancement Projet fil rouge">
      <formula>LEFT(P146,LEN("Lancement Projet fil rouge"))="Lancement Projet fil rouge"</formula>
    </cfRule>
    <cfRule type="beginsWith" dxfId="6358" priority="8752" operator="beginsWith" text="Vacances">
      <formula>LEFT(P146,LEN("Vacances"))="Vacances"</formula>
    </cfRule>
    <cfRule type="beginsWith" dxfId="6357" priority="8753" operator="beginsWith" text="Séminaire d'intégration">
      <formula>LEFT(P146,LEN("Séminaire d'intégration"))="Séminaire d'intégration"</formula>
    </cfRule>
    <cfRule type="beginsWith" dxfId="6356" priority="8754" operator="beginsWith" text="Accueil">
      <formula>LEFT(P146,LEN("Accueil"))="Accueil"</formula>
    </cfRule>
    <cfRule type="beginsWith" dxfId="6355" priority="8755" operator="beginsWith" text="Stage">
      <formula>LEFT(P146,LEN("Stage"))="Stage"</formula>
    </cfRule>
    <cfRule type="beginsWith" dxfId="6354" priority="8756" operator="beginsWith" text="Entreprise">
      <formula>LEFT(P146,LEN("Entreprise"))="Entreprise"</formula>
    </cfRule>
    <cfRule type="beginsWith" dxfId="6353" priority="8757" operator="beginsWith" text="Voltaire">
      <formula>LEFT(P146,LEN("Voltaire"))="Voltaire"</formula>
    </cfRule>
  </conditionalFormatting>
  <conditionalFormatting sqref="P151">
    <cfRule type="beginsWith" dxfId="6352" priority="8742" operator="beginsWith" text="Projet professionnel : Séminaire PFI">
      <formula>LEFT(P151,LEN("Projet professionnel : Séminaire PFI"))="Projet professionnel : Séminaire PFI"</formula>
    </cfRule>
    <cfRule type="beginsWith" dxfId="6351" priority="8743" operator="beginsWith" text="Lancement Projet fil rouge">
      <formula>LEFT(P151,LEN("Lancement Projet fil rouge"))="Lancement Projet fil rouge"</formula>
    </cfRule>
    <cfRule type="beginsWith" dxfId="6350" priority="8744" operator="beginsWith" text="Vacances">
      <formula>LEFT(P151,LEN("Vacances"))="Vacances"</formula>
    </cfRule>
    <cfRule type="beginsWith" dxfId="6349" priority="8745" operator="beginsWith" text="Séminaire d'intégration">
      <formula>LEFT(P151,LEN("Séminaire d'intégration"))="Séminaire d'intégration"</formula>
    </cfRule>
    <cfRule type="beginsWith" dxfId="6348" priority="8746" operator="beginsWith" text="Accueil">
      <formula>LEFT(P151,LEN("Accueil"))="Accueil"</formula>
    </cfRule>
    <cfRule type="beginsWith" dxfId="6347" priority="8747" operator="beginsWith" text="Stage">
      <formula>LEFT(P151,LEN("Stage"))="Stage"</formula>
    </cfRule>
    <cfRule type="beginsWith" dxfId="6346" priority="8748" operator="beginsWith" text="Entreprise">
      <formula>LEFT(P151,LEN("Entreprise"))="Entreprise"</formula>
    </cfRule>
    <cfRule type="beginsWith" dxfId="6345" priority="8749" operator="beginsWith" text="Voltaire">
      <formula>LEFT(P151,LEN("Voltaire"))="Voltaire"</formula>
    </cfRule>
  </conditionalFormatting>
  <conditionalFormatting sqref="P171">
    <cfRule type="beginsWith" dxfId="6344" priority="8734" operator="beginsWith" text="Projet professionnel : Séminaire PFI">
      <formula>LEFT(P171,LEN("Projet professionnel : Séminaire PFI"))="Projet professionnel : Séminaire PFI"</formula>
    </cfRule>
    <cfRule type="beginsWith" dxfId="6343" priority="8735" operator="beginsWith" text="Lancement Projet fil rouge">
      <formula>LEFT(P171,LEN("Lancement Projet fil rouge"))="Lancement Projet fil rouge"</formula>
    </cfRule>
    <cfRule type="beginsWith" dxfId="6342" priority="8736" operator="beginsWith" text="Vacances">
      <formula>LEFT(P171,LEN("Vacances"))="Vacances"</formula>
    </cfRule>
    <cfRule type="beginsWith" dxfId="6341" priority="8737" operator="beginsWith" text="Séminaire d'intégration">
      <formula>LEFT(P171,LEN("Séminaire d'intégration"))="Séminaire d'intégration"</formula>
    </cfRule>
    <cfRule type="beginsWith" dxfId="6340" priority="8738" operator="beginsWith" text="Accueil">
      <formula>LEFT(P171,LEN("Accueil"))="Accueil"</formula>
    </cfRule>
    <cfRule type="beginsWith" dxfId="6339" priority="8739" operator="beginsWith" text="Stage">
      <formula>LEFT(P171,LEN("Stage"))="Stage"</formula>
    </cfRule>
    <cfRule type="beginsWith" dxfId="6338" priority="8740" operator="beginsWith" text="Entreprise">
      <formula>LEFT(P171,LEN("Entreprise"))="Entreprise"</formula>
    </cfRule>
    <cfRule type="beginsWith" dxfId="6337" priority="8741" operator="beginsWith" text="Voltaire">
      <formula>LEFT(P171,LEN("Voltaire"))="Voltaire"</formula>
    </cfRule>
  </conditionalFormatting>
  <conditionalFormatting sqref="P201">
    <cfRule type="beginsWith" dxfId="6336" priority="8726" operator="beginsWith" text="Projet professionnel : Séminaire PFI">
      <formula>LEFT(P201,LEN("Projet professionnel : Séminaire PFI"))="Projet professionnel : Séminaire PFI"</formula>
    </cfRule>
    <cfRule type="beginsWith" dxfId="6335" priority="8727" operator="beginsWith" text="Lancement Projet fil rouge">
      <formula>LEFT(P201,LEN("Lancement Projet fil rouge"))="Lancement Projet fil rouge"</formula>
    </cfRule>
    <cfRule type="beginsWith" dxfId="6334" priority="8728" operator="beginsWith" text="Vacances">
      <formula>LEFT(P201,LEN("Vacances"))="Vacances"</formula>
    </cfRule>
    <cfRule type="beginsWith" dxfId="6333" priority="8729" operator="beginsWith" text="Séminaire d'intégration">
      <formula>LEFT(P201,LEN("Séminaire d'intégration"))="Séminaire d'intégration"</formula>
    </cfRule>
    <cfRule type="beginsWith" dxfId="6332" priority="8730" operator="beginsWith" text="Accueil">
      <formula>LEFT(P201,LEN("Accueil"))="Accueil"</formula>
    </cfRule>
    <cfRule type="beginsWith" dxfId="6331" priority="8731" operator="beginsWith" text="Stage">
      <formula>LEFT(P201,LEN("Stage"))="Stage"</formula>
    </cfRule>
    <cfRule type="beginsWith" dxfId="6330" priority="8732" operator="beginsWith" text="Entreprise">
      <formula>LEFT(P201,LEN("Entreprise"))="Entreprise"</formula>
    </cfRule>
    <cfRule type="beginsWith" dxfId="6329" priority="8733" operator="beginsWith" text="Voltaire">
      <formula>LEFT(P201,LEN("Voltaire"))="Voltaire"</formula>
    </cfRule>
  </conditionalFormatting>
  <conditionalFormatting sqref="P216">
    <cfRule type="beginsWith" dxfId="6328" priority="8718" operator="beginsWith" text="Projet professionnel : Séminaire PFI">
      <formula>LEFT(P216,LEN("Projet professionnel : Séminaire PFI"))="Projet professionnel : Séminaire PFI"</formula>
    </cfRule>
    <cfRule type="beginsWith" dxfId="6327" priority="8719" operator="beginsWith" text="Lancement Projet fil rouge">
      <formula>LEFT(P216,LEN("Lancement Projet fil rouge"))="Lancement Projet fil rouge"</formula>
    </cfRule>
    <cfRule type="beginsWith" dxfId="6326" priority="8720" operator="beginsWith" text="Vacances">
      <formula>LEFT(P216,LEN("Vacances"))="Vacances"</formula>
    </cfRule>
    <cfRule type="beginsWith" dxfId="6325" priority="8721" operator="beginsWith" text="Séminaire d'intégration">
      <formula>LEFT(P216,LEN("Séminaire d'intégration"))="Séminaire d'intégration"</formula>
    </cfRule>
    <cfRule type="beginsWith" dxfId="6324" priority="8722" operator="beginsWith" text="Accueil">
      <formula>LEFT(P216,LEN("Accueil"))="Accueil"</formula>
    </cfRule>
    <cfRule type="beginsWith" dxfId="6323" priority="8723" operator="beginsWith" text="Stage">
      <formula>LEFT(P216,LEN("Stage"))="Stage"</formula>
    </cfRule>
    <cfRule type="beginsWith" dxfId="6322" priority="8724" operator="beginsWith" text="Entreprise">
      <formula>LEFT(P216,LEN("Entreprise"))="Entreprise"</formula>
    </cfRule>
    <cfRule type="beginsWith" dxfId="6321" priority="8725" operator="beginsWith" text="Voltaire">
      <formula>LEFT(P216,LEN("Voltaire"))="Voltaire"</formula>
    </cfRule>
  </conditionalFormatting>
  <conditionalFormatting sqref="U195:V196 U51:U55 U16:V20 U46:V50 U56:V60 U67:U68 U71:V80 U81:U95 U96:V120 V121:V125 U131:U135 U136:V145 U146:U160 U171:U172 U176:V190 V191 U199:U200 V206 U226:V1048576">
    <cfRule type="beginsWith" dxfId="6320" priority="8696" operator="beginsWith" text="Lancement Projet fil rouge">
      <formula>LEFT(U16,LEN("Lancement Projet fil rouge"))="Lancement Projet fil rouge"</formula>
    </cfRule>
  </conditionalFormatting>
  <conditionalFormatting sqref="U26:V26">
    <cfRule type="beginsWith" dxfId="6319" priority="8623" operator="beginsWith" text="Lancement Projet fil rouge">
      <formula>LEFT(U26,LEN("Lancement Projet fil rouge"))="Lancement Projet fil rouge"</formula>
    </cfRule>
  </conditionalFormatting>
  <conditionalFormatting sqref="U21:V25">
    <cfRule type="beginsWith" dxfId="6318" priority="8672" operator="beginsWith" text="Lancement Projet fil rouge">
      <formula>LEFT(U21,LEN("Lancement Projet fil rouge"))="Lancement Projet fil rouge"</formula>
    </cfRule>
  </conditionalFormatting>
  <conditionalFormatting sqref="U201:V201">
    <cfRule type="beginsWith" dxfId="6317" priority="8673" operator="beginsWith" text="Lancement Projet fil rouge">
      <formula>LEFT(U201,LEN("Lancement Projet fil rouge"))="Lancement Projet fil rouge"</formula>
    </cfRule>
  </conditionalFormatting>
  <conditionalFormatting sqref="U1:V5">
    <cfRule type="beginsWith" dxfId="6316" priority="8674" operator="beginsWith" text="Lancement Projet fil rouge">
      <formula>LEFT(U1,LEN("Lancement Projet fil rouge"))="Lancement Projet fil rouge"</formula>
    </cfRule>
  </conditionalFormatting>
  <conditionalFormatting sqref="U66:V67">
    <cfRule type="beginsWith" dxfId="6315" priority="8671" operator="beginsWith" text="Lancement Projet fil rouge">
      <formula>LEFT(U66,LEN("Lancement Projet fil rouge"))="Lancement Projet fil rouge"</formula>
    </cfRule>
  </conditionalFormatting>
  <conditionalFormatting sqref="U6:U10">
    <cfRule type="notContainsBlanks" dxfId="6314" priority="8601">
      <formula>LEN(TRIM(U6))&gt;0</formula>
    </cfRule>
  </conditionalFormatting>
  <conditionalFormatting sqref="U11:U15">
    <cfRule type="notContainsBlanks" dxfId="6313" priority="8444">
      <formula>LEN(TRIM(U11))&gt;0</formula>
    </cfRule>
  </conditionalFormatting>
  <conditionalFormatting sqref="U16:U26 U31 U36:U60 U66:U68 U71:U120 U131:U160 U166 U171:U172 U176:U185 U196 U199:U201 U216 U226:U260">
    <cfRule type="notContainsBlanks" dxfId="6312" priority="8716">
      <formula>LEN(TRIM(U16))&gt;0</formula>
    </cfRule>
  </conditionalFormatting>
  <conditionalFormatting sqref="U55">
    <cfRule type="beginsWith" dxfId="6311" priority="8691" operator="beginsWith" text="TOPHYC">
      <formula>LEFT(U55,LEN("TOPHYC"))="TOPHYC"</formula>
    </cfRule>
    <cfRule type="beginsWith" dxfId="6310" priority="8692" operator="beginsWith" text="Global Exam">
      <formula>LEFT(U55,LEN("Global Exam"))="Global Exam"</formula>
    </cfRule>
    <cfRule type="beginsWith" dxfId="6309" priority="8693" operator="beginsWith" text="TOMIC">
      <formula>LEFT(U55,LEN("TOMIC"))="TOMIC"</formula>
    </cfRule>
  </conditionalFormatting>
  <conditionalFormatting sqref="U61:U65">
    <cfRule type="beginsWith" dxfId="6308" priority="8565" operator="beginsWith" text="Lancement Projet fil rouge">
      <formula>LEFT(U61,LEN("Lancement Projet fil rouge"))="Lancement Projet fil rouge"</formula>
    </cfRule>
    <cfRule type="beginsWith" dxfId="6307" priority="8566" operator="beginsWith" text="Vacances">
      <formula>LEFT(U61,LEN("Vacances"))="Vacances"</formula>
    </cfRule>
    <cfRule type="beginsWith" dxfId="6306" priority="8567" operator="beginsWith" text="Séminaire d'intégration">
      <formula>LEFT(U61,LEN("Séminaire d'intégration"))="Séminaire d'intégration"</formula>
    </cfRule>
    <cfRule type="beginsWith" dxfId="6305" priority="8568" operator="beginsWith" text="Accueil">
      <formula>LEFT(U61,LEN("Accueil"))="Accueil"</formula>
    </cfRule>
    <cfRule type="beginsWith" dxfId="6304" priority="8569" operator="beginsWith" text="Stage">
      <formula>LEFT(U61,LEN("Stage"))="Stage"</formula>
    </cfRule>
    <cfRule type="beginsWith" dxfId="6303" priority="8570" operator="beginsWith" text="Entreprise">
      <formula>LEFT(U61,LEN("Entreprise"))="Entreprise"</formula>
    </cfRule>
    <cfRule type="beginsWith" dxfId="6302" priority="8571" operator="beginsWith" text="Voltaire">
      <formula>LEFT(U61,LEN("Voltaire"))="Voltaire"</formula>
    </cfRule>
    <cfRule type="notContainsBlanks" dxfId="6301" priority="8572">
      <formula>LEN(TRIM(U61))&gt;0</formula>
    </cfRule>
  </conditionalFormatting>
  <conditionalFormatting sqref="U121:U125">
    <cfRule type="beginsWith" dxfId="6300" priority="8461" operator="beginsWith" text="Lancement Projet fil rouge">
      <formula>LEFT(U121,LEN("Lancement Projet fil rouge"))="Lancement Projet fil rouge"</formula>
    </cfRule>
    <cfRule type="beginsWith" dxfId="6299" priority="8462" operator="beginsWith" text="Vacances">
      <formula>LEFT(U121,LEN("Vacances"))="Vacances"</formula>
    </cfRule>
    <cfRule type="beginsWith" dxfId="6298" priority="8463" operator="beginsWith" text="Séminaire d'intégration">
      <formula>LEFT(U121,LEN("Séminaire d'intégration"))="Séminaire d'intégration"</formula>
    </cfRule>
    <cfRule type="beginsWith" dxfId="6297" priority="8464" operator="beginsWith" text="Accueil">
      <formula>LEFT(U121,LEN("Accueil"))="Accueil"</formula>
    </cfRule>
    <cfRule type="beginsWith" dxfId="6296" priority="8465" operator="beginsWith" text="Stage">
      <formula>LEFT(U121,LEN("Stage"))="Stage"</formula>
    </cfRule>
    <cfRule type="beginsWith" dxfId="6295" priority="8466" operator="beginsWith" text="Entreprise">
      <formula>LEFT(U121,LEN("Entreprise"))="Entreprise"</formula>
    </cfRule>
    <cfRule type="beginsWith" dxfId="6294" priority="8467" operator="beginsWith" text="Voltaire">
      <formula>LEFT(U121,LEN("Voltaire"))="Voltaire"</formula>
    </cfRule>
    <cfRule type="notContainsBlanks" dxfId="6293" priority="8468">
      <formula>LEN(TRIM(U121))&gt;0</formula>
    </cfRule>
  </conditionalFormatting>
  <conditionalFormatting sqref="U126:U130">
    <cfRule type="notContainsBlanks" dxfId="6292" priority="8557">
      <formula>LEN(TRIM(U126))&gt;0</formula>
    </cfRule>
  </conditionalFormatting>
  <conditionalFormatting sqref="U161">
    <cfRule type="beginsWith" dxfId="6291" priority="8507" operator="beginsWith" text="Lancement Projet fil rouge">
      <formula>LEFT(U161,LEN("Lancement Projet fil rouge"))="Lancement Projet fil rouge"</formula>
    </cfRule>
    <cfRule type="beginsWith" dxfId="6290" priority="8508" operator="beginsWith" text="Vacances">
      <formula>LEFT(U161,LEN("Vacances"))="Vacances"</formula>
    </cfRule>
    <cfRule type="beginsWith" dxfId="6289" priority="8509" operator="beginsWith" text="Séminaire d'intégration">
      <formula>LEFT(U161,LEN("Séminaire d'intégration"))="Séminaire d'intégration"</formula>
    </cfRule>
    <cfRule type="beginsWith" dxfId="6288" priority="8510" operator="beginsWith" text="Accueil">
      <formula>LEFT(U161,LEN("Accueil"))="Accueil"</formula>
    </cfRule>
    <cfRule type="beginsWith" dxfId="6287" priority="8511" operator="beginsWith" text="Stage">
      <formula>LEFT(U161,LEN("Stage"))="Stage"</formula>
    </cfRule>
    <cfRule type="beginsWith" dxfId="6286" priority="8512" operator="beginsWith" text="Entreprise">
      <formula>LEFT(U161,LEN("Entreprise"))="Entreprise"</formula>
    </cfRule>
    <cfRule type="beginsWith" dxfId="6285" priority="8513" operator="beginsWith" text="Voltaire">
      <formula>LEFT(U161,LEN("Voltaire"))="Voltaire"</formula>
    </cfRule>
    <cfRule type="notContainsBlanks" dxfId="6284" priority="8514">
      <formula>LEN(TRIM(U161))&gt;0</formula>
    </cfRule>
  </conditionalFormatting>
  <conditionalFormatting sqref="U191:U194">
    <cfRule type="beginsWith" dxfId="6283" priority="8499" operator="beginsWith" text="Lancement Projet fil rouge">
      <formula>LEFT(U191,LEN("Lancement Projet fil rouge"))="Lancement Projet fil rouge"</formula>
    </cfRule>
    <cfRule type="beginsWith" dxfId="6282" priority="8500" operator="beginsWith" text="Vacances">
      <formula>LEFT(U191,LEN("Vacances"))="Vacances"</formula>
    </cfRule>
    <cfRule type="beginsWith" dxfId="6281" priority="8501" operator="beginsWith" text="Séminaire d'intégration">
      <formula>LEFT(U191,LEN("Séminaire d'intégration"))="Séminaire d'intégration"</formula>
    </cfRule>
    <cfRule type="beginsWith" dxfId="6280" priority="8502" operator="beginsWith" text="Accueil">
      <formula>LEFT(U191,LEN("Accueil"))="Accueil"</formula>
    </cfRule>
    <cfRule type="beginsWith" dxfId="6279" priority="8503" operator="beginsWith" text="Stage">
      <formula>LEFT(U191,LEN("Stage"))="Stage"</formula>
    </cfRule>
    <cfRule type="beginsWith" dxfId="6278" priority="8504" operator="beginsWith" text="Entreprise">
      <formula>LEFT(U191,LEN("Entreprise"))="Entreprise"</formula>
    </cfRule>
    <cfRule type="beginsWith" dxfId="6277" priority="8505" operator="beginsWith" text="Voltaire">
      <formula>LEFT(U191,LEN("Voltaire"))="Voltaire"</formula>
    </cfRule>
    <cfRule type="notContainsBlanks" dxfId="6276" priority="8506">
      <formula>LEN(TRIM(U191))&gt;0</formula>
    </cfRule>
  </conditionalFormatting>
  <conditionalFormatting sqref="U195 U186:U190">
    <cfRule type="notContainsBlanks" dxfId="6275" priority="8717">
      <formula>LEN(TRIM(U186))&gt;0</formula>
    </cfRule>
  </conditionalFormatting>
  <conditionalFormatting sqref="U195">
    <cfRule type="notContainsBlanks" dxfId="6274" priority="8694">
      <formula>LEN(TRIM(U195))&gt;0</formula>
    </cfRule>
  </conditionalFormatting>
  <conditionalFormatting sqref="U206:U207">
    <cfRule type="beginsWith" dxfId="6273" priority="8675" operator="beginsWith" text="Lancement Projet fil rouge">
      <formula>LEFT(U206,LEN("Lancement Projet fil rouge"))="Lancement Projet fil rouge"</formula>
    </cfRule>
    <cfRule type="beginsWith" dxfId="6272" priority="8676" operator="beginsWith" text="Vacances">
      <formula>LEFT(U206,LEN("Vacances"))="Vacances"</formula>
    </cfRule>
    <cfRule type="beginsWith" dxfId="6271" priority="8677" operator="beginsWith" text="Séminaire d'intégration">
      <formula>LEFT(U206,LEN("Séminaire d'intégration"))="Séminaire d'intégration"</formula>
    </cfRule>
    <cfRule type="beginsWith" dxfId="6270" priority="8678" operator="beginsWith" text="Accueil">
      <formula>LEFT(U206,LEN("Accueil"))="Accueil"</formula>
    </cfRule>
    <cfRule type="beginsWith" dxfId="6269" priority="8679" operator="beginsWith" text="Stage">
      <formula>LEFT(U206,LEN("Stage"))="Stage"</formula>
    </cfRule>
    <cfRule type="beginsWith" dxfId="6268" priority="8680" operator="beginsWith" text="Entreprise">
      <formula>LEFT(U206,LEN("Entreprise"))="Entreprise"</formula>
    </cfRule>
    <cfRule type="beginsWith" dxfId="6267" priority="8681" operator="beginsWith" text="Voltaire">
      <formula>LEFT(U206,LEN("Voltaire"))="Voltaire"</formula>
    </cfRule>
    <cfRule type="notContainsBlanks" dxfId="6266" priority="8682">
      <formula>LEN(TRIM(U206))&gt;0</formula>
    </cfRule>
  </conditionalFormatting>
  <conditionalFormatting sqref="U211">
    <cfRule type="beginsWith" dxfId="6265" priority="8477" operator="beginsWith" text="Lancement Projet fil rouge">
      <formula>LEFT(U211,LEN("Lancement Projet fil rouge"))="Lancement Projet fil rouge"</formula>
    </cfRule>
    <cfRule type="beginsWith" dxfId="6264" priority="8478" operator="beginsWith" text="Vacances">
      <formula>LEFT(U211,LEN("Vacances"))="Vacances"</formula>
    </cfRule>
    <cfRule type="beginsWith" dxfId="6263" priority="8479" operator="beginsWith" text="Séminaire d'intégration">
      <formula>LEFT(U211,LEN("Séminaire d'intégration"))="Séminaire d'intégration"</formula>
    </cfRule>
    <cfRule type="beginsWith" dxfId="6262" priority="8480" operator="beginsWith" text="Accueil">
      <formula>LEFT(U211,LEN("Accueil"))="Accueil"</formula>
    </cfRule>
    <cfRule type="beginsWith" dxfId="6261" priority="8481" operator="beginsWith" text="Stage">
      <formula>LEFT(U211,LEN("Stage"))="Stage"</formula>
    </cfRule>
    <cfRule type="beginsWith" dxfId="6260" priority="8482" operator="beginsWith" text="Entreprise">
      <formula>LEFT(U211,LEN("Entreprise"))="Entreprise"</formula>
    </cfRule>
    <cfRule type="beginsWith" dxfId="6259" priority="8483" operator="beginsWith" text="Voltaire">
      <formula>LEFT(U211,LEN("Voltaire"))="Voltaire"</formula>
    </cfRule>
    <cfRule type="notContainsBlanks" dxfId="6258" priority="8484">
      <formula>LEN(TRIM(U211))&gt;0</formula>
    </cfRule>
  </conditionalFormatting>
  <conditionalFormatting sqref="U212:U215">
    <cfRule type="beginsWith" dxfId="6257" priority="8469" operator="beginsWith" text="Lancement Projet fil rouge">
      <formula>LEFT(U212,LEN("Lancement Projet fil rouge"))="Lancement Projet fil rouge"</formula>
    </cfRule>
    <cfRule type="beginsWith" dxfId="6256" priority="8470" operator="beginsWith" text="Vacances">
      <formula>LEFT(U212,LEN("Vacances"))="Vacances"</formula>
    </cfRule>
    <cfRule type="beginsWith" dxfId="6255" priority="8471" operator="beginsWith" text="Séminaire d'intégration">
      <formula>LEFT(U212,LEN("Séminaire d'intégration"))="Séminaire d'intégration"</formula>
    </cfRule>
    <cfRule type="beginsWith" dxfId="6254" priority="8472" operator="beginsWith" text="Accueil">
      <formula>LEFT(U212,LEN("Accueil"))="Accueil"</formula>
    </cfRule>
    <cfRule type="beginsWith" dxfId="6253" priority="8473" operator="beginsWith" text="Stage">
      <formula>LEFT(U212,LEN("Stage"))="Stage"</formula>
    </cfRule>
    <cfRule type="beginsWith" dxfId="6252" priority="8474" operator="beginsWith" text="Entreprise">
      <formula>LEFT(U212,LEN("Entreprise"))="Entreprise"</formula>
    </cfRule>
    <cfRule type="beginsWith" dxfId="6251" priority="8475" operator="beginsWith" text="Voltaire">
      <formula>LEFT(U212,LEN("Voltaire"))="Voltaire"</formula>
    </cfRule>
    <cfRule type="notContainsBlanks" dxfId="6250" priority="8476">
      <formula>LEN(TRIM(U212))&gt;0</formula>
    </cfRule>
  </conditionalFormatting>
  <conditionalFormatting sqref="U216:U220">
    <cfRule type="beginsWith" dxfId="6249" priority="8683" operator="beginsWith" text="Lancement Projet fil rouge">
      <formula>LEFT(U216,LEN("Lancement Projet fil rouge"))="Lancement Projet fil rouge"</formula>
    </cfRule>
  </conditionalFormatting>
  <conditionalFormatting sqref="U217:U220">
    <cfRule type="beginsWith" dxfId="6248" priority="8684" operator="beginsWith" text="Vacances">
      <formula>LEFT(U217,LEN("Vacances"))="Vacances"</formula>
    </cfRule>
    <cfRule type="beginsWith" dxfId="6247" priority="8685" operator="beginsWith" text="Séminaire d'intégration">
      <formula>LEFT(U217,LEN("Séminaire d'intégration"))="Séminaire d'intégration"</formula>
    </cfRule>
    <cfRule type="beginsWith" dxfId="6246" priority="8686" operator="beginsWith" text="Accueil">
      <formula>LEFT(U217,LEN("Accueil"))="Accueil"</formula>
    </cfRule>
    <cfRule type="beginsWith" dxfId="6245" priority="8687" operator="beginsWith" text="Stage">
      <formula>LEFT(U217,LEN("Stage"))="Stage"</formula>
    </cfRule>
    <cfRule type="beginsWith" dxfId="6244" priority="8688" operator="beginsWith" text="Entreprise">
      <formula>LEFT(U217,LEN("Entreprise"))="Entreprise"</formula>
    </cfRule>
    <cfRule type="beginsWith" dxfId="6243" priority="8689" operator="beginsWith" text="Voltaire">
      <formula>LEFT(U217,LEN("Voltaire"))="Voltaire"</formula>
    </cfRule>
    <cfRule type="notContainsBlanks" dxfId="6242" priority="8690">
      <formula>LEN(TRIM(U217))&gt;0</formula>
    </cfRule>
  </conditionalFormatting>
  <conditionalFormatting sqref="U221">
    <cfRule type="notContainsBlanks" dxfId="6241" priority="8452">
      <formula>LEN(TRIM(U221))&gt;0</formula>
    </cfRule>
  </conditionalFormatting>
  <conditionalFormatting sqref="U222:U225">
    <cfRule type="notContainsBlanks" dxfId="6240" priority="8460">
      <formula>LEN(TRIM(U222))&gt;0</formula>
    </cfRule>
  </conditionalFormatting>
  <conditionalFormatting sqref="U261:U265">
    <cfRule type="notContainsBlanks" dxfId="6239" priority="8695">
      <formula>LEN(TRIM(U261))&gt;0</formula>
    </cfRule>
  </conditionalFormatting>
  <conditionalFormatting sqref="U31:V31">
    <cfRule type="beginsWith" dxfId="6238" priority="8630" operator="beginsWith" text="Lancement Projet fil rouge">
      <formula>LEFT(U31,LEN("Lancement Projet fil rouge"))="Lancement Projet fil rouge"</formula>
    </cfRule>
  </conditionalFormatting>
  <conditionalFormatting sqref="U36:V45">
    <cfRule type="beginsWith" dxfId="6237" priority="8637" operator="beginsWith" text="Lancement Projet fil rouge">
      <formula>LEFT(U36,LEN("Lancement Projet fil rouge"))="Lancement Projet fil rouge"</formula>
    </cfRule>
  </conditionalFormatting>
  <conditionalFormatting sqref="U166:V166">
    <cfRule type="beginsWith" dxfId="6236" priority="8657" operator="beginsWith" text="Lancement Projet fil rouge">
      <formula>LEFT(U166,LEN("Lancement Projet fil rouge"))="Lancement Projet fil rouge"</formula>
    </cfRule>
  </conditionalFormatting>
  <conditionalFormatting sqref="U222:V225">
    <cfRule type="beginsWith" dxfId="6235" priority="8453" operator="beginsWith" text="Lancement Projet fil rouge">
      <formula>LEFT(U222,LEN("Lancement Projet fil rouge"))="Lancement Projet fil rouge"</formula>
    </cfRule>
    <cfRule type="beginsWith" dxfId="6234" priority="8454" operator="beginsWith" text="Vacances">
      <formula>LEFT(U222,LEN("Vacances"))="Vacances"</formula>
    </cfRule>
    <cfRule type="beginsWith" dxfId="6233" priority="8455" operator="beginsWith" text="Séminaire d'intégration">
      <formula>LEFT(U222,LEN("Séminaire d'intégration"))="Séminaire d'intégration"</formula>
    </cfRule>
    <cfRule type="beginsWith" dxfId="6232" priority="8456" operator="beginsWith" text="Accueil">
      <formula>LEFT(U222,LEN("Accueil"))="Accueil"</formula>
    </cfRule>
    <cfRule type="beginsWith" dxfId="6231" priority="8457" operator="beginsWith" text="Stage">
      <formula>LEFT(U222,LEN("Stage"))="Stage"</formula>
    </cfRule>
    <cfRule type="beginsWith" dxfId="6230" priority="8458" operator="beginsWith" text="Entreprise">
      <formula>LEFT(U222,LEN("Entreprise"))="Entreprise"</formula>
    </cfRule>
    <cfRule type="beginsWith" dxfId="6229" priority="8459" operator="beginsWith" text="Voltaire">
      <formula>LEFT(U222,LEN("Voltaire"))="Voltaire"</formula>
    </cfRule>
  </conditionalFormatting>
  <conditionalFormatting sqref="U11:V15">
    <cfRule type="beginsWith" dxfId="6228" priority="8437" operator="beginsWith" text="Lancement Projet fil rouge">
      <formula>LEFT(U11,LEN("Lancement Projet fil rouge"))="Lancement Projet fil rouge"</formula>
    </cfRule>
    <cfRule type="beginsWith" dxfId="6227" priority="8438" operator="beginsWith" text="Vacances">
      <formula>LEFT(U11,LEN("Vacances"))="Vacances"</formula>
    </cfRule>
    <cfRule type="beginsWith" dxfId="6226" priority="8439" operator="beginsWith" text="Séminaire d'intégration">
      <formula>LEFT(U11,LEN("Séminaire d'intégration"))="Séminaire d'intégration"</formula>
    </cfRule>
    <cfRule type="beginsWith" dxfId="6225" priority="8440" operator="beginsWith" text="Accueil">
      <formula>LEFT(U11,LEN("Accueil"))="Accueil"</formula>
    </cfRule>
    <cfRule type="beginsWith" dxfId="6224" priority="8441" operator="beginsWith" text="Stage">
      <formula>LEFT(U11,LEN("Stage"))="Stage"</formula>
    </cfRule>
    <cfRule type="beginsWith" dxfId="6223" priority="8442" operator="beginsWith" text="Entreprise">
      <formula>LEFT(U11,LEN("Entreprise"))="Entreprise"</formula>
    </cfRule>
    <cfRule type="beginsWith" dxfId="6222" priority="8443" operator="beginsWith" text="Voltaire">
      <formula>LEFT(U11,LEN("Voltaire"))="Voltaire"</formula>
    </cfRule>
  </conditionalFormatting>
  <conditionalFormatting sqref="U126:V130">
    <cfRule type="beginsWith" dxfId="6221" priority="8550" operator="beginsWith" text="Lancement Projet fil rouge">
      <formula>LEFT(U126,LEN("Lancement Projet fil rouge"))="Lancement Projet fil rouge"</formula>
    </cfRule>
    <cfRule type="beginsWith" dxfId="6220" priority="8551" operator="beginsWith" text="Vacances">
      <formula>LEFT(U126,LEN("Vacances"))="Vacances"</formula>
    </cfRule>
    <cfRule type="beginsWith" dxfId="6219" priority="8552" operator="beginsWith" text="Séminaire d'intégration">
      <formula>LEFT(U126,LEN("Séminaire d'intégration"))="Séminaire d'intégration"</formula>
    </cfRule>
    <cfRule type="beginsWith" dxfId="6218" priority="8553" operator="beginsWith" text="Accueil">
      <formula>LEFT(U126,LEN("Accueil"))="Accueil"</formula>
    </cfRule>
    <cfRule type="beginsWith" dxfId="6217" priority="8554" operator="beginsWith" text="Stage">
      <formula>LEFT(U126,LEN("Stage"))="Stage"</formula>
    </cfRule>
    <cfRule type="beginsWith" dxfId="6216" priority="8555" operator="beginsWith" text="Entreprise">
      <formula>LEFT(U126,LEN("Entreprise"))="Entreprise"</formula>
    </cfRule>
    <cfRule type="beginsWith" dxfId="6215" priority="8556" operator="beginsWith" text="Voltaire">
      <formula>LEFT(U126,LEN("Voltaire"))="Voltaire"</formula>
    </cfRule>
  </conditionalFormatting>
  <conditionalFormatting sqref="U181:V185">
    <cfRule type="beginsWith" dxfId="6214" priority="8703" operator="beginsWith" text="Séminaire d'intégration">
      <formula>LEFT(U181,LEN("Séminaire d'intégration"))="Séminaire d'intégration"</formula>
    </cfRule>
    <cfRule type="beginsWith" dxfId="6213" priority="8704" operator="beginsWith" text="Accueil">
      <formula>LEFT(U181,LEN("Accueil"))="Accueil"</formula>
    </cfRule>
    <cfRule type="beginsWith" dxfId="6212" priority="8705" operator="beginsWith" text="Stage">
      <formula>LEFT(U181,LEN("Stage"))="Stage"</formula>
    </cfRule>
    <cfRule type="beginsWith" dxfId="6211" priority="8706" operator="beginsWith" text="Entreprise">
      <formula>LEFT(U181,LEN("Entreprise"))="Entreprise"</formula>
    </cfRule>
    <cfRule type="beginsWith" dxfId="6210" priority="8707" operator="beginsWith" text="Voltaire">
      <formula>LEFT(U181,LEN("Voltaire"))="Voltaire"</formula>
    </cfRule>
  </conditionalFormatting>
  <conditionalFormatting sqref="U186:V190">
    <cfRule type="beginsWith" dxfId="6209" priority="8698" operator="beginsWith" text="Séminaire d'intégration">
      <formula>LEFT(U186,LEN("Séminaire d'intégration"))="Séminaire d'intégration"</formula>
    </cfRule>
    <cfRule type="beginsWith" dxfId="6208" priority="8699" operator="beginsWith" text="Accueil">
      <formula>LEFT(U186,LEN("Accueil"))="Accueil"</formula>
    </cfRule>
    <cfRule type="beginsWith" dxfId="6207" priority="8700" operator="beginsWith" text="Stage">
      <formula>LEFT(U186,LEN("Stage"))="Stage"</formula>
    </cfRule>
    <cfRule type="beginsWith" dxfId="6206" priority="8701" operator="beginsWith" text="Entreprise">
      <formula>LEFT(U186,LEN("Entreprise"))="Entreprise"</formula>
    </cfRule>
    <cfRule type="beginsWith" dxfId="6205" priority="8702" operator="beginsWith" text="Voltaire">
      <formula>LEFT(U186,LEN("Voltaire"))="Voltaire"</formula>
    </cfRule>
  </conditionalFormatting>
  <conditionalFormatting sqref="U221:V221">
    <cfRule type="beginsWith" dxfId="6204" priority="8445" operator="beginsWith" text="Lancement Projet fil rouge">
      <formula>LEFT(U221,LEN("Lancement Projet fil rouge"))="Lancement Projet fil rouge"</formula>
    </cfRule>
    <cfRule type="beginsWith" dxfId="6203" priority="8446" operator="beginsWith" text="Vacances">
      <formula>LEFT(U221,LEN("Vacances"))="Vacances"</formula>
    </cfRule>
    <cfRule type="beginsWith" dxfId="6202" priority="8447" operator="beginsWith" text="Séminaire d'intégration">
      <formula>LEFT(U221,LEN("Séminaire d'intégration"))="Séminaire d'intégration"</formula>
    </cfRule>
    <cfRule type="beginsWith" dxfId="6201" priority="8448" operator="beginsWith" text="Accueil">
      <formula>LEFT(U221,LEN("Accueil"))="Accueil"</formula>
    </cfRule>
    <cfRule type="beginsWith" dxfId="6200" priority="8449" operator="beginsWith" text="Stage">
      <formula>LEFT(U221,LEN("Stage"))="Stage"</formula>
    </cfRule>
    <cfRule type="beginsWith" dxfId="6199" priority="8450" operator="beginsWith" text="Entreprise">
      <formula>LEFT(U221,LEN("Entreprise"))="Entreprise"</formula>
    </cfRule>
    <cfRule type="beginsWith" dxfId="6198" priority="8451" operator="beginsWith" text="Voltaire">
      <formula>LEFT(U221,LEN("Voltaire"))="Voltaire"</formula>
    </cfRule>
  </conditionalFormatting>
  <conditionalFormatting sqref="V26">
    <cfRule type="beginsWith" dxfId="6197" priority="8624" operator="beginsWith" text="Vacances">
      <formula>LEFT(V26,LEN("Vacances"))="Vacances"</formula>
    </cfRule>
    <cfRule type="beginsWith" dxfId="6196" priority="8625" operator="beginsWith" text="Séminaire d'intégration">
      <formula>LEFT(V26,LEN("Séminaire d'intégration"))="Séminaire d'intégration"</formula>
    </cfRule>
    <cfRule type="beginsWith" dxfId="6195" priority="8626" operator="beginsWith" text="Accueil">
      <formula>LEFT(V26,LEN("Accueil"))="Accueil"</formula>
    </cfRule>
    <cfRule type="beginsWith" dxfId="6194" priority="8627" operator="beginsWith" text="Stage">
      <formula>LEFT(V26,LEN("Stage"))="Stage"</formula>
    </cfRule>
    <cfRule type="beginsWith" dxfId="6193" priority="8628" operator="beginsWith" text="Entreprise">
      <formula>LEFT(V26,LEN("Entreprise"))="Entreprise"</formula>
    </cfRule>
    <cfRule type="beginsWith" dxfId="6192" priority="8629" operator="beginsWith" text="Voltaire">
      <formula>LEFT(V26,LEN("Voltaire"))="Voltaire"</formula>
    </cfRule>
  </conditionalFormatting>
  <conditionalFormatting sqref="V31">
    <cfRule type="beginsWith" dxfId="6191" priority="8631" operator="beginsWith" text="Vacances">
      <formula>LEFT(V31,LEN("Vacances"))="Vacances"</formula>
    </cfRule>
    <cfRule type="beginsWith" dxfId="6190" priority="8632" operator="beginsWith" text="Séminaire d'intégration">
      <formula>LEFT(V31,LEN("Séminaire d'intégration"))="Séminaire d'intégration"</formula>
    </cfRule>
    <cfRule type="beginsWith" dxfId="6189" priority="8633" operator="beginsWith" text="Accueil">
      <formula>LEFT(V31,LEN("Accueil"))="Accueil"</formula>
    </cfRule>
    <cfRule type="beginsWith" dxfId="6188" priority="8634" operator="beginsWith" text="Stage">
      <formula>LEFT(V31,LEN("Stage"))="Stage"</formula>
    </cfRule>
    <cfRule type="beginsWith" dxfId="6187" priority="8635" operator="beginsWith" text="Entreprise">
      <formula>LEFT(V31,LEN("Entreprise"))="Entreprise"</formula>
    </cfRule>
    <cfRule type="beginsWith" dxfId="6186" priority="8636" operator="beginsWith" text="Voltaire">
      <formula>LEFT(V31,LEN("Voltaire"))="Voltaire"</formula>
    </cfRule>
  </conditionalFormatting>
  <conditionalFormatting sqref="V36:V40">
    <cfRule type="beginsWith" dxfId="6185" priority="8638" operator="beginsWith" text="Vacances">
      <formula>LEFT(V36,LEN("Vacances"))="Vacances"</formula>
    </cfRule>
    <cfRule type="beginsWith" dxfId="6184" priority="8639" operator="beginsWith" text="Séminaire d'intégration">
      <formula>LEFT(V36,LEN("Séminaire d'intégration"))="Séminaire d'intégration"</formula>
    </cfRule>
    <cfRule type="beginsWith" dxfId="6183" priority="8640" operator="beginsWith" text="Accueil">
      <formula>LEFT(V36,LEN("Accueil"))="Accueil"</formula>
    </cfRule>
    <cfRule type="beginsWith" dxfId="6182" priority="8641" operator="beginsWith" text="Stage">
      <formula>LEFT(V36,LEN("Stage"))="Stage"</formula>
    </cfRule>
    <cfRule type="beginsWith" dxfId="6181" priority="8642" operator="beginsWith" text="Entreprise">
      <formula>LEFT(V36,LEN("Entreprise"))="Entreprise"</formula>
    </cfRule>
    <cfRule type="beginsWith" dxfId="6180" priority="8643" operator="beginsWith" text="Voltaire">
      <formula>LEFT(V36,LEN("Voltaire"))="Voltaire"</formula>
    </cfRule>
  </conditionalFormatting>
  <conditionalFormatting sqref="V41:V45">
    <cfRule type="beginsWith" dxfId="6179" priority="8644" operator="beginsWith" text="Vacances">
      <formula>LEFT(V41,LEN("Vacances"))="Vacances"</formula>
    </cfRule>
    <cfRule type="beginsWith" dxfId="6178" priority="8645" operator="beginsWith" text="Séminaire d'intégration">
      <formula>LEFT(V41,LEN("Séminaire d'intégration"))="Séminaire d'intégration"</formula>
    </cfRule>
    <cfRule type="beginsWith" dxfId="6177" priority="8646" operator="beginsWith" text="Accueil">
      <formula>LEFT(V41,LEN("Accueil"))="Accueil"</formula>
    </cfRule>
    <cfRule type="beginsWith" dxfId="6176" priority="8647" operator="beginsWith" text="Stage">
      <formula>LEFT(V41,LEN("Stage"))="Stage"</formula>
    </cfRule>
    <cfRule type="beginsWith" dxfId="6175" priority="8648" operator="beginsWith" text="Entreprise">
      <formula>LEFT(V41,LEN("Entreprise"))="Entreprise"</formula>
    </cfRule>
    <cfRule type="beginsWith" dxfId="6174" priority="8649" operator="beginsWith" text="Voltaire">
      <formula>LEFT(V41,LEN("Voltaire"))="Voltaire"</formula>
    </cfRule>
  </conditionalFormatting>
  <conditionalFormatting sqref="V51:V55">
    <cfRule type="beginsWith" dxfId="6173" priority="8650" operator="beginsWith" text="Lancement Projet fil rouge">
      <formula>LEFT(V51,LEN("Lancement Projet fil rouge"))="Lancement Projet fil rouge"</formula>
    </cfRule>
    <cfRule type="beginsWith" dxfId="6172" priority="8651" operator="beginsWith" text="Vacances">
      <formula>LEFT(V51,LEN("Vacances"))="Vacances"</formula>
    </cfRule>
    <cfRule type="beginsWith" dxfId="6171" priority="8652" operator="beginsWith" text="Séminaire d'intégration">
      <formula>LEFT(V51,LEN("Séminaire d'intégration"))="Séminaire d'intégration"</formula>
    </cfRule>
    <cfRule type="beginsWith" dxfId="6170" priority="8653" operator="beginsWith" text="Accueil">
      <formula>LEFT(V51,LEN("Accueil"))="Accueil"</formula>
    </cfRule>
    <cfRule type="beginsWith" dxfId="6169" priority="8654" operator="beginsWith" text="Stage">
      <formula>LEFT(V51,LEN("Stage"))="Stage"</formula>
    </cfRule>
    <cfRule type="beginsWith" dxfId="6168" priority="8655" operator="beginsWith" text="Entreprise">
      <formula>LEFT(V51,LEN("Entreprise"))="Entreprise"</formula>
    </cfRule>
    <cfRule type="beginsWith" dxfId="6167" priority="8656" operator="beginsWith" text="Voltaire">
      <formula>LEFT(V51,LEN("Voltaire"))="Voltaire"</formula>
    </cfRule>
  </conditionalFormatting>
  <conditionalFormatting sqref="V61:V65">
    <cfRule type="beginsWith" dxfId="6166" priority="8587" operator="beginsWith" text="Lancement Projet fil rouge">
      <formula>LEFT(V61,LEN("Lancement Projet fil rouge"))="Lancement Projet fil rouge"</formula>
    </cfRule>
    <cfRule type="beginsWith" dxfId="6165" priority="8588" operator="beginsWith" text="Vacances">
      <formula>LEFT(V61,LEN("Vacances"))="Vacances"</formula>
    </cfRule>
    <cfRule type="beginsWith" dxfId="6164" priority="8589" operator="beginsWith" text="Séminaire d'intégration">
      <formula>LEFT(V61,LEN("Séminaire d'intégration"))="Séminaire d'intégration"</formula>
    </cfRule>
    <cfRule type="beginsWith" dxfId="6163" priority="8590" operator="beginsWith" text="Accueil">
      <formula>LEFT(V61,LEN("Accueil"))="Accueil"</formula>
    </cfRule>
    <cfRule type="beginsWith" dxfId="6162" priority="8591" operator="beginsWith" text="Stage">
      <formula>LEFT(V61,LEN("Stage"))="Stage"</formula>
    </cfRule>
    <cfRule type="beginsWith" dxfId="6161" priority="8592" operator="beginsWith" text="Entreprise">
      <formula>LEFT(V61,LEN("Entreprise"))="Entreprise"</formula>
    </cfRule>
    <cfRule type="beginsWith" dxfId="6160" priority="8593" operator="beginsWith" text="Voltaire">
      <formula>LEFT(V61,LEN("Voltaire"))="Voltaire"</formula>
    </cfRule>
  </conditionalFormatting>
  <conditionalFormatting sqref="V68">
    <cfRule type="beginsWith" dxfId="6159" priority="8616" operator="beginsWith" text="Lancement Projet fil rouge">
      <formula>LEFT(V68,LEN("Lancement Projet fil rouge"))="Lancement Projet fil rouge"</formula>
    </cfRule>
    <cfRule type="beginsWith" dxfId="6158" priority="8617" operator="beginsWith" text="Vacances">
      <formula>LEFT(V68,LEN("Vacances"))="Vacances"</formula>
    </cfRule>
    <cfRule type="beginsWith" dxfId="6157" priority="8618" operator="beginsWith" text="Séminaire d'intégration">
      <formula>LEFT(V68,LEN("Séminaire d'intégration"))="Séminaire d'intégration"</formula>
    </cfRule>
    <cfRule type="beginsWith" dxfId="6156" priority="8619" operator="beginsWith" text="Accueil">
      <formula>LEFT(V68,LEN("Accueil"))="Accueil"</formula>
    </cfRule>
    <cfRule type="beginsWith" dxfId="6155" priority="8620" operator="beginsWith" text="Stage">
      <formula>LEFT(V68,LEN("Stage"))="Stage"</formula>
    </cfRule>
    <cfRule type="beginsWith" dxfId="6154" priority="8621" operator="beginsWith" text="Entreprise">
      <formula>LEFT(V68,LEN("Entreprise"))="Entreprise"</formula>
    </cfRule>
    <cfRule type="beginsWith" dxfId="6153" priority="8622" operator="beginsWith" text="Voltaire">
      <formula>LEFT(V68,LEN("Voltaire"))="Voltaire"</formula>
    </cfRule>
  </conditionalFormatting>
  <conditionalFormatting sqref="V81:V85">
    <cfRule type="beginsWith" dxfId="6152" priority="8580" operator="beginsWith" text="Lancement Projet fil rouge">
      <formula>LEFT(V81,LEN("Lancement Projet fil rouge"))="Lancement Projet fil rouge"</formula>
    </cfRule>
    <cfRule type="beginsWith" dxfId="6151" priority="8581" operator="beginsWith" text="Vacances">
      <formula>LEFT(V81,LEN("Vacances"))="Vacances"</formula>
    </cfRule>
    <cfRule type="beginsWith" dxfId="6150" priority="8582" operator="beginsWith" text="Séminaire d'intégration">
      <formula>LEFT(V81,LEN("Séminaire d'intégration"))="Séminaire d'intégration"</formula>
    </cfRule>
    <cfRule type="beginsWith" dxfId="6149" priority="8583" operator="beginsWith" text="Accueil">
      <formula>LEFT(V81,LEN("Accueil"))="Accueil"</formula>
    </cfRule>
    <cfRule type="beginsWith" dxfId="6148" priority="8584" operator="beginsWith" text="Stage">
      <formula>LEFT(V81,LEN("Stage"))="Stage"</formula>
    </cfRule>
    <cfRule type="beginsWith" dxfId="6147" priority="8585" operator="beginsWith" text="Entreprise">
      <formula>LEFT(V81,LEN("Entreprise"))="Entreprise"</formula>
    </cfRule>
    <cfRule type="beginsWith" dxfId="6146" priority="8586" operator="beginsWith" text="Voltaire">
      <formula>LEFT(V81,LEN("Voltaire"))="Voltaire"</formula>
    </cfRule>
  </conditionalFormatting>
  <conditionalFormatting sqref="V86:V90">
    <cfRule type="beginsWith" dxfId="6145" priority="8573" operator="beginsWith" text="Lancement Projet fil rouge">
      <formula>LEFT(V86,LEN("Lancement Projet fil rouge"))="Lancement Projet fil rouge"</formula>
    </cfRule>
    <cfRule type="beginsWith" dxfId="6144" priority="8574" operator="beginsWith" text="Vacances">
      <formula>LEFT(V86,LEN("Vacances"))="Vacances"</formula>
    </cfRule>
    <cfRule type="beginsWith" dxfId="6143" priority="8575" operator="beginsWith" text="Séminaire d'intégration">
      <formula>LEFT(V86,LEN("Séminaire d'intégration"))="Séminaire d'intégration"</formula>
    </cfRule>
    <cfRule type="beginsWith" dxfId="6142" priority="8576" operator="beginsWith" text="Accueil">
      <formula>LEFT(V86,LEN("Accueil"))="Accueil"</formula>
    </cfRule>
    <cfRule type="beginsWith" dxfId="6141" priority="8577" operator="beginsWith" text="Stage">
      <formula>LEFT(V86,LEN("Stage"))="Stage"</formula>
    </cfRule>
    <cfRule type="beginsWith" dxfId="6140" priority="8578" operator="beginsWith" text="Entreprise">
      <formula>LEFT(V86,LEN("Entreprise"))="Entreprise"</formula>
    </cfRule>
    <cfRule type="beginsWith" dxfId="6139" priority="8579" operator="beginsWith" text="Voltaire">
      <formula>LEFT(V86,LEN("Voltaire"))="Voltaire"</formula>
    </cfRule>
  </conditionalFormatting>
  <conditionalFormatting sqref="V91:V95">
    <cfRule type="beginsWith" dxfId="6138" priority="8558" operator="beginsWith" text="Lancement Projet fil rouge">
      <formula>LEFT(V91,LEN("Lancement Projet fil rouge"))="Lancement Projet fil rouge"</formula>
    </cfRule>
    <cfRule type="beginsWith" dxfId="6137" priority="8559" operator="beginsWith" text="Vacances">
      <formula>LEFT(V91,LEN("Vacances"))="Vacances"</formula>
    </cfRule>
    <cfRule type="beginsWith" dxfId="6136" priority="8560" operator="beginsWith" text="Séminaire d'intégration">
      <formula>LEFT(V91,LEN("Séminaire d'intégration"))="Séminaire d'intégration"</formula>
    </cfRule>
    <cfRule type="beginsWith" dxfId="6135" priority="8561" operator="beginsWith" text="Accueil">
      <formula>LEFT(V91,LEN("Accueil"))="Accueil"</formula>
    </cfRule>
    <cfRule type="beginsWith" dxfId="6134" priority="8562" operator="beginsWith" text="Stage">
      <formula>LEFT(V91,LEN("Stage"))="Stage"</formula>
    </cfRule>
    <cfRule type="beginsWith" dxfId="6133" priority="8563" operator="beginsWith" text="Entreprise">
      <formula>LEFT(V91,LEN("Entreprise"))="Entreprise"</formula>
    </cfRule>
    <cfRule type="beginsWith" dxfId="6132" priority="8564" operator="beginsWith" text="Voltaire">
      <formula>LEFT(V91,LEN("Voltaire"))="Voltaire"</formula>
    </cfRule>
  </conditionalFormatting>
  <conditionalFormatting sqref="V131:V135">
    <cfRule type="beginsWith" dxfId="6131" priority="8543" operator="beginsWith" text="Lancement Projet fil rouge">
      <formula>LEFT(V131,LEN("Lancement Projet fil rouge"))="Lancement Projet fil rouge"</formula>
    </cfRule>
    <cfRule type="beginsWith" dxfId="6130" priority="8544" operator="beginsWith" text="Vacances">
      <formula>LEFT(V131,LEN("Vacances"))="Vacances"</formula>
    </cfRule>
    <cfRule type="beginsWith" dxfId="6129" priority="8545" operator="beginsWith" text="Séminaire d'intégration">
      <formula>LEFT(V131,LEN("Séminaire d'intégration"))="Séminaire d'intégration"</formula>
    </cfRule>
    <cfRule type="beginsWith" dxfId="6128" priority="8546" operator="beginsWith" text="Accueil">
      <formula>LEFT(V131,LEN("Accueil"))="Accueil"</formula>
    </cfRule>
    <cfRule type="beginsWith" dxfId="6127" priority="8547" operator="beginsWith" text="Stage">
      <formula>LEFT(V131,LEN("Stage"))="Stage"</formula>
    </cfRule>
    <cfRule type="beginsWith" dxfId="6126" priority="8548" operator="beginsWith" text="Entreprise">
      <formula>LEFT(V131,LEN("Entreprise"))="Entreprise"</formula>
    </cfRule>
    <cfRule type="beginsWith" dxfId="6125" priority="8549" operator="beginsWith" text="Voltaire">
      <formula>LEFT(V131,LEN("Voltaire"))="Voltaire"</formula>
    </cfRule>
  </conditionalFormatting>
  <conditionalFormatting sqref="V146:V150">
    <cfRule type="beginsWith" dxfId="6124" priority="8536" operator="beginsWith" text="Lancement Projet fil rouge">
      <formula>LEFT(V146,LEN("Lancement Projet fil rouge"))="Lancement Projet fil rouge"</formula>
    </cfRule>
    <cfRule type="beginsWith" dxfId="6123" priority="8537" operator="beginsWith" text="Vacances">
      <formula>LEFT(V146,LEN("Vacances"))="Vacances"</formula>
    </cfRule>
    <cfRule type="beginsWith" dxfId="6122" priority="8538" operator="beginsWith" text="Séminaire d'intégration">
      <formula>LEFT(V146,LEN("Séminaire d'intégration"))="Séminaire d'intégration"</formula>
    </cfRule>
    <cfRule type="beginsWith" dxfId="6121" priority="8539" operator="beginsWith" text="Accueil">
      <formula>LEFT(V146,LEN("Accueil"))="Accueil"</formula>
    </cfRule>
    <cfRule type="beginsWith" dxfId="6120" priority="8540" operator="beginsWith" text="Stage">
      <formula>LEFT(V146,LEN("Stage"))="Stage"</formula>
    </cfRule>
    <cfRule type="beginsWith" dxfId="6119" priority="8541" operator="beginsWith" text="Entreprise">
      <formula>LEFT(V146,LEN("Entreprise"))="Entreprise"</formula>
    </cfRule>
    <cfRule type="beginsWith" dxfId="6118" priority="8542" operator="beginsWith" text="Voltaire">
      <formula>LEFT(V146,LEN("Voltaire"))="Voltaire"</formula>
    </cfRule>
  </conditionalFormatting>
  <conditionalFormatting sqref="V151:V155">
    <cfRule type="beginsWith" dxfId="6117" priority="8529" operator="beginsWith" text="Lancement Projet fil rouge">
      <formula>LEFT(V151,LEN("Lancement Projet fil rouge"))="Lancement Projet fil rouge"</formula>
    </cfRule>
    <cfRule type="beginsWith" dxfId="6116" priority="8530" operator="beginsWith" text="Vacances">
      <formula>LEFT(V151,LEN("Vacances"))="Vacances"</formula>
    </cfRule>
    <cfRule type="beginsWith" dxfId="6115" priority="8531" operator="beginsWith" text="Séminaire d'intégration">
      <formula>LEFT(V151,LEN("Séminaire d'intégration"))="Séminaire d'intégration"</formula>
    </cfRule>
    <cfRule type="beginsWith" dxfId="6114" priority="8532" operator="beginsWith" text="Accueil">
      <formula>LEFT(V151,LEN("Accueil"))="Accueil"</formula>
    </cfRule>
    <cfRule type="beginsWith" dxfId="6113" priority="8533" operator="beginsWith" text="Stage">
      <formula>LEFT(V151,LEN("Stage"))="Stage"</formula>
    </cfRule>
    <cfRule type="beginsWith" dxfId="6112" priority="8534" operator="beginsWith" text="Entreprise">
      <formula>LEFT(V151,LEN("Entreprise"))="Entreprise"</formula>
    </cfRule>
    <cfRule type="beginsWith" dxfId="6111" priority="8535" operator="beginsWith" text="Voltaire">
      <formula>LEFT(V151,LEN("Voltaire"))="Voltaire"</formula>
    </cfRule>
  </conditionalFormatting>
  <conditionalFormatting sqref="V156:V160">
    <cfRule type="beginsWith" dxfId="6110" priority="8522" operator="beginsWith" text="Lancement Projet fil rouge">
      <formula>LEFT(V156,LEN("Lancement Projet fil rouge"))="Lancement Projet fil rouge"</formula>
    </cfRule>
    <cfRule type="beginsWith" dxfId="6109" priority="8523" operator="beginsWith" text="Vacances">
      <formula>LEFT(V156,LEN("Vacances"))="Vacances"</formula>
    </cfRule>
    <cfRule type="beginsWith" dxfId="6108" priority="8524" operator="beginsWith" text="Séminaire d'intégration">
      <formula>LEFT(V156,LEN("Séminaire d'intégration"))="Séminaire d'intégration"</formula>
    </cfRule>
    <cfRule type="beginsWith" dxfId="6107" priority="8525" operator="beginsWith" text="Accueil">
      <formula>LEFT(V156,LEN("Accueil"))="Accueil"</formula>
    </cfRule>
    <cfRule type="beginsWith" dxfId="6106" priority="8526" operator="beginsWith" text="Stage">
      <formula>LEFT(V156,LEN("Stage"))="Stage"</formula>
    </cfRule>
    <cfRule type="beginsWith" dxfId="6105" priority="8527" operator="beginsWith" text="Entreprise">
      <formula>LEFT(V156,LEN("Entreprise"))="Entreprise"</formula>
    </cfRule>
    <cfRule type="beginsWith" dxfId="6104" priority="8528" operator="beginsWith" text="Voltaire">
      <formula>LEFT(V156,LEN("Voltaire"))="Voltaire"</formula>
    </cfRule>
  </conditionalFormatting>
  <conditionalFormatting sqref="V161">
    <cfRule type="beginsWith" dxfId="6103" priority="8515" operator="beginsWith" text="Lancement Projet fil rouge">
      <formula>LEFT(V161,LEN("Lancement Projet fil rouge"))="Lancement Projet fil rouge"</formula>
    </cfRule>
    <cfRule type="beginsWith" dxfId="6102" priority="8516" operator="beginsWith" text="Vacances">
      <formula>LEFT(V161,LEN("Vacances"))="Vacances"</formula>
    </cfRule>
    <cfRule type="beginsWith" dxfId="6101" priority="8517" operator="beginsWith" text="Séminaire d'intégration">
      <formula>LEFT(V161,LEN("Séminaire d'intégration"))="Séminaire d'intégration"</formula>
    </cfRule>
    <cfRule type="beginsWith" dxfId="6100" priority="8518" operator="beginsWith" text="Accueil">
      <formula>LEFT(V161,LEN("Accueil"))="Accueil"</formula>
    </cfRule>
    <cfRule type="beginsWith" dxfId="6099" priority="8519" operator="beginsWith" text="Stage">
      <formula>LEFT(V161,LEN("Stage"))="Stage"</formula>
    </cfRule>
    <cfRule type="beginsWith" dxfId="6098" priority="8520" operator="beginsWith" text="Entreprise">
      <formula>LEFT(V161,LEN("Entreprise"))="Entreprise"</formula>
    </cfRule>
    <cfRule type="beginsWith" dxfId="6097" priority="8521" operator="beginsWith" text="Voltaire">
      <formula>LEFT(V161,LEN("Voltaire"))="Voltaire"</formula>
    </cfRule>
  </conditionalFormatting>
  <conditionalFormatting sqref="V166">
    <cfRule type="beginsWith" dxfId="6096" priority="8658" operator="beginsWith" text="Vacances">
      <formula>LEFT(V166,LEN("Vacances"))="Vacances"</formula>
    </cfRule>
    <cfRule type="beginsWith" dxfId="6095" priority="8659" operator="beginsWith" text="Séminaire d'intégration">
      <formula>LEFT(V166,LEN("Séminaire d'intégration"))="Séminaire d'intégration"</formula>
    </cfRule>
    <cfRule type="beginsWith" dxfId="6094" priority="8660" operator="beginsWith" text="Accueil">
      <formula>LEFT(V166,LEN("Accueil"))="Accueil"</formula>
    </cfRule>
    <cfRule type="beginsWith" dxfId="6093" priority="8661" operator="beginsWith" text="Stage">
      <formula>LEFT(V166,LEN("Stage"))="Stage"</formula>
    </cfRule>
    <cfRule type="beginsWith" dxfId="6092" priority="8662" operator="beginsWith" text="Entreprise">
      <formula>LEFT(V166,LEN("Entreprise"))="Entreprise"</formula>
    </cfRule>
    <cfRule type="beginsWith" dxfId="6091" priority="8663" operator="beginsWith" text="Voltaire">
      <formula>LEFT(V166,LEN("Voltaire"))="Voltaire"</formula>
    </cfRule>
  </conditionalFormatting>
  <conditionalFormatting sqref="V171">
    <cfRule type="beginsWith" dxfId="6090" priority="8664" operator="beginsWith" text="Lancement Projet fil rouge">
      <formula>LEFT(V171,LEN("Lancement Projet fil rouge"))="Lancement Projet fil rouge"</formula>
    </cfRule>
    <cfRule type="beginsWith" dxfId="6089" priority="8665" operator="beginsWith" text="Vacances">
      <formula>LEFT(V171,LEN("Vacances"))="Vacances"</formula>
    </cfRule>
    <cfRule type="beginsWith" dxfId="6088" priority="8666" operator="beginsWith" text="Séminaire d'intégration">
      <formula>LEFT(V171,LEN("Séminaire d'intégration"))="Séminaire d'intégration"</formula>
    </cfRule>
    <cfRule type="beginsWith" dxfId="6087" priority="8667" operator="beginsWith" text="Accueil">
      <formula>LEFT(V171,LEN("Accueil"))="Accueil"</formula>
    </cfRule>
    <cfRule type="beginsWith" dxfId="6086" priority="8668" operator="beginsWith" text="Stage">
      <formula>LEFT(V171,LEN("Stage"))="Stage"</formula>
    </cfRule>
    <cfRule type="beginsWith" dxfId="6085" priority="8669" operator="beginsWith" text="Entreprise">
      <formula>LEFT(V171,LEN("Entreprise"))="Entreprise"</formula>
    </cfRule>
    <cfRule type="beginsWith" dxfId="6084" priority="8670" operator="beginsWith" text="Voltaire">
      <formula>LEFT(V171,LEN("Voltaire"))="Voltaire"</formula>
    </cfRule>
  </conditionalFormatting>
  <conditionalFormatting sqref="V172">
    <cfRule type="beginsWith" dxfId="6083" priority="8609" operator="beginsWith" text="Lancement Projet fil rouge">
      <formula>LEFT(V172,LEN("Lancement Projet fil rouge"))="Lancement Projet fil rouge"</formula>
    </cfRule>
    <cfRule type="beginsWith" dxfId="6082" priority="8610" operator="beginsWith" text="Vacances">
      <formula>LEFT(V172,LEN("Vacances"))="Vacances"</formula>
    </cfRule>
    <cfRule type="beginsWith" dxfId="6081" priority="8611" operator="beginsWith" text="Séminaire d'intégration">
      <formula>LEFT(V172,LEN("Séminaire d'intégration"))="Séminaire d'intégration"</formula>
    </cfRule>
    <cfRule type="beginsWith" dxfId="6080" priority="8612" operator="beginsWith" text="Accueil">
      <formula>LEFT(V172,LEN("Accueil"))="Accueil"</formula>
    </cfRule>
    <cfRule type="beginsWith" dxfId="6079" priority="8613" operator="beginsWith" text="Stage">
      <formula>LEFT(V172,LEN("Stage"))="Stage"</formula>
    </cfRule>
    <cfRule type="beginsWith" dxfId="6078" priority="8614" operator="beginsWith" text="Entreprise">
      <formula>LEFT(V172,LEN("Entreprise"))="Entreprise"</formula>
    </cfRule>
    <cfRule type="beginsWith" dxfId="6077" priority="8615" operator="beginsWith" text="Voltaire">
      <formula>LEFT(V172,LEN("Voltaire"))="Voltaire"</formula>
    </cfRule>
  </conditionalFormatting>
  <conditionalFormatting sqref="V199:V200">
    <cfRule type="beginsWith" dxfId="6076" priority="8427" operator="beginsWith" text="Lancement Projet fil rouge">
      <formula>LEFT(V199,LEN("Lancement Projet fil rouge"))="Lancement Projet fil rouge"</formula>
    </cfRule>
    <cfRule type="beginsWith" dxfId="6075" priority="8428" operator="beginsWith" text="Vacances">
      <formula>LEFT(V199,LEN("Vacances"))="Vacances"</formula>
    </cfRule>
    <cfRule type="beginsWith" dxfId="6074" priority="8429" operator="beginsWith" text="Séminaire d'intégration">
      <formula>LEFT(V199,LEN("Séminaire d'intégration"))="Séminaire d'intégration"</formula>
    </cfRule>
    <cfRule type="beginsWith" dxfId="6073" priority="8430" operator="beginsWith" text="Accueil">
      <formula>LEFT(V199,LEN("Accueil"))="Accueil"</formula>
    </cfRule>
    <cfRule type="beginsWith" dxfId="6072" priority="8431" operator="beginsWith" text="TOPHYC">
      <formula>LEFT(V199,LEN("TOPHYC"))="TOPHYC"</formula>
    </cfRule>
    <cfRule type="beginsWith" dxfId="6071" priority="8432" operator="beginsWith" text="Global Exam">
      <formula>LEFT(V199,LEN("Global Exam"))="Global Exam"</formula>
    </cfRule>
    <cfRule type="beginsWith" dxfId="6070" priority="8433" operator="beginsWith" text="Stage">
      <formula>LEFT(V199,LEN("Stage"))="Stage"</formula>
    </cfRule>
    <cfRule type="beginsWith" dxfId="6069" priority="8434" operator="beginsWith" text="Entreprise">
      <formula>LEFT(V199,LEN("Entreprise"))="Entreprise"</formula>
    </cfRule>
    <cfRule type="beginsWith" dxfId="6068" priority="8435" operator="beginsWith" text="TOMIC">
      <formula>LEFT(V199,LEN("TOMIC"))="TOMIC"</formula>
    </cfRule>
    <cfRule type="beginsWith" dxfId="6067" priority="8436" operator="beginsWith" text="Voltaire">
      <formula>LEFT(V199,LEN("Voltaire"))="Voltaire"</formula>
    </cfRule>
  </conditionalFormatting>
  <conditionalFormatting sqref="V207">
    <cfRule type="beginsWith" dxfId="6066" priority="8602" operator="beginsWith" text="Lancement Projet fil rouge">
      <formula>LEFT(V207,LEN("Lancement Projet fil rouge"))="Lancement Projet fil rouge"</formula>
    </cfRule>
    <cfRule type="beginsWith" dxfId="6065" priority="8603" operator="beginsWith" text="Vacances">
      <formula>LEFT(V207,LEN("Vacances"))="Vacances"</formula>
    </cfRule>
    <cfRule type="beginsWith" dxfId="6064" priority="8604" operator="beginsWith" text="Séminaire d'intégration">
      <formula>LEFT(V207,LEN("Séminaire d'intégration"))="Séminaire d'intégration"</formula>
    </cfRule>
    <cfRule type="beginsWith" dxfId="6063" priority="8605" operator="beginsWith" text="Accueil">
      <formula>LEFT(V207,LEN("Accueil"))="Accueil"</formula>
    </cfRule>
    <cfRule type="beginsWith" dxfId="6062" priority="8606" operator="beginsWith" text="Stage">
      <formula>LEFT(V207,LEN("Stage"))="Stage"</formula>
    </cfRule>
    <cfRule type="beginsWith" dxfId="6061" priority="8607" operator="beginsWith" text="Entreprise">
      <formula>LEFT(V207,LEN("Entreprise"))="Entreprise"</formula>
    </cfRule>
    <cfRule type="beginsWith" dxfId="6060" priority="8608" operator="beginsWith" text="Voltaire">
      <formula>LEFT(V207,LEN("Voltaire"))="Voltaire"</formula>
    </cfRule>
  </conditionalFormatting>
  <conditionalFormatting sqref="V211">
    <cfRule type="beginsWith" dxfId="6059" priority="8492" operator="beginsWith" text="Lancement Projet fil rouge">
      <formula>LEFT(V211,LEN("Lancement Projet fil rouge"))="Lancement Projet fil rouge"</formula>
    </cfRule>
    <cfRule type="beginsWith" dxfId="6058" priority="8493" operator="beginsWith" text="Vacances">
      <formula>LEFT(V211,LEN("Vacances"))="Vacances"</formula>
    </cfRule>
    <cfRule type="beginsWith" dxfId="6057" priority="8494" operator="beginsWith" text="Séminaire d'intégration">
      <formula>LEFT(V211,LEN("Séminaire d'intégration"))="Séminaire d'intégration"</formula>
    </cfRule>
    <cfRule type="beginsWith" dxfId="6056" priority="8495" operator="beginsWith" text="Accueil">
      <formula>LEFT(V211,LEN("Accueil"))="Accueil"</formula>
    </cfRule>
    <cfRule type="beginsWith" dxfId="6055" priority="8496" operator="beginsWith" text="Stage">
      <formula>LEFT(V211,LEN("Stage"))="Stage"</formula>
    </cfRule>
    <cfRule type="beginsWith" dxfId="6054" priority="8497" operator="beginsWith" text="Entreprise">
      <formula>LEFT(V211,LEN("Entreprise"))="Entreprise"</formula>
    </cfRule>
    <cfRule type="beginsWith" dxfId="6053" priority="8498" operator="beginsWith" text="Voltaire">
      <formula>LEFT(V211,LEN("Voltaire"))="Voltaire"</formula>
    </cfRule>
  </conditionalFormatting>
  <conditionalFormatting sqref="V216:V220">
    <cfRule type="beginsWith" dxfId="6052" priority="8485" operator="beginsWith" text="Lancement Projet fil rouge">
      <formula>LEFT(V216,LEN("Lancement Projet fil rouge"))="Lancement Projet fil rouge"</formula>
    </cfRule>
    <cfRule type="beginsWith" dxfId="6051" priority="8486" operator="beginsWith" text="Vacances">
      <formula>LEFT(V216,LEN("Vacances"))="Vacances"</formula>
    </cfRule>
    <cfRule type="beginsWith" dxfId="6050" priority="8487" operator="beginsWith" text="Séminaire d'intégration">
      <formula>LEFT(V216,LEN("Séminaire d'intégration"))="Séminaire d'intégration"</formula>
    </cfRule>
    <cfRule type="beginsWith" dxfId="6049" priority="8488" operator="beginsWith" text="Accueil">
      <formula>LEFT(V216,LEN("Accueil"))="Accueil"</formula>
    </cfRule>
    <cfRule type="beginsWith" dxfId="6048" priority="8489" operator="beginsWith" text="Stage">
      <formula>LEFT(V216,LEN("Stage"))="Stage"</formula>
    </cfRule>
    <cfRule type="beginsWith" dxfId="6047" priority="8490" operator="beginsWith" text="Entreprise">
      <formula>LEFT(V216,LEN("Entreprise"))="Entreprise"</formula>
    </cfRule>
    <cfRule type="beginsWith" dxfId="6046" priority="8491" operator="beginsWith" text="Voltaire">
      <formula>LEFT(V216,LEN("Voltaire"))="Voltaire"</formula>
    </cfRule>
  </conditionalFormatting>
  <conditionalFormatting sqref="U1:V5 U16:V25 U26 U31 U36:U45 U46:V50 U51:U55 U56:V60 U66:V67 U68 U71:V80 U81:U95 U96:V120 V121:V125 U131:U135 U136:V145 U146:U160 U166 U171:U172 U176:V190 V191 U195:V196 U199:U200 U201:V201 V206 U216 U226:V1048576">
    <cfRule type="beginsWith" dxfId="6045" priority="8697" operator="beginsWith" text="Vacances">
      <formula>LEFT(U1,LEN("Vacances"))="Vacances"</formula>
    </cfRule>
  </conditionalFormatting>
  <conditionalFormatting sqref="U1:V5 U16:V25 U26 U31 U36:U45 U46:V50 U51:U55 U56:V60 U66:V67 U68 U71:V80 U81:U95 U96:V120 V121:V125 U131:U135 U136:V145 U146:U160 U166 U171:U172 U176:V180 V191 U195:V196 U199:U200 U201:V201 V206 U216 U226:V1048576">
    <cfRule type="beginsWith" dxfId="6044" priority="8708" operator="beginsWith" text="Séminaire d'intégration">
      <formula>LEFT(U1,LEN("Séminaire d'intégration"))="Séminaire d'intégration"</formula>
    </cfRule>
  </conditionalFormatting>
  <conditionalFormatting sqref="U1:V5 U16:V25 U26 U31 U36:U45 U46:V50 U51:U55 U56:V60 U66:V67 U68 U71:V80 U81:U95 U96:V120 V121:V125 U131:U135 U136:V145 U146:U160 U166 U171:U172 U176:V180 V191 U195:V196 U199:U200 U201:V201 V206 U216 U226:V1048576">
    <cfRule type="beginsWith" dxfId="6043" priority="8709" operator="beginsWith" text="Accueil">
      <formula>LEFT(U1,LEN("Accueil"))="Accueil"</formula>
    </cfRule>
  </conditionalFormatting>
  <conditionalFormatting sqref="U6:V10">
    <cfRule type="beginsWith" dxfId="6042" priority="8594" operator="beginsWith" text="Lancement Projet fil rouge">
      <formula>LEFT(U6,LEN("Lancement Projet fil rouge"))="Lancement Projet fil rouge"</formula>
    </cfRule>
    <cfRule type="beginsWith" dxfId="6041" priority="8595" operator="beginsWith" text="Vacances">
      <formula>LEFT(U6,LEN("Vacances"))="Vacances"</formula>
    </cfRule>
    <cfRule type="beginsWith" dxfId="6040" priority="8596" operator="beginsWith" text="Séminaire d'intégration">
      <formula>LEFT(U6,LEN("Séminaire d'intégration"))="Séminaire d'intégration"</formula>
    </cfRule>
    <cfRule type="beginsWith" dxfId="6039" priority="8597" operator="beginsWith" text="Accueil">
      <formula>LEFT(U6,LEN("Accueil"))="Accueil"</formula>
    </cfRule>
    <cfRule type="beginsWith" dxfId="6038" priority="8598" operator="beginsWith" text="Stage">
      <formula>LEFT(U6,LEN("Stage"))="Stage"</formula>
    </cfRule>
    <cfRule type="beginsWith" dxfId="6037" priority="8599" operator="beginsWith" text="Entreprise">
      <formula>LEFT(U6,LEN("Entreprise"))="Entreprise"</formula>
    </cfRule>
    <cfRule type="beginsWith" dxfId="6036" priority="8600" operator="beginsWith" text="Voltaire">
      <formula>LEFT(U6,LEN("Voltaire"))="Voltaire"</formula>
    </cfRule>
  </conditionalFormatting>
  <conditionalFormatting sqref="U1:V5 U16:V25 U46:V50 U56:V60 U66:V67 U71:V80 V121:V125 U136:V145 U176:V180 V191 U195:V196 U201:V201 V206 U26 U31 U36:U45 U51:U55 U68 U81:U95 U96:V120 U131:U135 U146:U160 U166 U171:U172 U199:U200 U216 U226:V1048576">
    <cfRule type="beginsWith" dxfId="6035" priority="8712" operator="beginsWith" text="Stage">
      <formula>LEFT(U1,LEN("Stage"))="Stage"</formula>
    </cfRule>
    <cfRule type="beginsWith" dxfId="6034" priority="8713" operator="beginsWith" text="Entreprise">
      <formula>LEFT(U1,LEN("Entreprise"))="Entreprise"</formula>
    </cfRule>
    <cfRule type="beginsWith" dxfId="6033" priority="8715" operator="beginsWith" text="Voltaire">
      <formula>LEFT(U1,LEN("Voltaire"))="Voltaire"</formula>
    </cfRule>
  </conditionalFormatting>
  <conditionalFormatting sqref="U261:V267">
    <cfRule type="beginsWith" dxfId="6032" priority="8710" operator="beginsWith" text="TOPHYC">
      <formula>LEFT(U261,LEN("TOPHYC"))="TOPHYC"</formula>
    </cfRule>
    <cfRule type="beginsWith" dxfId="6031" priority="8711" operator="beginsWith" text="Global Exam">
      <formula>LEFT(U261,LEN("Global Exam"))="Global Exam"</formula>
    </cfRule>
    <cfRule type="beginsWith" dxfId="6030" priority="8714" operator="beginsWith" text="TOMIC">
      <formula>LEFT(U261,LEN("TOMIC"))="TOMIC"</formula>
    </cfRule>
  </conditionalFormatting>
  <conditionalFormatting sqref="R241:R1048576 R16:R20 R26:R53 R55:R60 R68 R70:R89 R110:R113 R131:R133 R135:R145 R170:R173 R175:R178 R199:R200 R202:R203 R226:R228 R230:R232 R235 R194:R197 R91:R108 R115:R125 R147:R148 R150:R158 R180:R190 R205:R220 R160:R168">
    <cfRule type="beginsWith" dxfId="6029" priority="8401" operator="beginsWith" text="Lancement Projet fil rouge">
      <formula>LEFT(R16,LEN("Lancement Projet fil rouge"))="Lancement Projet fil rouge"</formula>
    </cfRule>
  </conditionalFormatting>
  <conditionalFormatting sqref="R201">
    <cfRule type="beginsWith" dxfId="6028" priority="8399" operator="beginsWith" text="Lancement Projet fil rouge">
      <formula>LEFT(R201,LEN("Lancement Projet fil rouge"))="Lancement Projet fil rouge"</formula>
    </cfRule>
  </conditionalFormatting>
  <conditionalFormatting sqref="R1:R4">
    <cfRule type="beginsWith" dxfId="6027" priority="8400" operator="beginsWith" text="Lancement Projet fil rouge">
      <formula>LEFT(R1,LEN("Lancement Projet fil rouge"))="Lancement Projet fil rouge"</formula>
    </cfRule>
  </conditionalFormatting>
  <conditionalFormatting sqref="R66:R67">
    <cfRule type="beginsWith" dxfId="6026" priority="8397" operator="beginsWith" text="Lancement Projet fil rouge">
      <formula>LEFT(R66,LEN("Lancement Projet fil rouge"))="Lancement Projet fil rouge"</formula>
    </cfRule>
  </conditionalFormatting>
  <conditionalFormatting sqref="R11:R15">
    <cfRule type="beginsWith" dxfId="6025" priority="8187" operator="beginsWith" text="Lancement Projet fil rouge">
      <formula>LEFT(R11,LEN("Lancement Projet fil rouge"))="Lancement Projet fil rouge"</formula>
    </cfRule>
    <cfRule type="beginsWith" dxfId="6024" priority="8188" operator="beginsWith" text="Vacances">
      <formula>LEFT(R11,LEN("Vacances"))="Vacances"</formula>
    </cfRule>
    <cfRule type="beginsWith" dxfId="6023" priority="8189" operator="beginsWith" text="Séminaire d'intégration">
      <formula>LEFT(R11,LEN("Séminaire d'intégration"))="Séminaire d'intégration"</formula>
    </cfRule>
    <cfRule type="beginsWith" dxfId="6022" priority="8190" operator="beginsWith" text="Accueil">
      <formula>LEFT(R11,LEN("Accueil"))="Accueil"</formula>
    </cfRule>
    <cfRule type="beginsWith" dxfId="6021" priority="8193" operator="beginsWith" text="Stage">
      <formula>LEFT(R11,LEN("Stage"))="Stage"</formula>
    </cfRule>
    <cfRule type="beginsWith" dxfId="6020" priority="8194" operator="beginsWith" text="Entreprise">
      <formula>LEFT(R11,LEN("Entreprise"))="Entreprise"</formula>
    </cfRule>
    <cfRule type="beginsWith" dxfId="6019" priority="8196" operator="beginsWith" text="Voltaire">
      <formula>LEFT(R11,LEN("Voltaire"))="Voltaire"</formula>
    </cfRule>
  </conditionalFormatting>
  <conditionalFormatting sqref="R126:R128 R130">
    <cfRule type="beginsWith" dxfId="6018" priority="8347" operator="beginsWith" text="Lancement Projet fil rouge">
      <formula>LEFT(R126,LEN("Lancement Projet fil rouge"))="Lancement Projet fil rouge"</formula>
    </cfRule>
    <cfRule type="beginsWith" dxfId="6017" priority="8348" operator="beginsWith" text="Vacances">
      <formula>LEFT(R126,LEN("Vacances"))="Vacances"</formula>
    </cfRule>
    <cfRule type="beginsWith" dxfId="6016" priority="8349" operator="beginsWith" text="Séminaire d'intégration">
      <formula>LEFT(R126,LEN("Séminaire d'intégration"))="Séminaire d'intégration"</formula>
    </cfRule>
    <cfRule type="beginsWith" dxfId="6015" priority="8350" operator="beginsWith" text="Accueil">
      <formula>LEFT(R126,LEN("Accueil"))="Accueil"</formula>
    </cfRule>
    <cfRule type="beginsWith" dxfId="6014" priority="8353" operator="beginsWith" text="Stage">
      <formula>LEFT(R126,LEN("Stage"))="Stage"</formula>
    </cfRule>
    <cfRule type="beginsWith" dxfId="6013" priority="8354" operator="beginsWith" text="Entreprise">
      <formula>LEFT(R126,LEN("Entreprise"))="Entreprise"</formula>
    </cfRule>
    <cfRule type="beginsWith" dxfId="6012" priority="8356" operator="beginsWith" text="Voltaire">
      <formula>LEFT(R126,LEN("Voltaire"))="Voltaire"</formula>
    </cfRule>
  </conditionalFormatting>
  <conditionalFormatting sqref="R181:R185">
    <cfRule type="beginsWith" dxfId="6011" priority="8411" operator="beginsWith" text="Séminaire d'intégration">
      <formula>LEFT(R181,LEN("Séminaire d'intégration"))="Séminaire d'intégration"</formula>
    </cfRule>
    <cfRule type="beginsWith" dxfId="6010" priority="8412" operator="beginsWith" text="Accueil">
      <formula>LEFT(R181,LEN("Accueil"))="Accueil"</formula>
    </cfRule>
    <cfRule type="beginsWith" dxfId="6009" priority="8415" operator="beginsWith" text="Stage">
      <formula>LEFT(R181,LEN("Stage"))="Stage"</formula>
    </cfRule>
    <cfRule type="beginsWith" dxfId="6008" priority="8416" operator="beginsWith" text="Entreprise">
      <formula>LEFT(R181,LEN("Entreprise"))="Entreprise"</formula>
    </cfRule>
    <cfRule type="beginsWith" dxfId="6007" priority="8418" operator="beginsWith" text="Voltaire">
      <formula>LEFT(R181,LEN("Voltaire"))="Voltaire"</formula>
    </cfRule>
  </conditionalFormatting>
  <conditionalFormatting sqref="R186:R190">
    <cfRule type="beginsWith" dxfId="6006" priority="8403" operator="beginsWith" text="Séminaire d'intégration">
      <formula>LEFT(R186,LEN("Séminaire d'intégration"))="Séminaire d'intégration"</formula>
    </cfRule>
    <cfRule type="beginsWith" dxfId="6005" priority="8404" operator="beginsWith" text="Accueil">
      <formula>LEFT(R186,LEN("Accueil"))="Accueil"</formula>
    </cfRule>
    <cfRule type="beginsWith" dxfId="6004" priority="8407" operator="beginsWith" text="Stage">
      <formula>LEFT(R186,LEN("Stage"))="Stage"</formula>
    </cfRule>
    <cfRule type="beginsWith" dxfId="6003" priority="8408" operator="beginsWith" text="Entreprise">
      <formula>LEFT(R186,LEN("Entreprise"))="Entreprise"</formula>
    </cfRule>
    <cfRule type="beginsWith" dxfId="6002" priority="8410" operator="beginsWith" text="Voltaire">
      <formula>LEFT(R186,LEN("Voltaire"))="Voltaire"</formula>
    </cfRule>
  </conditionalFormatting>
  <conditionalFormatting sqref="R221">
    <cfRule type="beginsWith" dxfId="6001" priority="8217" operator="beginsWith" text="Lancement Projet fil rouge">
      <formula>LEFT(R221,LEN("Lancement Projet fil rouge"))="Lancement Projet fil rouge"</formula>
    </cfRule>
    <cfRule type="beginsWith" dxfId="6000" priority="8218" operator="beginsWith" text="Vacances">
      <formula>LEFT(R221,LEN("Vacances"))="Vacances"</formula>
    </cfRule>
    <cfRule type="beginsWith" dxfId="5999" priority="8219" operator="beginsWith" text="Séminaire d'intégration">
      <formula>LEFT(R221,LEN("Séminaire d'intégration"))="Séminaire d'intégration"</formula>
    </cfRule>
    <cfRule type="beginsWith" dxfId="5998" priority="8220" operator="beginsWith" text="Accueil">
      <formula>LEFT(R221,LEN("Accueil"))="Accueil"</formula>
    </cfRule>
    <cfRule type="beginsWith" dxfId="5997" priority="8223" operator="beginsWith" text="Stage">
      <formula>LEFT(R221,LEN("Stage"))="Stage"</formula>
    </cfRule>
    <cfRule type="beginsWith" dxfId="5996" priority="8224" operator="beginsWith" text="Entreprise">
      <formula>LEFT(R221,LEN("Entreprise"))="Entreprise"</formula>
    </cfRule>
    <cfRule type="beginsWith" dxfId="5995" priority="8226" operator="beginsWith" text="Voltaire">
      <formula>LEFT(R221,LEN("Voltaire"))="Voltaire"</formula>
    </cfRule>
  </conditionalFormatting>
  <conditionalFormatting sqref="R54">
    <cfRule type="beginsWith" dxfId="5994" priority="8307" operator="beginsWith" text="Lancement Projet fil rouge">
      <formula>LEFT(R54,LEN("Lancement Projet fil rouge"))="Lancement Projet fil rouge"</formula>
    </cfRule>
    <cfRule type="beginsWith" dxfId="5993" priority="8308" operator="beginsWith" text="Vacances">
      <formula>LEFT(R54,LEN("Vacances"))="Vacances"</formula>
    </cfRule>
    <cfRule type="beginsWith" dxfId="5992" priority="8309" operator="beginsWith" text="Séminaire d'intégration">
      <formula>LEFT(R54,LEN("Séminaire d'intégration"))="Séminaire d'intégration"</formula>
    </cfRule>
    <cfRule type="beginsWith" dxfId="5991" priority="8310" operator="beginsWith" text="Accueil">
      <formula>LEFT(R54,LEN("Accueil"))="Accueil"</formula>
    </cfRule>
    <cfRule type="beginsWith" dxfId="5990" priority="8311" operator="beginsWith" text="TOPHYC">
      <formula>LEFT(R54,LEN("TOPHYC"))="TOPHYC"</formula>
    </cfRule>
    <cfRule type="beginsWith" dxfId="5989" priority="8312" operator="beginsWith" text="Global Exam">
      <formula>LEFT(R54,LEN("Global Exam"))="Global Exam"</formula>
    </cfRule>
    <cfRule type="beginsWith" dxfId="5988" priority="8313" operator="beginsWith" text="Stage">
      <formula>LEFT(R54,LEN("Stage"))="Stage"</formula>
    </cfRule>
    <cfRule type="beginsWith" dxfId="5987" priority="8314" operator="beginsWith" text="Entreprise">
      <formula>LEFT(R54,LEN("Entreprise"))="Entreprise"</formula>
    </cfRule>
    <cfRule type="beginsWith" dxfId="5986" priority="8315" operator="beginsWith" text="TOMIC">
      <formula>LEFT(R54,LEN("TOMIC"))="TOMIC"</formula>
    </cfRule>
    <cfRule type="beginsWith" dxfId="5985" priority="8316" operator="beginsWith" text="Voltaire">
      <formula>LEFT(R54,LEN("Voltaire"))="Voltaire"</formula>
    </cfRule>
  </conditionalFormatting>
  <conditionalFormatting sqref="R61:R63">
    <cfRule type="beginsWith" dxfId="5984" priority="8367" operator="beginsWith" text="Lancement Projet fil rouge">
      <formula>LEFT(R61,LEN("Lancement Projet fil rouge"))="Lancement Projet fil rouge"</formula>
    </cfRule>
    <cfRule type="beginsWith" dxfId="5983" priority="8368" operator="beginsWith" text="Vacances">
      <formula>LEFT(R61,LEN("Vacances"))="Vacances"</formula>
    </cfRule>
    <cfRule type="beginsWith" dxfId="5982" priority="8369" operator="beginsWith" text="Séminaire d'intégration">
      <formula>LEFT(R61,LEN("Séminaire d'intégration"))="Séminaire d'intégration"</formula>
    </cfRule>
    <cfRule type="beginsWith" dxfId="5981" priority="8370" operator="beginsWith" text="Accueil">
      <formula>LEFT(R61,LEN("Accueil"))="Accueil"</formula>
    </cfRule>
    <cfRule type="beginsWith" dxfId="5980" priority="8373" operator="beginsWith" text="Stage">
      <formula>LEFT(R61,LEN("Stage"))="Stage"</formula>
    </cfRule>
    <cfRule type="beginsWith" dxfId="5979" priority="8374" operator="beginsWith" text="Entreprise">
      <formula>LEFT(R61,LEN("Entreprise"))="Entreprise"</formula>
    </cfRule>
    <cfRule type="beginsWith" dxfId="5978" priority="8376" operator="beginsWith" text="Voltaire">
      <formula>LEFT(R61,LEN("Voltaire"))="Voltaire"</formula>
    </cfRule>
  </conditionalFormatting>
  <conditionalFormatting sqref="R61:R63">
    <cfRule type="beginsWith" dxfId="5977" priority="8371" operator="beginsWith" text="TOPHYC">
      <formula>LEFT(R61,LEN("TOPHYC"))="TOPHYC"</formula>
    </cfRule>
    <cfRule type="beginsWith" dxfId="5976" priority="8372" operator="beginsWith" text="Global Exam">
      <formula>LEFT(R61,LEN("Global Exam"))="Global Exam"</formula>
    </cfRule>
    <cfRule type="beginsWith" dxfId="5975" priority="8375" operator="beginsWith" text="TOMIC">
      <formula>LEFT(R61,LEN("TOMIC"))="TOMIC"</formula>
    </cfRule>
  </conditionalFormatting>
  <conditionalFormatting sqref="R64">
    <cfRule type="beginsWith" dxfId="5974" priority="8267" operator="beginsWith" text="Lancement Projet fil rouge">
      <formula>LEFT(R64,LEN("Lancement Projet fil rouge"))="Lancement Projet fil rouge"</formula>
    </cfRule>
    <cfRule type="beginsWith" dxfId="5973" priority="8268" operator="beginsWith" text="Vacances">
      <formula>LEFT(R64,LEN("Vacances"))="Vacances"</formula>
    </cfRule>
    <cfRule type="beginsWith" dxfId="5972" priority="8269" operator="beginsWith" text="Séminaire d'intégration">
      <formula>LEFT(R64,LEN("Séminaire d'intégration"))="Séminaire d'intégration"</formula>
    </cfRule>
    <cfRule type="beginsWith" dxfId="5971" priority="8270" operator="beginsWith" text="Accueil">
      <formula>LEFT(R64,LEN("Accueil"))="Accueil"</formula>
    </cfRule>
    <cfRule type="beginsWith" dxfId="5970" priority="8271" operator="beginsWith" text="TOPHYC">
      <formula>LEFT(R64,LEN("TOPHYC"))="TOPHYC"</formula>
    </cfRule>
    <cfRule type="beginsWith" dxfId="5969" priority="8272" operator="beginsWith" text="Global Exam">
      <formula>LEFT(R64,LEN("Global Exam"))="Global Exam"</formula>
    </cfRule>
    <cfRule type="beginsWith" dxfId="5968" priority="8273" operator="beginsWith" text="Stage">
      <formula>LEFT(R64,LEN("Stage"))="Stage"</formula>
    </cfRule>
    <cfRule type="beginsWith" dxfId="5967" priority="8274" operator="beginsWith" text="Entreprise">
      <formula>LEFT(R64,LEN("Entreprise"))="Entreprise"</formula>
    </cfRule>
    <cfRule type="beginsWith" dxfId="5966" priority="8275" operator="beginsWith" text="TOMIC">
      <formula>LEFT(R64,LEN("TOMIC"))="TOMIC"</formula>
    </cfRule>
    <cfRule type="beginsWith" dxfId="5965" priority="8276" operator="beginsWith" text="Voltaire">
      <formula>LEFT(R64,LEN("Voltaire"))="Voltaire"</formula>
    </cfRule>
  </conditionalFormatting>
  <conditionalFormatting sqref="R65">
    <cfRule type="beginsWith" dxfId="5964" priority="8357" operator="beginsWith" text="Lancement Projet fil rouge">
      <formula>LEFT(R65,LEN("Lancement Projet fil rouge"))="Lancement Projet fil rouge"</formula>
    </cfRule>
    <cfRule type="beginsWith" dxfId="5963" priority="8358" operator="beginsWith" text="Vacances">
      <formula>LEFT(R65,LEN("Vacances"))="Vacances"</formula>
    </cfRule>
    <cfRule type="beginsWith" dxfId="5962" priority="8359" operator="beginsWith" text="Séminaire d'intégration">
      <formula>LEFT(R65,LEN("Séminaire d'intégration"))="Séminaire d'intégration"</formula>
    </cfRule>
    <cfRule type="beginsWith" dxfId="5961" priority="8360" operator="beginsWith" text="Accueil">
      <formula>LEFT(R65,LEN("Accueil"))="Accueil"</formula>
    </cfRule>
    <cfRule type="beginsWith" dxfId="5960" priority="8361" operator="beginsWith" text="TOPHYC">
      <formula>LEFT(R65,LEN("TOPHYC"))="TOPHYC"</formula>
    </cfRule>
    <cfRule type="beginsWith" dxfId="5959" priority="8362" operator="beginsWith" text="Global Exam">
      <formula>LEFT(R65,LEN("Global Exam"))="Global Exam"</formula>
    </cfRule>
    <cfRule type="beginsWith" dxfId="5958" priority="8363" operator="beginsWith" text="Stage">
      <formula>LEFT(R65,LEN("Stage"))="Stage"</formula>
    </cfRule>
    <cfRule type="beginsWith" dxfId="5957" priority="8364" operator="beginsWith" text="Entreprise">
      <formula>LEFT(R65,LEN("Entreprise"))="Entreprise"</formula>
    </cfRule>
    <cfRule type="beginsWith" dxfId="5956" priority="8365" operator="beginsWith" text="TOMIC">
      <formula>LEFT(R65,LEN("TOMIC"))="TOMIC"</formula>
    </cfRule>
    <cfRule type="beginsWith" dxfId="5955" priority="8366" operator="beginsWith" text="Voltaire">
      <formula>LEFT(R65,LEN("Voltaire"))="Voltaire"</formula>
    </cfRule>
  </conditionalFormatting>
  <conditionalFormatting sqref="R69">
    <cfRule type="beginsWith" dxfId="5954" priority="8337" operator="beginsWith" text="Lancement Projet fil rouge">
      <formula>LEFT(R69,LEN("Lancement Projet fil rouge"))="Lancement Projet fil rouge"</formula>
    </cfRule>
    <cfRule type="beginsWith" dxfId="5953" priority="8338" operator="beginsWith" text="Vacances">
      <formula>LEFT(R69,LEN("Vacances"))="Vacances"</formula>
    </cfRule>
    <cfRule type="beginsWith" dxfId="5952" priority="8339" operator="beginsWith" text="Séminaire d'intégration">
      <formula>LEFT(R69,LEN("Séminaire d'intégration"))="Séminaire d'intégration"</formula>
    </cfRule>
    <cfRule type="beginsWith" dxfId="5951" priority="8340" operator="beginsWith" text="Accueil">
      <formula>LEFT(R69,LEN("Accueil"))="Accueil"</formula>
    </cfRule>
    <cfRule type="beginsWith" dxfId="5950" priority="8341" operator="beginsWith" text="TOPHYC">
      <formula>LEFT(R69,LEN("TOPHYC"))="TOPHYC"</formula>
    </cfRule>
    <cfRule type="beginsWith" dxfId="5949" priority="8342" operator="beginsWith" text="Global Exam">
      <formula>LEFT(R69,LEN("Global Exam"))="Global Exam"</formula>
    </cfRule>
    <cfRule type="beginsWith" dxfId="5948" priority="8343" operator="beginsWith" text="Stage">
      <formula>LEFT(R69,LEN("Stage"))="Stage"</formula>
    </cfRule>
    <cfRule type="beginsWith" dxfId="5947" priority="8344" operator="beginsWith" text="Entreprise">
      <formula>LEFT(R69,LEN("Entreprise"))="Entreprise"</formula>
    </cfRule>
    <cfRule type="beginsWith" dxfId="5946" priority="8345" operator="beginsWith" text="TOMIC">
      <formula>LEFT(R69,LEN("TOMIC"))="TOMIC"</formula>
    </cfRule>
    <cfRule type="beginsWith" dxfId="5945" priority="8346" operator="beginsWith" text="Voltaire">
      <formula>LEFT(R69,LEN("Voltaire"))="Voltaire"</formula>
    </cfRule>
  </conditionalFormatting>
  <conditionalFormatting sqref="R109">
    <cfRule type="beginsWith" dxfId="5944" priority="8297" operator="beginsWith" text="Lancement Projet fil rouge">
      <formula>LEFT(R109,LEN("Lancement Projet fil rouge"))="Lancement Projet fil rouge"</formula>
    </cfRule>
    <cfRule type="beginsWith" dxfId="5943" priority="8298" operator="beginsWith" text="Vacances">
      <formula>LEFT(R109,LEN("Vacances"))="Vacances"</formula>
    </cfRule>
    <cfRule type="beginsWith" dxfId="5942" priority="8299" operator="beginsWith" text="Séminaire d'intégration">
      <formula>LEFT(R109,LEN("Séminaire d'intégration"))="Séminaire d'intégration"</formula>
    </cfRule>
    <cfRule type="beginsWith" dxfId="5941" priority="8300" operator="beginsWith" text="Accueil">
      <formula>LEFT(R109,LEN("Accueil"))="Accueil"</formula>
    </cfRule>
    <cfRule type="beginsWith" dxfId="5940" priority="8301" operator="beginsWith" text="TOPHYC">
      <formula>LEFT(R109,LEN("TOPHYC"))="TOPHYC"</formula>
    </cfRule>
    <cfRule type="beginsWith" dxfId="5939" priority="8302" operator="beginsWith" text="Global Exam">
      <formula>LEFT(R109,LEN("Global Exam"))="Global Exam"</formula>
    </cfRule>
    <cfRule type="beginsWith" dxfId="5938" priority="8303" operator="beginsWith" text="Stage">
      <formula>LEFT(R109,LEN("Stage"))="Stage"</formula>
    </cfRule>
    <cfRule type="beginsWith" dxfId="5937" priority="8304" operator="beginsWith" text="Entreprise">
      <formula>LEFT(R109,LEN("Entreprise"))="Entreprise"</formula>
    </cfRule>
    <cfRule type="beginsWith" dxfId="5936" priority="8305" operator="beginsWith" text="TOMIC">
      <formula>LEFT(R109,LEN("TOMIC"))="TOMIC"</formula>
    </cfRule>
    <cfRule type="beginsWith" dxfId="5935" priority="8306" operator="beginsWith" text="Voltaire">
      <formula>LEFT(R109,LEN("Voltaire"))="Voltaire"</formula>
    </cfRule>
  </conditionalFormatting>
  <conditionalFormatting sqref="R129">
    <cfRule type="beginsWith" dxfId="5934" priority="8287" operator="beginsWith" text="Lancement Projet fil rouge">
      <formula>LEFT(R129,LEN("Lancement Projet fil rouge"))="Lancement Projet fil rouge"</formula>
    </cfRule>
    <cfRule type="beginsWith" dxfId="5933" priority="8288" operator="beginsWith" text="Vacances">
      <formula>LEFT(R129,LEN("Vacances"))="Vacances"</formula>
    </cfRule>
    <cfRule type="beginsWith" dxfId="5932" priority="8289" operator="beginsWith" text="Séminaire d'intégration">
      <formula>LEFT(R129,LEN("Séminaire d'intégration"))="Séminaire d'intégration"</formula>
    </cfRule>
    <cfRule type="beginsWith" dxfId="5931" priority="8290" operator="beginsWith" text="Accueil">
      <formula>LEFT(R129,LEN("Accueil"))="Accueil"</formula>
    </cfRule>
    <cfRule type="beginsWith" dxfId="5930" priority="8291" operator="beginsWith" text="TOPHYC">
      <formula>LEFT(R129,LEN("TOPHYC"))="TOPHYC"</formula>
    </cfRule>
    <cfRule type="beginsWith" dxfId="5929" priority="8292" operator="beginsWith" text="Global Exam">
      <formula>LEFT(R129,LEN("Global Exam"))="Global Exam"</formula>
    </cfRule>
    <cfRule type="beginsWith" dxfId="5928" priority="8293" operator="beginsWith" text="Stage">
      <formula>LEFT(R129,LEN("Stage"))="Stage"</formula>
    </cfRule>
    <cfRule type="beginsWith" dxfId="5927" priority="8294" operator="beginsWith" text="Entreprise">
      <formula>LEFT(R129,LEN("Entreprise"))="Entreprise"</formula>
    </cfRule>
    <cfRule type="beginsWith" dxfId="5926" priority="8295" operator="beginsWith" text="TOMIC">
      <formula>LEFT(R129,LEN("TOMIC"))="TOMIC"</formula>
    </cfRule>
    <cfRule type="beginsWith" dxfId="5925" priority="8296" operator="beginsWith" text="Voltaire">
      <formula>LEFT(R129,LEN("Voltaire"))="Voltaire"</formula>
    </cfRule>
  </conditionalFormatting>
  <conditionalFormatting sqref="R134">
    <cfRule type="beginsWith" dxfId="5924" priority="8277" operator="beginsWith" text="Lancement Projet fil rouge">
      <formula>LEFT(R134,LEN("Lancement Projet fil rouge"))="Lancement Projet fil rouge"</formula>
    </cfRule>
    <cfRule type="beginsWith" dxfId="5923" priority="8278" operator="beginsWith" text="Vacances">
      <formula>LEFT(R134,LEN("Vacances"))="Vacances"</formula>
    </cfRule>
    <cfRule type="beginsWith" dxfId="5922" priority="8279" operator="beginsWith" text="Séminaire d'intégration">
      <formula>LEFT(R134,LEN("Séminaire d'intégration"))="Séminaire d'intégration"</formula>
    </cfRule>
    <cfRule type="beginsWith" dxfId="5921" priority="8280" operator="beginsWith" text="Accueil">
      <formula>LEFT(R134,LEN("Accueil"))="Accueil"</formula>
    </cfRule>
    <cfRule type="beginsWith" dxfId="5920" priority="8281" operator="beginsWith" text="TOPHYC">
      <formula>LEFT(R134,LEN("TOPHYC"))="TOPHYC"</formula>
    </cfRule>
    <cfRule type="beginsWith" dxfId="5919" priority="8282" operator="beginsWith" text="Global Exam">
      <formula>LEFT(R134,LEN("Global Exam"))="Global Exam"</formula>
    </cfRule>
    <cfRule type="beginsWith" dxfId="5918" priority="8283" operator="beginsWith" text="Stage">
      <formula>LEFT(R134,LEN("Stage"))="Stage"</formula>
    </cfRule>
    <cfRule type="beginsWith" dxfId="5917" priority="8284" operator="beginsWith" text="Entreprise">
      <formula>LEFT(R134,LEN("Entreprise"))="Entreprise"</formula>
    </cfRule>
    <cfRule type="beginsWith" dxfId="5916" priority="8285" operator="beginsWith" text="TOMIC">
      <formula>LEFT(R134,LEN("TOMIC"))="TOMIC"</formula>
    </cfRule>
    <cfRule type="beginsWith" dxfId="5915" priority="8286" operator="beginsWith" text="Voltaire">
      <formula>LEFT(R134,LEN("Voltaire"))="Voltaire"</formula>
    </cfRule>
  </conditionalFormatting>
  <conditionalFormatting sqref="R146">
    <cfRule type="beginsWith" dxfId="5914" priority="8387" operator="beginsWith" text="Lancement Projet fil rouge">
      <formula>LEFT(R146,LEN("Lancement Projet fil rouge"))="Lancement Projet fil rouge"</formula>
    </cfRule>
    <cfRule type="beginsWith" dxfId="5913" priority="8388" operator="beginsWith" text="Vacances">
      <formula>LEFT(R146,LEN("Vacances"))="Vacances"</formula>
    </cfRule>
    <cfRule type="beginsWith" dxfId="5912" priority="8389" operator="beginsWith" text="Séminaire d'intégration">
      <formula>LEFT(R146,LEN("Séminaire d'intégration"))="Séminaire d'intégration"</formula>
    </cfRule>
    <cfRule type="beginsWith" dxfId="5911" priority="8390" operator="beginsWith" text="Accueil">
      <formula>LEFT(R146,LEN("Accueil"))="Accueil"</formula>
    </cfRule>
    <cfRule type="beginsWith" dxfId="5910" priority="8391" operator="beginsWith" text="TOPHYC">
      <formula>LEFT(R146,LEN("TOPHYC"))="TOPHYC"</formula>
    </cfRule>
    <cfRule type="beginsWith" dxfId="5909" priority="8392" operator="beginsWith" text="Global Exam">
      <formula>LEFT(R146,LEN("Global Exam"))="Global Exam"</formula>
    </cfRule>
    <cfRule type="beginsWith" dxfId="5908" priority="8393" operator="beginsWith" text="Stage">
      <formula>LEFT(R146,LEN("Stage"))="Stage"</formula>
    </cfRule>
    <cfRule type="beginsWith" dxfId="5907" priority="8394" operator="beginsWith" text="Entreprise">
      <formula>LEFT(R146,LEN("Entreprise"))="Entreprise"</formula>
    </cfRule>
    <cfRule type="beginsWith" dxfId="5906" priority="8395" operator="beginsWith" text="TOMIC">
      <formula>LEFT(R146,LEN("TOMIC"))="TOMIC"</formula>
    </cfRule>
    <cfRule type="beginsWith" dxfId="5905" priority="8396" operator="beginsWith" text="Voltaire">
      <formula>LEFT(R146,LEN("Voltaire"))="Voltaire"</formula>
    </cfRule>
  </conditionalFormatting>
  <conditionalFormatting sqref="R169">
    <cfRule type="beginsWith" dxfId="5904" priority="8257" operator="beginsWith" text="Lancement Projet fil rouge">
      <formula>LEFT(R169,LEN("Lancement Projet fil rouge"))="Lancement Projet fil rouge"</formula>
    </cfRule>
    <cfRule type="beginsWith" dxfId="5903" priority="8258" operator="beginsWith" text="Vacances">
      <formula>LEFT(R169,LEN("Vacances"))="Vacances"</formula>
    </cfRule>
    <cfRule type="beginsWith" dxfId="5902" priority="8259" operator="beginsWith" text="Séminaire d'intégration">
      <formula>LEFT(R169,LEN("Séminaire d'intégration"))="Séminaire d'intégration"</formula>
    </cfRule>
    <cfRule type="beginsWith" dxfId="5901" priority="8260" operator="beginsWith" text="Accueil">
      <formula>LEFT(R169,LEN("Accueil"))="Accueil"</formula>
    </cfRule>
    <cfRule type="beginsWith" dxfId="5900" priority="8261" operator="beginsWith" text="TOPHYC">
      <formula>LEFT(R169,LEN("TOPHYC"))="TOPHYC"</formula>
    </cfRule>
    <cfRule type="beginsWith" dxfId="5899" priority="8262" operator="beginsWith" text="Global Exam">
      <formula>LEFT(R169,LEN("Global Exam"))="Global Exam"</formula>
    </cfRule>
    <cfRule type="beginsWith" dxfId="5898" priority="8263" operator="beginsWith" text="Stage">
      <formula>LEFT(R169,LEN("Stage"))="Stage"</formula>
    </cfRule>
    <cfRule type="beginsWith" dxfId="5897" priority="8264" operator="beginsWith" text="Entreprise">
      <formula>LEFT(R169,LEN("Entreprise"))="Entreprise"</formula>
    </cfRule>
    <cfRule type="beginsWith" dxfId="5896" priority="8265" operator="beginsWith" text="TOMIC">
      <formula>LEFT(R169,LEN("TOMIC"))="TOMIC"</formula>
    </cfRule>
    <cfRule type="beginsWith" dxfId="5895" priority="8266" operator="beginsWith" text="Voltaire">
      <formula>LEFT(R169,LEN("Voltaire"))="Voltaire"</formula>
    </cfRule>
  </conditionalFormatting>
  <conditionalFormatting sqref="R174">
    <cfRule type="beginsWith" dxfId="5894" priority="8247" operator="beginsWith" text="Lancement Projet fil rouge">
      <formula>LEFT(R174,LEN("Lancement Projet fil rouge"))="Lancement Projet fil rouge"</formula>
    </cfRule>
    <cfRule type="beginsWith" dxfId="5893" priority="8248" operator="beginsWith" text="Vacances">
      <formula>LEFT(R174,LEN("Vacances"))="Vacances"</formula>
    </cfRule>
    <cfRule type="beginsWith" dxfId="5892" priority="8249" operator="beginsWith" text="Séminaire d'intégration">
      <formula>LEFT(R174,LEN("Séminaire d'intégration"))="Séminaire d'intégration"</formula>
    </cfRule>
    <cfRule type="beginsWith" dxfId="5891" priority="8250" operator="beginsWith" text="Accueil">
      <formula>LEFT(R174,LEN("Accueil"))="Accueil"</formula>
    </cfRule>
    <cfRule type="beginsWith" dxfId="5890" priority="8251" operator="beginsWith" text="TOPHYC">
      <formula>LEFT(R174,LEN("TOPHYC"))="TOPHYC"</formula>
    </cfRule>
    <cfRule type="beginsWith" dxfId="5889" priority="8252" operator="beginsWith" text="Global Exam">
      <formula>LEFT(R174,LEN("Global Exam"))="Global Exam"</formula>
    </cfRule>
    <cfRule type="beginsWith" dxfId="5888" priority="8253" operator="beginsWith" text="Stage">
      <formula>LEFT(R174,LEN("Stage"))="Stage"</formula>
    </cfRule>
    <cfRule type="beginsWith" dxfId="5887" priority="8254" operator="beginsWith" text="Entreprise">
      <formula>LEFT(R174,LEN("Entreprise"))="Entreprise"</formula>
    </cfRule>
    <cfRule type="beginsWith" dxfId="5886" priority="8255" operator="beginsWith" text="TOMIC">
      <formula>LEFT(R174,LEN("TOMIC"))="TOMIC"</formula>
    </cfRule>
    <cfRule type="beginsWith" dxfId="5885" priority="8256" operator="beginsWith" text="Voltaire">
      <formula>LEFT(R174,LEN("Voltaire"))="Voltaire"</formula>
    </cfRule>
  </conditionalFormatting>
  <conditionalFormatting sqref="R204">
    <cfRule type="beginsWith" dxfId="5884" priority="8207" operator="beginsWith" text="Lancement Projet fil rouge">
      <formula>LEFT(R204,LEN("Lancement Projet fil rouge"))="Lancement Projet fil rouge"</formula>
    </cfRule>
    <cfRule type="beginsWith" dxfId="5883" priority="8208" operator="beginsWith" text="Vacances">
      <formula>LEFT(R204,LEN("Vacances"))="Vacances"</formula>
    </cfRule>
    <cfRule type="beginsWith" dxfId="5882" priority="8209" operator="beginsWith" text="Séminaire d'intégration">
      <formula>LEFT(R204,LEN("Séminaire d'intégration"))="Séminaire d'intégration"</formula>
    </cfRule>
    <cfRule type="beginsWith" dxfId="5881" priority="8210" operator="beginsWith" text="Accueil">
      <formula>LEFT(R204,LEN("Accueil"))="Accueil"</formula>
    </cfRule>
    <cfRule type="beginsWith" dxfId="5880" priority="8211" operator="beginsWith" text="TOPHYC">
      <formula>LEFT(R204,LEN("TOPHYC"))="TOPHYC"</formula>
    </cfRule>
    <cfRule type="beginsWith" dxfId="5879" priority="8212" operator="beginsWith" text="Global Exam">
      <formula>LEFT(R204,LEN("Global Exam"))="Global Exam"</formula>
    </cfRule>
    <cfRule type="beginsWith" dxfId="5878" priority="8213" operator="beginsWith" text="Stage">
      <formula>LEFT(R204,LEN("Stage"))="Stage"</formula>
    </cfRule>
    <cfRule type="beginsWith" dxfId="5877" priority="8214" operator="beginsWith" text="Entreprise">
      <formula>LEFT(R204,LEN("Entreprise"))="Entreprise"</formula>
    </cfRule>
    <cfRule type="beginsWith" dxfId="5876" priority="8215" operator="beginsWith" text="TOMIC">
      <formula>LEFT(R204,LEN("TOMIC"))="TOMIC"</formula>
    </cfRule>
    <cfRule type="beginsWith" dxfId="5875" priority="8216" operator="beginsWith" text="Voltaire">
      <formula>LEFT(R204,LEN("Voltaire"))="Voltaire"</formula>
    </cfRule>
  </conditionalFormatting>
  <conditionalFormatting sqref="R222">
    <cfRule type="beginsWith" dxfId="5874" priority="8227" operator="beginsWith" text="Lancement Projet fil rouge">
      <formula>LEFT(R222,LEN("Lancement Projet fil rouge"))="Lancement Projet fil rouge"</formula>
    </cfRule>
    <cfRule type="beginsWith" dxfId="5873" priority="8228" operator="beginsWith" text="Vacances">
      <formula>LEFT(R222,LEN("Vacances"))="Vacances"</formula>
    </cfRule>
    <cfRule type="beginsWith" dxfId="5872" priority="8229" operator="beginsWith" text="Séminaire d'intégration">
      <formula>LEFT(R222,LEN("Séminaire d'intégration"))="Séminaire d'intégration"</formula>
    </cfRule>
    <cfRule type="beginsWith" dxfId="5871" priority="8230" operator="beginsWith" text="Accueil">
      <formula>LEFT(R222,LEN("Accueil"))="Accueil"</formula>
    </cfRule>
    <cfRule type="beginsWith" dxfId="5870" priority="8231" operator="beginsWith" text="TOPHYC">
      <formula>LEFT(R222,LEN("TOPHYC"))="TOPHYC"</formula>
    </cfRule>
    <cfRule type="beginsWith" dxfId="5869" priority="8232" operator="beginsWith" text="Global Exam">
      <formula>LEFT(R222,LEN("Global Exam"))="Global Exam"</formula>
    </cfRule>
    <cfRule type="beginsWith" dxfId="5868" priority="8233" operator="beginsWith" text="Stage">
      <formula>LEFT(R222,LEN("Stage"))="Stage"</formula>
    </cfRule>
    <cfRule type="beginsWith" dxfId="5867" priority="8234" operator="beginsWith" text="Entreprise">
      <formula>LEFT(R222,LEN("Entreprise"))="Entreprise"</formula>
    </cfRule>
    <cfRule type="beginsWith" dxfId="5866" priority="8235" operator="beginsWith" text="TOMIC">
      <formula>LEFT(R222,LEN("TOMIC"))="TOMIC"</formula>
    </cfRule>
    <cfRule type="beginsWith" dxfId="5865" priority="8236" operator="beginsWith" text="Voltaire">
      <formula>LEFT(R222,LEN("Voltaire"))="Voltaire"</formula>
    </cfRule>
  </conditionalFormatting>
  <conditionalFormatting sqref="R223">
    <cfRule type="beginsWith" dxfId="5864" priority="8197" operator="beginsWith" text="Lancement Projet fil rouge">
      <formula>LEFT(R223,LEN("Lancement Projet fil rouge"))="Lancement Projet fil rouge"</formula>
    </cfRule>
    <cfRule type="beginsWith" dxfId="5863" priority="8198" operator="beginsWith" text="Vacances">
      <formula>LEFT(R223,LEN("Vacances"))="Vacances"</formula>
    </cfRule>
    <cfRule type="beginsWith" dxfId="5862" priority="8199" operator="beginsWith" text="Séminaire d'intégration">
      <formula>LEFT(R223,LEN("Séminaire d'intégration"))="Séminaire d'intégration"</formula>
    </cfRule>
    <cfRule type="beginsWith" dxfId="5861" priority="8200" operator="beginsWith" text="Accueil">
      <formula>LEFT(R223,LEN("Accueil"))="Accueil"</formula>
    </cfRule>
    <cfRule type="beginsWith" dxfId="5860" priority="8201" operator="beginsWith" text="TOPHYC">
      <formula>LEFT(R223,LEN("TOPHYC"))="TOPHYC"</formula>
    </cfRule>
    <cfRule type="beginsWith" dxfId="5859" priority="8202" operator="beginsWith" text="Global Exam">
      <formula>LEFT(R223,LEN("Global Exam"))="Global Exam"</formula>
    </cfRule>
    <cfRule type="beginsWith" dxfId="5858" priority="8203" operator="beginsWith" text="Stage">
      <formula>LEFT(R223,LEN("Stage"))="Stage"</formula>
    </cfRule>
    <cfRule type="beginsWith" dxfId="5857" priority="8204" operator="beginsWith" text="Entreprise">
      <formula>LEFT(R223,LEN("Entreprise"))="Entreprise"</formula>
    </cfRule>
    <cfRule type="beginsWith" dxfId="5856" priority="8205" operator="beginsWith" text="TOMIC">
      <formula>LEFT(R223,LEN("TOMIC"))="TOMIC"</formula>
    </cfRule>
    <cfRule type="beginsWith" dxfId="5855" priority="8206" operator="beginsWith" text="Voltaire">
      <formula>LEFT(R223,LEN("Voltaire"))="Voltaire"</formula>
    </cfRule>
  </conditionalFormatting>
  <conditionalFormatting sqref="R224">
    <cfRule type="beginsWith" dxfId="5854" priority="8327" operator="beginsWith" text="Lancement Projet fil rouge">
      <formula>LEFT(R224,LEN("Lancement Projet fil rouge"))="Lancement Projet fil rouge"</formula>
    </cfRule>
    <cfRule type="beginsWith" dxfId="5853" priority="8328" operator="beginsWith" text="Vacances">
      <formula>LEFT(R224,LEN("Vacances"))="Vacances"</formula>
    </cfRule>
    <cfRule type="beginsWith" dxfId="5852" priority="8329" operator="beginsWith" text="Séminaire d'intégration">
      <formula>LEFT(R224,LEN("Séminaire d'intégration"))="Séminaire d'intégration"</formula>
    </cfRule>
    <cfRule type="beginsWith" dxfId="5851" priority="8330" operator="beginsWith" text="Accueil">
      <formula>LEFT(R224,LEN("Accueil"))="Accueil"</formula>
    </cfRule>
    <cfRule type="beginsWith" dxfId="5850" priority="8331" operator="beginsWith" text="TOPHYC">
      <formula>LEFT(R224,LEN("TOPHYC"))="TOPHYC"</formula>
    </cfRule>
    <cfRule type="beginsWith" dxfId="5849" priority="8332" operator="beginsWith" text="Global Exam">
      <formula>LEFT(R224,LEN("Global Exam"))="Global Exam"</formula>
    </cfRule>
    <cfRule type="beginsWith" dxfId="5848" priority="8333" operator="beginsWith" text="Stage">
      <formula>LEFT(R224,LEN("Stage"))="Stage"</formula>
    </cfRule>
    <cfRule type="beginsWith" dxfId="5847" priority="8334" operator="beginsWith" text="Entreprise">
      <formula>LEFT(R224,LEN("Entreprise"))="Entreprise"</formula>
    </cfRule>
    <cfRule type="beginsWith" dxfId="5846" priority="8335" operator="beginsWith" text="TOMIC">
      <formula>LEFT(R224,LEN("TOMIC"))="TOMIC"</formula>
    </cfRule>
    <cfRule type="beginsWith" dxfId="5845" priority="8336" operator="beginsWith" text="Voltaire">
      <formula>LEFT(R224,LEN("Voltaire"))="Voltaire"</formula>
    </cfRule>
  </conditionalFormatting>
  <conditionalFormatting sqref="R225">
    <cfRule type="beginsWith" dxfId="5844" priority="8237" operator="beginsWith" text="Lancement Projet fil rouge">
      <formula>LEFT(R225,LEN("Lancement Projet fil rouge"))="Lancement Projet fil rouge"</formula>
    </cfRule>
    <cfRule type="beginsWith" dxfId="5843" priority="8238" operator="beginsWith" text="Vacances">
      <formula>LEFT(R225,LEN("Vacances"))="Vacances"</formula>
    </cfRule>
    <cfRule type="beginsWith" dxfId="5842" priority="8239" operator="beginsWith" text="Séminaire d'intégration">
      <formula>LEFT(R225,LEN("Séminaire d'intégration"))="Séminaire d'intégration"</formula>
    </cfRule>
    <cfRule type="beginsWith" dxfId="5841" priority="8240" operator="beginsWith" text="Accueil">
      <formula>LEFT(R225,LEN("Accueil"))="Accueil"</formula>
    </cfRule>
    <cfRule type="beginsWith" dxfId="5840" priority="8241" operator="beginsWith" text="TOPHYC">
      <formula>LEFT(R225,LEN("TOPHYC"))="TOPHYC"</formula>
    </cfRule>
    <cfRule type="beginsWith" dxfId="5839" priority="8242" operator="beginsWith" text="Global Exam">
      <formula>LEFT(R225,LEN("Global Exam"))="Global Exam"</formula>
    </cfRule>
    <cfRule type="beginsWith" dxfId="5838" priority="8243" operator="beginsWith" text="Stage">
      <formula>LEFT(R225,LEN("Stage"))="Stage"</formula>
    </cfRule>
    <cfRule type="beginsWith" dxfId="5837" priority="8244" operator="beginsWith" text="Entreprise">
      <formula>LEFT(R225,LEN("Entreprise"))="Entreprise"</formula>
    </cfRule>
    <cfRule type="beginsWith" dxfId="5836" priority="8245" operator="beginsWith" text="TOMIC">
      <formula>LEFT(R225,LEN("TOMIC"))="TOMIC"</formula>
    </cfRule>
    <cfRule type="beginsWith" dxfId="5835" priority="8246" operator="beginsWith" text="Voltaire">
      <formula>LEFT(R225,LEN("Voltaire"))="Voltaire"</formula>
    </cfRule>
  </conditionalFormatting>
  <conditionalFormatting sqref="R229">
    <cfRule type="beginsWith" dxfId="5834" priority="8317" operator="beginsWith" text="Lancement Projet fil rouge">
      <formula>LEFT(R229,LEN("Lancement Projet fil rouge"))="Lancement Projet fil rouge"</formula>
    </cfRule>
    <cfRule type="beginsWith" dxfId="5833" priority="8318" operator="beginsWith" text="Vacances">
      <formula>LEFT(R229,LEN("Vacances"))="Vacances"</formula>
    </cfRule>
    <cfRule type="beginsWith" dxfId="5832" priority="8319" operator="beginsWith" text="Séminaire d'intégration">
      <formula>LEFT(R229,LEN("Séminaire d'intégration"))="Séminaire d'intégration"</formula>
    </cfRule>
    <cfRule type="beginsWith" dxfId="5831" priority="8320" operator="beginsWith" text="Accueil">
      <formula>LEFT(R229,LEN("Accueil"))="Accueil"</formula>
    </cfRule>
    <cfRule type="beginsWith" dxfId="5830" priority="8321" operator="beginsWith" text="TOPHYC">
      <formula>LEFT(R229,LEN("TOPHYC"))="TOPHYC"</formula>
    </cfRule>
    <cfRule type="beginsWith" dxfId="5829" priority="8322" operator="beginsWith" text="Global Exam">
      <formula>LEFT(R229,LEN("Global Exam"))="Global Exam"</formula>
    </cfRule>
    <cfRule type="beginsWith" dxfId="5828" priority="8323" operator="beginsWith" text="Stage">
      <formula>LEFT(R229,LEN("Stage"))="Stage"</formula>
    </cfRule>
    <cfRule type="beginsWith" dxfId="5827" priority="8324" operator="beginsWith" text="Entreprise">
      <formula>LEFT(R229,LEN("Entreprise"))="Entreprise"</formula>
    </cfRule>
    <cfRule type="beginsWith" dxfId="5826" priority="8325" operator="beginsWith" text="TOMIC">
      <formula>LEFT(R229,LEN("TOMIC"))="TOMIC"</formula>
    </cfRule>
    <cfRule type="beginsWith" dxfId="5825" priority="8326" operator="beginsWith" text="Voltaire">
      <formula>LEFT(R229,LEN("Voltaire"))="Voltaire"</formula>
    </cfRule>
  </conditionalFormatting>
  <conditionalFormatting sqref="R11:R15">
    <cfRule type="beginsWith" dxfId="5824" priority="8191" operator="beginsWith" text="TOPHYC">
      <formula>LEFT(R11,LEN("TOPHYC"))="TOPHYC"</formula>
    </cfRule>
    <cfRule type="beginsWith" dxfId="5823" priority="8192" operator="beginsWith" text="Global Exam">
      <formula>LEFT(R11,LEN("Global Exam"))="Global Exam"</formula>
    </cfRule>
    <cfRule type="beginsWith" dxfId="5822" priority="8195" operator="beginsWith" text="TOMIC">
      <formula>LEFT(R11,LEN("TOMIC"))="TOMIC"</formula>
    </cfRule>
  </conditionalFormatting>
  <conditionalFormatting sqref="R126:R128 R130">
    <cfRule type="beginsWith" dxfId="5821" priority="8351" operator="beginsWith" text="TOPHYC">
      <formula>LEFT(R126,LEN("TOPHYC"))="TOPHYC"</formula>
    </cfRule>
    <cfRule type="beginsWith" dxfId="5820" priority="8352" operator="beginsWith" text="Global Exam">
      <formula>LEFT(R126,LEN("Global Exam"))="Global Exam"</formula>
    </cfRule>
    <cfRule type="beginsWith" dxfId="5819" priority="8355" operator="beginsWith" text="TOMIC">
      <formula>LEFT(R126,LEN("TOMIC"))="TOMIC"</formula>
    </cfRule>
  </conditionalFormatting>
  <conditionalFormatting sqref="R181:R185">
    <cfRule type="beginsWith" dxfId="5818" priority="8413" operator="beginsWith" text="TOPHYC">
      <formula>LEFT(R181,LEN("TOPHYC"))="TOPHYC"</formula>
    </cfRule>
    <cfRule type="beginsWith" dxfId="5817" priority="8414" operator="beginsWith" text="Global Exam">
      <formula>LEFT(R181,LEN("Global Exam"))="Global Exam"</formula>
    </cfRule>
    <cfRule type="beginsWith" dxfId="5816" priority="8417" operator="beginsWith" text="TOMIC">
      <formula>LEFT(R181,LEN("TOMIC"))="TOMIC"</formula>
    </cfRule>
  </conditionalFormatting>
  <conditionalFormatting sqref="R186:R190">
    <cfRule type="beginsWith" dxfId="5815" priority="8405" operator="beginsWith" text="TOPHYC">
      <formula>LEFT(R186,LEN("TOPHYC"))="TOPHYC"</formula>
    </cfRule>
    <cfRule type="beginsWith" dxfId="5814" priority="8406" operator="beginsWith" text="Global Exam">
      <formula>LEFT(R186,LEN("Global Exam"))="Global Exam"</formula>
    </cfRule>
    <cfRule type="beginsWith" dxfId="5813" priority="8409" operator="beginsWith" text="TOMIC">
      <formula>LEFT(R186,LEN("TOMIC"))="TOMIC"</formula>
    </cfRule>
  </conditionalFormatting>
  <conditionalFormatting sqref="R221">
    <cfRule type="beginsWith" dxfId="5812" priority="8221" operator="beginsWith" text="TOPHYC">
      <formula>LEFT(R221,LEN("TOPHYC"))="TOPHYC"</formula>
    </cfRule>
    <cfRule type="beginsWith" dxfId="5811" priority="8222" operator="beginsWith" text="Global Exam">
      <formula>LEFT(R221,LEN("Global Exam"))="Global Exam"</formula>
    </cfRule>
    <cfRule type="beginsWith" dxfId="5810" priority="8225" operator="beginsWith" text="TOMIC">
      <formula>LEFT(R221,LEN("TOMIC"))="TOMIC"</formula>
    </cfRule>
  </conditionalFormatting>
  <conditionalFormatting sqref="R1:R4 R16:R20 R55:R60 R66:R68 R70:R89 R110:R113 R131:R133 R135:R145 R170:R173 R175:R178 R199:R203 R226:R228 R230:R232 R235 R241:R1048576 R26:R53 R194:R197 R91:R108 R115:R125 R147:R148 R150:R158 R180:R190 R205:R220 R160:R168">
    <cfRule type="beginsWith" dxfId="5809" priority="8402" operator="beginsWith" text="Vacances">
      <formula>LEFT(R1,LEN("Vacances"))="Vacances"</formula>
    </cfRule>
  </conditionalFormatting>
  <conditionalFormatting sqref="R1:R4 R16:R20 R55:R60 R66:R68 R70:R89 R110:R113 R131:R133 R135:R145 R170:R173 R175:R178 R194:R197 R199:R203 R226:R228 R230:R232 R235 R241:R1048576 R26:R53 R91:R108 R115:R125 R147:R148 R150:R158 R180 R205:R220 R160:R168">
    <cfRule type="beginsWith" dxfId="5808" priority="8419" operator="beginsWith" text="Séminaire d'intégration">
      <formula>LEFT(R1,LEN("Séminaire d'intégration"))="Séminaire d'intégration"</formula>
    </cfRule>
  </conditionalFormatting>
  <conditionalFormatting sqref="R1:R4 R16:R20 R55:R60 R66:R68 R70:R89 R110:R113 R131:R133 R135:R145 R170:R173 R175:R178 R194:R197 R199:R203 R226:R228 R230:R232 R235 R241:R1048576 R26:R53 R91:R108 R115:R125 R147:R148 R150:R158 R180 R205:R220 R160:R168">
    <cfRule type="beginsWith" dxfId="5807" priority="8420" operator="beginsWith" text="Accueil">
      <formula>LEFT(R1,LEN("Accueil"))="Accueil"</formula>
    </cfRule>
  </conditionalFormatting>
  <conditionalFormatting sqref="R6:R10">
    <cfRule type="beginsWith" dxfId="5806" priority="8377" operator="beginsWith" text="Lancement Projet fil rouge">
      <formula>LEFT(R6,LEN("Lancement Projet fil rouge"))="Lancement Projet fil rouge"</formula>
    </cfRule>
    <cfRule type="beginsWith" dxfId="5805" priority="8378" operator="beginsWith" text="Vacances">
      <formula>LEFT(R6,LEN("Vacances"))="Vacances"</formula>
    </cfRule>
    <cfRule type="beginsWith" dxfId="5804" priority="8379" operator="beginsWith" text="Séminaire d'intégration">
      <formula>LEFT(R6,LEN("Séminaire d'intégration"))="Séminaire d'intégration"</formula>
    </cfRule>
    <cfRule type="beginsWith" dxfId="5803" priority="8380" operator="beginsWith" text="Accueil">
      <formula>LEFT(R6,LEN("Accueil"))="Accueil"</formula>
    </cfRule>
    <cfRule type="beginsWith" dxfId="5802" priority="8383" operator="beginsWith" text="Stage">
      <formula>LEFT(R6,LEN("Stage"))="Stage"</formula>
    </cfRule>
    <cfRule type="beginsWith" dxfId="5801" priority="8384" operator="beginsWith" text="Entreprise">
      <formula>LEFT(R6,LEN("Entreprise"))="Entreprise"</formula>
    </cfRule>
    <cfRule type="beginsWith" dxfId="5800" priority="8386" operator="beginsWith" text="Voltaire">
      <formula>LEFT(R6,LEN("Voltaire"))="Voltaire"</formula>
    </cfRule>
  </conditionalFormatting>
  <conditionalFormatting sqref="R1:R4 R16:R20 R55:R60 R66:R68 R70:R89 R110:R113 R131:R133 R135:R145 R170:R173 R175:R178 R194:R197 R199:R203 R226:R228 R230:R232 R235 R241:R1048576 R26:R53 R91:R108 R115:R125 R147:R148 R150:R158 R180 R205:R220 R160:R168">
    <cfRule type="beginsWith" dxfId="5799" priority="8423" operator="beginsWith" text="Stage">
      <formula>LEFT(R1,LEN("Stage"))="Stage"</formula>
    </cfRule>
    <cfRule type="beginsWith" dxfId="5798" priority="8424" operator="beginsWith" text="Entreprise">
      <formula>LEFT(R1,LEN("Entreprise"))="Entreprise"</formula>
    </cfRule>
    <cfRule type="beginsWith" dxfId="5797" priority="8426" operator="beginsWith" text="Voltaire">
      <formula>LEFT(R1,LEN("Voltaire"))="Voltaire"</formula>
    </cfRule>
  </conditionalFormatting>
  <conditionalFormatting sqref="R1:R4 R16:R20 R55:R60 R66:R68 R70:R89 R110:R113 R131:R133 R135:R145 R170:R173 R175:R178 R194:R197 R199:R203 R226:R228 R230:R232 R235 R241:R1048576 R26:R53 R91:R108 R115:R125 R147:R148 R150:R158 R180 R205:R220 R160:R168">
    <cfRule type="beginsWith" dxfId="5796" priority="8421" operator="beginsWith" text="TOPHYC">
      <formula>LEFT(R1,LEN("TOPHYC"))="TOPHYC"</formula>
    </cfRule>
    <cfRule type="beginsWith" dxfId="5795" priority="8422" operator="beginsWith" text="Global Exam">
      <formula>LEFT(R1,LEN("Global Exam"))="Global Exam"</formula>
    </cfRule>
    <cfRule type="beginsWith" dxfId="5794" priority="8425" operator="beginsWith" text="TOMIC">
      <formula>LEFT(R1,LEN("TOMIC"))="TOMIC"</formula>
    </cfRule>
  </conditionalFormatting>
  <conditionalFormatting sqref="R6:R10">
    <cfRule type="beginsWith" dxfId="5793" priority="8381" operator="beginsWith" text="TOPHYC">
      <formula>LEFT(R6,LEN("TOPHYC"))="TOPHYC"</formula>
    </cfRule>
    <cfRule type="beginsWith" dxfId="5792" priority="8382" operator="beginsWith" text="Global Exam">
      <formula>LEFT(R6,LEN("Global Exam"))="Global Exam"</formula>
    </cfRule>
    <cfRule type="beginsWith" dxfId="5791" priority="8385" operator="beginsWith" text="TOMIC">
      <formula>LEFT(R6,LEN("TOMIC"))="TOMIC"</formula>
    </cfRule>
  </conditionalFormatting>
  <conditionalFormatting sqref="R239:R240">
    <cfRule type="beginsWith" dxfId="5790" priority="8180" operator="beginsWith" text="Lancement Projet fil rouge">
      <formula>LEFT(R239,LEN("Lancement Projet fil rouge"))="Lancement Projet fil rouge"</formula>
    </cfRule>
  </conditionalFormatting>
  <conditionalFormatting sqref="R239:R240">
    <cfRule type="beginsWith" dxfId="5789" priority="8181" operator="beginsWith" text="Vacances">
      <formula>LEFT(R239,LEN("Vacances"))="Vacances"</formula>
    </cfRule>
  </conditionalFormatting>
  <conditionalFormatting sqref="R239:R240">
    <cfRule type="beginsWith" dxfId="5788" priority="8182" operator="beginsWith" text="Séminaire d'intégration">
      <formula>LEFT(R239,LEN("Séminaire d'intégration"))="Séminaire d'intégration"</formula>
    </cfRule>
  </conditionalFormatting>
  <conditionalFormatting sqref="R239:R240">
    <cfRule type="beginsWith" dxfId="5787" priority="8183" operator="beginsWith" text="Accueil">
      <formula>LEFT(R239,LEN("Accueil"))="Accueil"</formula>
    </cfRule>
  </conditionalFormatting>
  <conditionalFormatting sqref="R239:R240">
    <cfRule type="beginsWith" dxfId="5786" priority="8184" operator="beginsWith" text="Stage">
      <formula>LEFT(R239,LEN("Stage"))="Stage"</formula>
    </cfRule>
    <cfRule type="beginsWith" dxfId="5785" priority="8185" operator="beginsWith" text="Entreprise">
      <formula>LEFT(R239,LEN("Entreprise"))="Entreprise"</formula>
    </cfRule>
    <cfRule type="beginsWith" dxfId="5784" priority="8186" operator="beginsWith" text="Voltaire">
      <formula>LEFT(R239,LEN("Voltaire"))="Voltaire"</formula>
    </cfRule>
  </conditionalFormatting>
  <conditionalFormatting sqref="R236">
    <cfRule type="beginsWith" dxfId="5783" priority="8170" operator="beginsWith" text="Lancement Projet fil rouge">
      <formula>LEFT(R236,LEN("Lancement Projet fil rouge"))="Lancement Projet fil rouge"</formula>
    </cfRule>
  </conditionalFormatting>
  <conditionalFormatting sqref="R236">
    <cfRule type="beginsWith" dxfId="5782" priority="8171" operator="beginsWith" text="Vacances">
      <formula>LEFT(R236,LEN("Vacances"))="Vacances"</formula>
    </cfRule>
  </conditionalFormatting>
  <conditionalFormatting sqref="R236">
    <cfRule type="beginsWith" dxfId="5781" priority="8172" operator="beginsWith" text="Séminaire d'intégration">
      <formula>LEFT(R236,LEN("Séminaire d'intégration"))="Séminaire d'intégration"</formula>
    </cfRule>
  </conditionalFormatting>
  <conditionalFormatting sqref="R236">
    <cfRule type="beginsWith" dxfId="5780" priority="8173" operator="beginsWith" text="Accueil">
      <formula>LEFT(R236,LEN("Accueil"))="Accueil"</formula>
    </cfRule>
  </conditionalFormatting>
  <conditionalFormatting sqref="R236">
    <cfRule type="beginsWith" dxfId="5779" priority="8176" operator="beginsWith" text="Stage">
      <formula>LEFT(R236,LEN("Stage"))="Stage"</formula>
    </cfRule>
    <cfRule type="beginsWith" dxfId="5778" priority="8177" operator="beginsWith" text="Entreprise">
      <formula>LEFT(R236,LEN("Entreprise"))="Entreprise"</formula>
    </cfRule>
    <cfRule type="beginsWith" dxfId="5777" priority="8179" operator="beginsWith" text="Voltaire">
      <formula>LEFT(R236,LEN("Voltaire"))="Voltaire"</formula>
    </cfRule>
  </conditionalFormatting>
  <conditionalFormatting sqref="R236">
    <cfRule type="beginsWith" dxfId="5776" priority="8174" operator="beginsWith" text="TOPHYC">
      <formula>LEFT(R236,LEN("TOPHYC"))="TOPHYC"</formula>
    </cfRule>
    <cfRule type="beginsWith" dxfId="5775" priority="8175" operator="beginsWith" text="Global Exam">
      <formula>LEFT(R236,LEN("Global Exam"))="Global Exam"</formula>
    </cfRule>
    <cfRule type="beginsWith" dxfId="5774" priority="8178" operator="beginsWith" text="TOMIC">
      <formula>LEFT(R236,LEN("TOMIC"))="TOMIC"</formula>
    </cfRule>
  </conditionalFormatting>
  <conditionalFormatting sqref="R233:R234">
    <cfRule type="beginsWith" dxfId="5773" priority="8160" operator="beginsWith" text="Lancement Projet fil rouge">
      <formula>LEFT(R233,LEN("Lancement Projet fil rouge"))="Lancement Projet fil rouge"</formula>
    </cfRule>
  </conditionalFormatting>
  <conditionalFormatting sqref="R233:R234">
    <cfRule type="beginsWith" dxfId="5772" priority="8161" operator="beginsWith" text="Vacances">
      <formula>LEFT(R233,LEN("Vacances"))="Vacances"</formula>
    </cfRule>
  </conditionalFormatting>
  <conditionalFormatting sqref="R233:R234">
    <cfRule type="beginsWith" dxfId="5771" priority="8162" operator="beginsWith" text="Séminaire d'intégration">
      <formula>LEFT(R233,LEN("Séminaire d'intégration"))="Séminaire d'intégration"</formula>
    </cfRule>
  </conditionalFormatting>
  <conditionalFormatting sqref="R233:R234">
    <cfRule type="beginsWith" dxfId="5770" priority="8163" operator="beginsWith" text="Accueil">
      <formula>LEFT(R233,LEN("Accueil"))="Accueil"</formula>
    </cfRule>
  </conditionalFormatting>
  <conditionalFormatting sqref="R233:R234">
    <cfRule type="beginsWith" dxfId="5769" priority="8166" operator="beginsWith" text="Stage">
      <formula>LEFT(R233,LEN("Stage"))="Stage"</formula>
    </cfRule>
    <cfRule type="beginsWith" dxfId="5768" priority="8167" operator="beginsWith" text="Entreprise">
      <formula>LEFT(R233,LEN("Entreprise"))="Entreprise"</formula>
    </cfRule>
    <cfRule type="beginsWith" dxfId="5767" priority="8169" operator="beginsWith" text="Voltaire">
      <formula>LEFT(R233,LEN("Voltaire"))="Voltaire"</formula>
    </cfRule>
  </conditionalFormatting>
  <conditionalFormatting sqref="R233:R234">
    <cfRule type="beginsWith" dxfId="5766" priority="8164" operator="beginsWith" text="TOPHYC">
      <formula>LEFT(R233,LEN("TOPHYC"))="TOPHYC"</formula>
    </cfRule>
    <cfRule type="beginsWith" dxfId="5765" priority="8165" operator="beginsWith" text="Global Exam">
      <formula>LEFT(R233,LEN("Global Exam"))="Global Exam"</formula>
    </cfRule>
    <cfRule type="beginsWith" dxfId="5764" priority="8168" operator="beginsWith" text="TOMIC">
      <formula>LEFT(R233,LEN("TOMIC"))="TOMIC"</formula>
    </cfRule>
  </conditionalFormatting>
  <conditionalFormatting sqref="R5">
    <cfRule type="beginsWith" dxfId="5763" priority="8153" operator="beginsWith" text="Lancement Projet fil rouge">
      <formula>LEFT(R5,LEN("Lancement Projet fil rouge"))="Lancement Projet fil rouge"</formula>
    </cfRule>
    <cfRule type="beginsWith" dxfId="5762" priority="8154" operator="beginsWith" text="Vacances">
      <formula>LEFT(R5,LEN("Vacances"))="Vacances"</formula>
    </cfRule>
    <cfRule type="beginsWith" dxfId="5761" priority="8155" operator="beginsWith" text="Séminaire d'intégration">
      <formula>LEFT(R5,LEN("Séminaire d'intégration"))="Séminaire d'intégration"</formula>
    </cfRule>
    <cfRule type="beginsWith" dxfId="5760" priority="8156" operator="beginsWith" text="Accueil">
      <formula>LEFT(R5,LEN("Accueil"))="Accueil"</formula>
    </cfRule>
    <cfRule type="beginsWith" dxfId="5759" priority="8157" operator="beginsWith" text="Stage">
      <formula>LEFT(R5,LEN("Stage"))="Stage"</formula>
    </cfRule>
    <cfRule type="beginsWith" dxfId="5758" priority="8158" operator="beginsWith" text="Entreprise">
      <formula>LEFT(R5,LEN("Entreprise"))="Entreprise"</formula>
    </cfRule>
    <cfRule type="beginsWith" dxfId="5757" priority="8159" operator="beginsWith" text="Voltaire">
      <formula>LEFT(R5,LEN("Voltaire"))="Voltaire"</formula>
    </cfRule>
  </conditionalFormatting>
  <conditionalFormatting sqref="R21:R25">
    <cfRule type="beginsWith" dxfId="5756" priority="8143" operator="beginsWith" text="Lancement Projet fil rouge">
      <formula>LEFT(R21,LEN("Lancement Projet fil rouge"))="Lancement Projet fil rouge"</formula>
    </cfRule>
    <cfRule type="beginsWith" dxfId="5755" priority="8144" operator="beginsWith" text="Vacances">
      <formula>LEFT(R21,LEN("Vacances"))="Vacances"</formula>
    </cfRule>
    <cfRule type="beginsWith" dxfId="5754" priority="8145" operator="beginsWith" text="Séminaire d'intégration">
      <formula>LEFT(R21,LEN("Séminaire d'intégration"))="Séminaire d'intégration"</formula>
    </cfRule>
    <cfRule type="beginsWith" dxfId="5753" priority="8146" operator="beginsWith" text="Accueil">
      <formula>LEFT(R21,LEN("Accueil"))="Accueil"</formula>
    </cfRule>
    <cfRule type="beginsWith" dxfId="5752" priority="8147" operator="beginsWith" text="TOPHYC">
      <formula>LEFT(R21,LEN("TOPHYC"))="TOPHYC"</formula>
    </cfRule>
    <cfRule type="beginsWith" dxfId="5751" priority="8148" operator="beginsWith" text="Global Exam">
      <formula>LEFT(R21,LEN("Global Exam"))="Global Exam"</formula>
    </cfRule>
    <cfRule type="beginsWith" dxfId="5750" priority="8149" operator="beginsWith" text="Stage">
      <formula>LEFT(R21,LEN("Stage"))="Stage"</formula>
    </cfRule>
    <cfRule type="beginsWith" dxfId="5749" priority="8150" operator="beginsWith" text="Entreprise">
      <formula>LEFT(R21,LEN("Entreprise"))="Entreprise"</formula>
    </cfRule>
    <cfRule type="beginsWith" dxfId="5748" priority="8151" operator="beginsWith" text="TOMIC">
      <formula>LEFT(R21,LEN("TOMIC"))="TOMIC"</formula>
    </cfRule>
    <cfRule type="beginsWith" dxfId="5747" priority="8152" operator="beginsWith" text="Voltaire">
      <formula>LEFT(R21,LEN("Voltaire"))="Voltaire"</formula>
    </cfRule>
  </conditionalFormatting>
  <conditionalFormatting sqref="R191">
    <cfRule type="beginsWith" dxfId="5746" priority="8135" operator="beginsWith" text="Séminaire d'intégration">
      <formula>LEFT(R191,LEN("Séminaire d'intégration"))="Séminaire d'intégration"</formula>
    </cfRule>
    <cfRule type="beginsWith" dxfId="5745" priority="8136" operator="beginsWith" text="Accueil">
      <formula>LEFT(R191,LEN("Accueil"))="Accueil"</formula>
    </cfRule>
    <cfRule type="beginsWith" dxfId="5744" priority="8139" operator="beginsWith" text="Stage">
      <formula>LEFT(R191,LEN("Stage"))="Stage"</formula>
    </cfRule>
    <cfRule type="beginsWith" dxfId="5743" priority="8140" operator="beginsWith" text="Entreprise">
      <formula>LEFT(R191,LEN("Entreprise"))="Entreprise"</formula>
    </cfRule>
    <cfRule type="beginsWith" dxfId="5742" priority="8142" operator="beginsWith" text="Voltaire">
      <formula>LEFT(R191,LEN("Voltaire"))="Voltaire"</formula>
    </cfRule>
  </conditionalFormatting>
  <conditionalFormatting sqref="R191">
    <cfRule type="beginsWith" dxfId="5741" priority="8133" operator="beginsWith" text="Lancement Projet fil rouge">
      <formula>LEFT(R191,LEN("Lancement Projet fil rouge"))="Lancement Projet fil rouge"</formula>
    </cfRule>
    <cfRule type="beginsWith" dxfId="5740" priority="8134" operator="beginsWith" text="Vacances">
      <formula>LEFT(R191,LEN("Vacances"))="Vacances"</formula>
    </cfRule>
  </conditionalFormatting>
  <conditionalFormatting sqref="R191">
    <cfRule type="beginsWith" dxfId="5739" priority="8137" operator="beginsWith" text="TOPHYC">
      <formula>LEFT(R191,LEN("TOPHYC"))="TOPHYC"</formula>
    </cfRule>
    <cfRule type="beginsWith" dxfId="5738" priority="8138" operator="beginsWith" text="Global Exam">
      <formula>LEFT(R191,LEN("Global Exam"))="Global Exam"</formula>
    </cfRule>
    <cfRule type="beginsWith" dxfId="5737" priority="8141" operator="beginsWith" text="TOMIC">
      <formula>LEFT(R191,LEN("TOMIC"))="TOMIC"</formula>
    </cfRule>
  </conditionalFormatting>
  <conditionalFormatting sqref="T241:T1048576 T16:T20 T26:T53 T55:T60 T68 T131:T133 T135:T145 T170:T173 T175:T178 T199:T200 T202:T203 T226:T228 T230:T232 T235 T70:T108 T110:T125 T147:T158 T194:T197 T205:T220 T160:T168 T180:T190">
    <cfRule type="beginsWith" dxfId="5736" priority="8107" operator="beginsWith" text="Lancement Projet fil rouge">
      <formula>LEFT(T16,LEN("Lancement Projet fil rouge"))="Lancement Projet fil rouge"</formula>
    </cfRule>
  </conditionalFormatting>
  <conditionalFormatting sqref="T201">
    <cfRule type="beginsWith" dxfId="5735" priority="8105" operator="beginsWith" text="Lancement Projet fil rouge">
      <formula>LEFT(T201,LEN("Lancement Projet fil rouge"))="Lancement Projet fil rouge"</formula>
    </cfRule>
  </conditionalFormatting>
  <conditionalFormatting sqref="T1:T4">
    <cfRule type="beginsWith" dxfId="5734" priority="8106" operator="beginsWith" text="Lancement Projet fil rouge">
      <formula>LEFT(T1,LEN("Lancement Projet fil rouge"))="Lancement Projet fil rouge"</formula>
    </cfRule>
  </conditionalFormatting>
  <conditionalFormatting sqref="T66:T67">
    <cfRule type="beginsWith" dxfId="5733" priority="8104" operator="beginsWith" text="Lancement Projet fil rouge">
      <formula>LEFT(T66,LEN("Lancement Projet fil rouge"))="Lancement Projet fil rouge"</formula>
    </cfRule>
  </conditionalFormatting>
  <conditionalFormatting sqref="T11:T15">
    <cfRule type="beginsWith" dxfId="5732" priority="7894" operator="beginsWith" text="Lancement Projet fil rouge">
      <formula>LEFT(T11,LEN("Lancement Projet fil rouge"))="Lancement Projet fil rouge"</formula>
    </cfRule>
    <cfRule type="beginsWith" dxfId="5731" priority="7895" operator="beginsWith" text="Vacances">
      <formula>LEFT(T11,LEN("Vacances"))="Vacances"</formula>
    </cfRule>
    <cfRule type="beginsWith" dxfId="5730" priority="7896" operator="beginsWith" text="Séminaire d'intégration">
      <formula>LEFT(T11,LEN("Séminaire d'intégration"))="Séminaire d'intégration"</formula>
    </cfRule>
    <cfRule type="beginsWith" dxfId="5729" priority="7897" operator="beginsWith" text="Accueil">
      <formula>LEFT(T11,LEN("Accueil"))="Accueil"</formula>
    </cfRule>
    <cfRule type="beginsWith" dxfId="5728" priority="7900" operator="beginsWith" text="Stage">
      <formula>LEFT(T11,LEN("Stage"))="Stage"</formula>
    </cfRule>
    <cfRule type="beginsWith" dxfId="5727" priority="7901" operator="beginsWith" text="Entreprise">
      <formula>LEFT(T11,LEN("Entreprise"))="Entreprise"</formula>
    </cfRule>
    <cfRule type="beginsWith" dxfId="5726" priority="7903" operator="beginsWith" text="Voltaire">
      <formula>LEFT(T11,LEN("Voltaire"))="Voltaire"</formula>
    </cfRule>
  </conditionalFormatting>
  <conditionalFormatting sqref="T126:T128 T130">
    <cfRule type="beginsWith" dxfId="5725" priority="8054" operator="beginsWith" text="Lancement Projet fil rouge">
      <formula>LEFT(T126,LEN("Lancement Projet fil rouge"))="Lancement Projet fil rouge"</formula>
    </cfRule>
    <cfRule type="beginsWith" dxfId="5724" priority="8055" operator="beginsWith" text="Vacances">
      <formula>LEFT(T126,LEN("Vacances"))="Vacances"</formula>
    </cfRule>
    <cfRule type="beginsWith" dxfId="5723" priority="8056" operator="beginsWith" text="Séminaire d'intégration">
      <formula>LEFT(T126,LEN("Séminaire d'intégration"))="Séminaire d'intégration"</formula>
    </cfRule>
    <cfRule type="beginsWith" dxfId="5722" priority="8057" operator="beginsWith" text="Accueil">
      <formula>LEFT(T126,LEN("Accueil"))="Accueil"</formula>
    </cfRule>
    <cfRule type="beginsWith" dxfId="5721" priority="8060" operator="beginsWith" text="Stage">
      <formula>LEFT(T126,LEN("Stage"))="Stage"</formula>
    </cfRule>
    <cfRule type="beginsWith" dxfId="5720" priority="8061" operator="beginsWith" text="Entreprise">
      <formula>LEFT(T126,LEN("Entreprise"))="Entreprise"</formula>
    </cfRule>
    <cfRule type="beginsWith" dxfId="5719" priority="8063" operator="beginsWith" text="Voltaire">
      <formula>LEFT(T126,LEN("Voltaire"))="Voltaire"</formula>
    </cfRule>
  </conditionalFormatting>
  <conditionalFormatting sqref="T181:T185">
    <cfRule type="beginsWith" dxfId="5718" priority="8117" operator="beginsWith" text="Séminaire d'intégration">
      <formula>LEFT(T181,LEN("Séminaire d'intégration"))="Séminaire d'intégration"</formula>
    </cfRule>
    <cfRule type="beginsWith" dxfId="5717" priority="8118" operator="beginsWith" text="Accueil">
      <formula>LEFT(T181,LEN("Accueil"))="Accueil"</formula>
    </cfRule>
    <cfRule type="beginsWith" dxfId="5716" priority="8121" operator="beginsWith" text="Stage">
      <formula>LEFT(T181,LEN("Stage"))="Stage"</formula>
    </cfRule>
    <cfRule type="beginsWith" dxfId="5715" priority="8122" operator="beginsWith" text="Entreprise">
      <formula>LEFT(T181,LEN("Entreprise"))="Entreprise"</formula>
    </cfRule>
    <cfRule type="beginsWith" dxfId="5714" priority="8124" operator="beginsWith" text="Voltaire">
      <formula>LEFT(T181,LEN("Voltaire"))="Voltaire"</formula>
    </cfRule>
  </conditionalFormatting>
  <conditionalFormatting sqref="T186:T190">
    <cfRule type="beginsWith" dxfId="5713" priority="8109" operator="beginsWith" text="Séminaire d'intégration">
      <formula>LEFT(T186,LEN("Séminaire d'intégration"))="Séminaire d'intégration"</formula>
    </cfRule>
    <cfRule type="beginsWith" dxfId="5712" priority="8110" operator="beginsWith" text="Accueil">
      <formula>LEFT(T186,LEN("Accueil"))="Accueil"</formula>
    </cfRule>
    <cfRule type="beginsWith" dxfId="5711" priority="8113" operator="beginsWith" text="Stage">
      <formula>LEFT(T186,LEN("Stage"))="Stage"</formula>
    </cfRule>
    <cfRule type="beginsWith" dxfId="5710" priority="8114" operator="beginsWith" text="Entreprise">
      <formula>LEFT(T186,LEN("Entreprise"))="Entreprise"</formula>
    </cfRule>
    <cfRule type="beginsWith" dxfId="5709" priority="8116" operator="beginsWith" text="Voltaire">
      <formula>LEFT(T186,LEN("Voltaire"))="Voltaire"</formula>
    </cfRule>
  </conditionalFormatting>
  <conditionalFormatting sqref="T221">
    <cfRule type="beginsWith" dxfId="5708" priority="7924" operator="beginsWith" text="Lancement Projet fil rouge">
      <formula>LEFT(T221,LEN("Lancement Projet fil rouge"))="Lancement Projet fil rouge"</formula>
    </cfRule>
    <cfRule type="beginsWith" dxfId="5707" priority="7925" operator="beginsWith" text="Vacances">
      <formula>LEFT(T221,LEN("Vacances"))="Vacances"</formula>
    </cfRule>
    <cfRule type="beginsWith" dxfId="5706" priority="7926" operator="beginsWith" text="Séminaire d'intégration">
      <formula>LEFT(T221,LEN("Séminaire d'intégration"))="Séminaire d'intégration"</formula>
    </cfRule>
    <cfRule type="beginsWith" dxfId="5705" priority="7927" operator="beginsWith" text="Accueil">
      <formula>LEFT(T221,LEN("Accueil"))="Accueil"</formula>
    </cfRule>
    <cfRule type="beginsWith" dxfId="5704" priority="7930" operator="beginsWith" text="Stage">
      <formula>LEFT(T221,LEN("Stage"))="Stage"</formula>
    </cfRule>
    <cfRule type="beginsWith" dxfId="5703" priority="7931" operator="beginsWith" text="Entreprise">
      <formula>LEFT(T221,LEN("Entreprise"))="Entreprise"</formula>
    </cfRule>
    <cfRule type="beginsWith" dxfId="5702" priority="7933" operator="beginsWith" text="Voltaire">
      <formula>LEFT(T221,LEN("Voltaire"))="Voltaire"</formula>
    </cfRule>
  </conditionalFormatting>
  <conditionalFormatting sqref="T61:T63">
    <cfRule type="beginsWith" dxfId="5701" priority="8074" operator="beginsWith" text="Lancement Projet fil rouge">
      <formula>LEFT(T61,LEN("Lancement Projet fil rouge"))="Lancement Projet fil rouge"</formula>
    </cfRule>
    <cfRule type="beginsWith" dxfId="5700" priority="8075" operator="beginsWith" text="Vacances">
      <formula>LEFT(T61,LEN("Vacances"))="Vacances"</formula>
    </cfRule>
    <cfRule type="beginsWith" dxfId="5699" priority="8076" operator="beginsWith" text="Séminaire d'intégration">
      <formula>LEFT(T61,LEN("Séminaire d'intégration"))="Séminaire d'intégration"</formula>
    </cfRule>
    <cfRule type="beginsWith" dxfId="5698" priority="8077" operator="beginsWith" text="Accueil">
      <formula>LEFT(T61,LEN("Accueil"))="Accueil"</formula>
    </cfRule>
    <cfRule type="beginsWith" dxfId="5697" priority="8080" operator="beginsWith" text="Stage">
      <formula>LEFT(T61,LEN("Stage"))="Stage"</formula>
    </cfRule>
    <cfRule type="beginsWith" dxfId="5696" priority="8081" operator="beginsWith" text="Entreprise">
      <formula>LEFT(T61,LEN("Entreprise"))="Entreprise"</formula>
    </cfRule>
    <cfRule type="beginsWith" dxfId="5695" priority="8083" operator="beginsWith" text="Voltaire">
      <formula>LEFT(T61,LEN("Voltaire"))="Voltaire"</formula>
    </cfRule>
  </conditionalFormatting>
  <conditionalFormatting sqref="T61:T63">
    <cfRule type="beginsWith" dxfId="5694" priority="8078" operator="beginsWith" text="TOPHYC">
      <formula>LEFT(T61,LEN("TOPHYC"))="TOPHYC"</formula>
    </cfRule>
    <cfRule type="beginsWith" dxfId="5693" priority="8079" operator="beginsWith" text="Global Exam">
      <formula>LEFT(T61,LEN("Global Exam"))="Global Exam"</formula>
    </cfRule>
    <cfRule type="beginsWith" dxfId="5692" priority="8082" operator="beginsWith" text="TOMIC">
      <formula>LEFT(T61,LEN("TOMIC"))="TOMIC"</formula>
    </cfRule>
  </conditionalFormatting>
  <conditionalFormatting sqref="T64">
    <cfRule type="beginsWith" dxfId="5691" priority="7974" operator="beginsWith" text="Lancement Projet fil rouge">
      <formula>LEFT(T64,LEN("Lancement Projet fil rouge"))="Lancement Projet fil rouge"</formula>
    </cfRule>
    <cfRule type="beginsWith" dxfId="5690" priority="7975" operator="beginsWith" text="Vacances">
      <formula>LEFT(T64,LEN("Vacances"))="Vacances"</formula>
    </cfRule>
    <cfRule type="beginsWith" dxfId="5689" priority="7976" operator="beginsWith" text="Séminaire d'intégration">
      <formula>LEFT(T64,LEN("Séminaire d'intégration"))="Séminaire d'intégration"</formula>
    </cfRule>
    <cfRule type="beginsWith" dxfId="5688" priority="7977" operator="beginsWith" text="Accueil">
      <formula>LEFT(T64,LEN("Accueil"))="Accueil"</formula>
    </cfRule>
    <cfRule type="beginsWith" dxfId="5687" priority="7978" operator="beginsWith" text="TOPHYC">
      <formula>LEFT(T64,LEN("TOPHYC"))="TOPHYC"</formula>
    </cfRule>
    <cfRule type="beginsWith" dxfId="5686" priority="7979" operator="beginsWith" text="Global Exam">
      <formula>LEFT(T64,LEN("Global Exam"))="Global Exam"</formula>
    </cfRule>
    <cfRule type="beginsWith" dxfId="5685" priority="7980" operator="beginsWith" text="Stage">
      <formula>LEFT(T64,LEN("Stage"))="Stage"</formula>
    </cfRule>
    <cfRule type="beginsWith" dxfId="5684" priority="7981" operator="beginsWith" text="Entreprise">
      <formula>LEFT(T64,LEN("Entreprise"))="Entreprise"</formula>
    </cfRule>
    <cfRule type="beginsWith" dxfId="5683" priority="7982" operator="beginsWith" text="TOMIC">
      <formula>LEFT(T64,LEN("TOMIC"))="TOMIC"</formula>
    </cfRule>
    <cfRule type="beginsWith" dxfId="5682" priority="7983" operator="beginsWith" text="Voltaire">
      <formula>LEFT(T64,LEN("Voltaire"))="Voltaire"</formula>
    </cfRule>
  </conditionalFormatting>
  <conditionalFormatting sqref="T109">
    <cfRule type="beginsWith" dxfId="5681" priority="8004" operator="beginsWith" text="Lancement Projet fil rouge">
      <formula>LEFT(T109,LEN("Lancement Projet fil rouge"))="Lancement Projet fil rouge"</formula>
    </cfRule>
    <cfRule type="beginsWith" dxfId="5680" priority="8005" operator="beginsWith" text="Vacances">
      <formula>LEFT(T109,LEN("Vacances"))="Vacances"</formula>
    </cfRule>
    <cfRule type="beginsWith" dxfId="5679" priority="8006" operator="beginsWith" text="Séminaire d'intégration">
      <formula>LEFT(T109,LEN("Séminaire d'intégration"))="Séminaire d'intégration"</formula>
    </cfRule>
    <cfRule type="beginsWith" dxfId="5678" priority="8007" operator="beginsWith" text="Accueil">
      <formula>LEFT(T109,LEN("Accueil"))="Accueil"</formula>
    </cfRule>
    <cfRule type="beginsWith" dxfId="5677" priority="8008" operator="beginsWith" text="TOPHYC">
      <formula>LEFT(T109,LEN("TOPHYC"))="TOPHYC"</formula>
    </cfRule>
    <cfRule type="beginsWith" dxfId="5676" priority="8009" operator="beginsWith" text="Global Exam">
      <formula>LEFT(T109,LEN("Global Exam"))="Global Exam"</formula>
    </cfRule>
    <cfRule type="beginsWith" dxfId="5675" priority="8010" operator="beginsWith" text="Stage">
      <formula>LEFT(T109,LEN("Stage"))="Stage"</formula>
    </cfRule>
    <cfRule type="beginsWith" dxfId="5674" priority="8011" operator="beginsWith" text="Entreprise">
      <formula>LEFT(T109,LEN("Entreprise"))="Entreprise"</formula>
    </cfRule>
    <cfRule type="beginsWith" dxfId="5673" priority="8012" operator="beginsWith" text="TOMIC">
      <formula>LEFT(T109,LEN("TOMIC"))="TOMIC"</formula>
    </cfRule>
    <cfRule type="beginsWith" dxfId="5672" priority="8013" operator="beginsWith" text="Voltaire">
      <formula>LEFT(T109,LEN("Voltaire"))="Voltaire"</formula>
    </cfRule>
  </conditionalFormatting>
  <conditionalFormatting sqref="T129">
    <cfRule type="beginsWith" dxfId="5671" priority="7994" operator="beginsWith" text="Lancement Projet fil rouge">
      <formula>LEFT(T129,LEN("Lancement Projet fil rouge"))="Lancement Projet fil rouge"</formula>
    </cfRule>
    <cfRule type="beginsWith" dxfId="5670" priority="7995" operator="beginsWith" text="Vacances">
      <formula>LEFT(T129,LEN("Vacances"))="Vacances"</formula>
    </cfRule>
    <cfRule type="beginsWith" dxfId="5669" priority="7996" operator="beginsWith" text="Séminaire d'intégration">
      <formula>LEFT(T129,LEN("Séminaire d'intégration"))="Séminaire d'intégration"</formula>
    </cfRule>
    <cfRule type="beginsWith" dxfId="5668" priority="7997" operator="beginsWith" text="Accueil">
      <formula>LEFT(T129,LEN("Accueil"))="Accueil"</formula>
    </cfRule>
    <cfRule type="beginsWith" dxfId="5667" priority="7998" operator="beginsWith" text="TOPHYC">
      <formula>LEFT(T129,LEN("TOPHYC"))="TOPHYC"</formula>
    </cfRule>
    <cfRule type="beginsWith" dxfId="5666" priority="7999" operator="beginsWith" text="Global Exam">
      <formula>LEFT(T129,LEN("Global Exam"))="Global Exam"</formula>
    </cfRule>
    <cfRule type="beginsWith" dxfId="5665" priority="8000" operator="beginsWith" text="Stage">
      <formula>LEFT(T129,LEN("Stage"))="Stage"</formula>
    </cfRule>
    <cfRule type="beginsWith" dxfId="5664" priority="8001" operator="beginsWith" text="Entreprise">
      <formula>LEFT(T129,LEN("Entreprise"))="Entreprise"</formula>
    </cfRule>
    <cfRule type="beginsWith" dxfId="5663" priority="8002" operator="beginsWith" text="TOMIC">
      <formula>LEFT(T129,LEN("TOMIC"))="TOMIC"</formula>
    </cfRule>
    <cfRule type="beginsWith" dxfId="5662" priority="8003" operator="beginsWith" text="Voltaire">
      <formula>LEFT(T129,LEN("Voltaire"))="Voltaire"</formula>
    </cfRule>
  </conditionalFormatting>
  <conditionalFormatting sqref="T134">
    <cfRule type="beginsWith" dxfId="5661" priority="7984" operator="beginsWith" text="Lancement Projet fil rouge">
      <formula>LEFT(T134,LEN("Lancement Projet fil rouge"))="Lancement Projet fil rouge"</formula>
    </cfRule>
    <cfRule type="beginsWith" dxfId="5660" priority="7985" operator="beginsWith" text="Vacances">
      <formula>LEFT(T134,LEN("Vacances"))="Vacances"</formula>
    </cfRule>
    <cfRule type="beginsWith" dxfId="5659" priority="7986" operator="beginsWith" text="Séminaire d'intégration">
      <formula>LEFT(T134,LEN("Séminaire d'intégration"))="Séminaire d'intégration"</formula>
    </cfRule>
    <cfRule type="beginsWith" dxfId="5658" priority="7987" operator="beginsWith" text="Accueil">
      <formula>LEFT(T134,LEN("Accueil"))="Accueil"</formula>
    </cfRule>
    <cfRule type="beginsWith" dxfId="5657" priority="7988" operator="beginsWith" text="TOPHYC">
      <formula>LEFT(T134,LEN("TOPHYC"))="TOPHYC"</formula>
    </cfRule>
    <cfRule type="beginsWith" dxfId="5656" priority="7989" operator="beginsWith" text="Global Exam">
      <formula>LEFT(T134,LEN("Global Exam"))="Global Exam"</formula>
    </cfRule>
    <cfRule type="beginsWith" dxfId="5655" priority="7990" operator="beginsWith" text="Stage">
      <formula>LEFT(T134,LEN("Stage"))="Stage"</formula>
    </cfRule>
    <cfRule type="beginsWith" dxfId="5654" priority="7991" operator="beginsWith" text="Entreprise">
      <formula>LEFT(T134,LEN("Entreprise"))="Entreprise"</formula>
    </cfRule>
    <cfRule type="beginsWith" dxfId="5653" priority="7992" operator="beginsWith" text="TOMIC">
      <formula>LEFT(T134,LEN("TOMIC"))="TOMIC"</formula>
    </cfRule>
    <cfRule type="beginsWith" dxfId="5652" priority="7993" operator="beginsWith" text="Voltaire">
      <formula>LEFT(T134,LEN("Voltaire"))="Voltaire"</formula>
    </cfRule>
  </conditionalFormatting>
  <conditionalFormatting sqref="T222">
    <cfRule type="beginsWith" dxfId="5651" priority="7934" operator="beginsWith" text="Lancement Projet fil rouge">
      <formula>LEFT(T222,LEN("Lancement Projet fil rouge"))="Lancement Projet fil rouge"</formula>
    </cfRule>
    <cfRule type="beginsWith" dxfId="5650" priority="7935" operator="beginsWith" text="Vacances">
      <formula>LEFT(T222,LEN("Vacances"))="Vacances"</formula>
    </cfRule>
    <cfRule type="beginsWith" dxfId="5649" priority="7936" operator="beginsWith" text="Séminaire d'intégration">
      <formula>LEFT(T222,LEN("Séminaire d'intégration"))="Séminaire d'intégration"</formula>
    </cfRule>
    <cfRule type="beginsWith" dxfId="5648" priority="7937" operator="beginsWith" text="Accueil">
      <formula>LEFT(T222,LEN("Accueil"))="Accueil"</formula>
    </cfRule>
    <cfRule type="beginsWith" dxfId="5647" priority="7938" operator="beginsWith" text="TOPHYC">
      <formula>LEFT(T222,LEN("TOPHYC"))="TOPHYC"</formula>
    </cfRule>
    <cfRule type="beginsWith" dxfId="5646" priority="7939" operator="beginsWith" text="Global Exam">
      <formula>LEFT(T222,LEN("Global Exam"))="Global Exam"</formula>
    </cfRule>
    <cfRule type="beginsWith" dxfId="5645" priority="7940" operator="beginsWith" text="Stage">
      <formula>LEFT(T222,LEN("Stage"))="Stage"</formula>
    </cfRule>
    <cfRule type="beginsWith" dxfId="5644" priority="7941" operator="beginsWith" text="Entreprise">
      <formula>LEFT(T222,LEN("Entreprise"))="Entreprise"</formula>
    </cfRule>
    <cfRule type="beginsWith" dxfId="5643" priority="7942" operator="beginsWith" text="TOMIC">
      <formula>LEFT(T222,LEN("TOMIC"))="TOMIC"</formula>
    </cfRule>
    <cfRule type="beginsWith" dxfId="5642" priority="7943" operator="beginsWith" text="Voltaire">
      <formula>LEFT(T222,LEN("Voltaire"))="Voltaire"</formula>
    </cfRule>
  </conditionalFormatting>
  <conditionalFormatting sqref="T169">
    <cfRule type="beginsWith" dxfId="5641" priority="7964" operator="beginsWith" text="Lancement Projet fil rouge">
      <formula>LEFT(T169,LEN("Lancement Projet fil rouge"))="Lancement Projet fil rouge"</formula>
    </cfRule>
    <cfRule type="beginsWith" dxfId="5640" priority="7965" operator="beginsWith" text="Vacances">
      <formula>LEFT(T169,LEN("Vacances"))="Vacances"</formula>
    </cfRule>
    <cfRule type="beginsWith" dxfId="5639" priority="7966" operator="beginsWith" text="Séminaire d'intégration">
      <formula>LEFT(T169,LEN("Séminaire d'intégration"))="Séminaire d'intégration"</formula>
    </cfRule>
    <cfRule type="beginsWith" dxfId="5638" priority="7967" operator="beginsWith" text="Accueil">
      <formula>LEFT(T169,LEN("Accueil"))="Accueil"</formula>
    </cfRule>
    <cfRule type="beginsWith" dxfId="5637" priority="7968" operator="beginsWith" text="TOPHYC">
      <formula>LEFT(T169,LEN("TOPHYC"))="TOPHYC"</formula>
    </cfRule>
    <cfRule type="beginsWith" dxfId="5636" priority="7969" operator="beginsWith" text="Global Exam">
      <formula>LEFT(T169,LEN("Global Exam"))="Global Exam"</formula>
    </cfRule>
    <cfRule type="beginsWith" dxfId="5635" priority="7970" operator="beginsWith" text="Stage">
      <formula>LEFT(T169,LEN("Stage"))="Stage"</formula>
    </cfRule>
    <cfRule type="beginsWith" dxfId="5634" priority="7971" operator="beginsWith" text="Entreprise">
      <formula>LEFT(T169,LEN("Entreprise"))="Entreprise"</formula>
    </cfRule>
    <cfRule type="beginsWith" dxfId="5633" priority="7972" operator="beginsWith" text="TOMIC">
      <formula>LEFT(T169,LEN("TOMIC"))="TOMIC"</formula>
    </cfRule>
    <cfRule type="beginsWith" dxfId="5632" priority="7973" operator="beginsWith" text="Voltaire">
      <formula>LEFT(T169,LEN("Voltaire"))="Voltaire"</formula>
    </cfRule>
  </conditionalFormatting>
  <conditionalFormatting sqref="T174">
    <cfRule type="beginsWith" dxfId="5631" priority="7954" operator="beginsWith" text="Lancement Projet fil rouge">
      <formula>LEFT(T174,LEN("Lancement Projet fil rouge"))="Lancement Projet fil rouge"</formula>
    </cfRule>
    <cfRule type="beginsWith" dxfId="5630" priority="7955" operator="beginsWith" text="Vacances">
      <formula>LEFT(T174,LEN("Vacances"))="Vacances"</formula>
    </cfRule>
    <cfRule type="beginsWith" dxfId="5629" priority="7956" operator="beginsWith" text="Séminaire d'intégration">
      <formula>LEFT(T174,LEN("Séminaire d'intégration"))="Séminaire d'intégration"</formula>
    </cfRule>
    <cfRule type="beginsWith" dxfId="5628" priority="7957" operator="beginsWith" text="Accueil">
      <formula>LEFT(T174,LEN("Accueil"))="Accueil"</formula>
    </cfRule>
    <cfRule type="beginsWith" dxfId="5627" priority="7958" operator="beginsWith" text="TOPHYC">
      <formula>LEFT(T174,LEN("TOPHYC"))="TOPHYC"</formula>
    </cfRule>
    <cfRule type="beginsWith" dxfId="5626" priority="7959" operator="beginsWith" text="Global Exam">
      <formula>LEFT(T174,LEN("Global Exam"))="Global Exam"</formula>
    </cfRule>
    <cfRule type="beginsWith" dxfId="5625" priority="7960" operator="beginsWith" text="Stage">
      <formula>LEFT(T174,LEN("Stage"))="Stage"</formula>
    </cfRule>
    <cfRule type="beginsWith" dxfId="5624" priority="7961" operator="beginsWith" text="Entreprise">
      <formula>LEFT(T174,LEN("Entreprise"))="Entreprise"</formula>
    </cfRule>
    <cfRule type="beginsWith" dxfId="5623" priority="7962" operator="beginsWith" text="TOMIC">
      <formula>LEFT(T174,LEN("TOMIC"))="TOMIC"</formula>
    </cfRule>
    <cfRule type="beginsWith" dxfId="5622" priority="7963" operator="beginsWith" text="Voltaire">
      <formula>LEFT(T174,LEN("Voltaire"))="Voltaire"</formula>
    </cfRule>
  </conditionalFormatting>
  <conditionalFormatting sqref="T204">
    <cfRule type="beginsWith" dxfId="5621" priority="7914" operator="beginsWith" text="Lancement Projet fil rouge">
      <formula>LEFT(T204,LEN("Lancement Projet fil rouge"))="Lancement Projet fil rouge"</formula>
    </cfRule>
    <cfRule type="beginsWith" dxfId="5620" priority="7915" operator="beginsWith" text="Vacances">
      <formula>LEFT(T204,LEN("Vacances"))="Vacances"</formula>
    </cfRule>
    <cfRule type="beginsWith" dxfId="5619" priority="7916" operator="beginsWith" text="Séminaire d'intégration">
      <formula>LEFT(T204,LEN("Séminaire d'intégration"))="Séminaire d'intégration"</formula>
    </cfRule>
    <cfRule type="beginsWith" dxfId="5618" priority="7917" operator="beginsWith" text="Accueil">
      <formula>LEFT(T204,LEN("Accueil"))="Accueil"</formula>
    </cfRule>
    <cfRule type="beginsWith" dxfId="5617" priority="7918" operator="beginsWith" text="TOPHYC">
      <formula>LEFT(T204,LEN("TOPHYC"))="TOPHYC"</formula>
    </cfRule>
    <cfRule type="beginsWith" dxfId="5616" priority="7919" operator="beginsWith" text="Global Exam">
      <formula>LEFT(T204,LEN("Global Exam"))="Global Exam"</formula>
    </cfRule>
    <cfRule type="beginsWith" dxfId="5615" priority="7920" operator="beginsWith" text="Stage">
      <formula>LEFT(T204,LEN("Stage"))="Stage"</formula>
    </cfRule>
    <cfRule type="beginsWith" dxfId="5614" priority="7921" operator="beginsWith" text="Entreprise">
      <formula>LEFT(T204,LEN("Entreprise"))="Entreprise"</formula>
    </cfRule>
    <cfRule type="beginsWith" dxfId="5613" priority="7922" operator="beginsWith" text="TOMIC">
      <formula>LEFT(T204,LEN("TOMIC"))="TOMIC"</formula>
    </cfRule>
    <cfRule type="beginsWith" dxfId="5612" priority="7923" operator="beginsWith" text="Voltaire">
      <formula>LEFT(T204,LEN("Voltaire"))="Voltaire"</formula>
    </cfRule>
  </conditionalFormatting>
  <conditionalFormatting sqref="T223">
    <cfRule type="beginsWith" dxfId="5611" priority="7904" operator="beginsWith" text="Lancement Projet fil rouge">
      <formula>LEFT(T223,LEN("Lancement Projet fil rouge"))="Lancement Projet fil rouge"</formula>
    </cfRule>
    <cfRule type="beginsWith" dxfId="5610" priority="7905" operator="beginsWith" text="Vacances">
      <formula>LEFT(T223,LEN("Vacances"))="Vacances"</formula>
    </cfRule>
    <cfRule type="beginsWith" dxfId="5609" priority="7906" operator="beginsWith" text="Séminaire d'intégration">
      <formula>LEFT(T223,LEN("Séminaire d'intégration"))="Séminaire d'intégration"</formula>
    </cfRule>
    <cfRule type="beginsWith" dxfId="5608" priority="7907" operator="beginsWith" text="Accueil">
      <formula>LEFT(T223,LEN("Accueil"))="Accueil"</formula>
    </cfRule>
    <cfRule type="beginsWith" dxfId="5607" priority="7908" operator="beginsWith" text="TOPHYC">
      <formula>LEFT(T223,LEN("TOPHYC"))="TOPHYC"</formula>
    </cfRule>
    <cfRule type="beginsWith" dxfId="5606" priority="7909" operator="beginsWith" text="Global Exam">
      <formula>LEFT(T223,LEN("Global Exam"))="Global Exam"</formula>
    </cfRule>
    <cfRule type="beginsWith" dxfId="5605" priority="7910" operator="beginsWith" text="Stage">
      <formula>LEFT(T223,LEN("Stage"))="Stage"</formula>
    </cfRule>
    <cfRule type="beginsWith" dxfId="5604" priority="7911" operator="beginsWith" text="Entreprise">
      <formula>LEFT(T223,LEN("Entreprise"))="Entreprise"</formula>
    </cfRule>
    <cfRule type="beginsWith" dxfId="5603" priority="7912" operator="beginsWith" text="TOMIC">
      <formula>LEFT(T223,LEN("TOMIC"))="TOMIC"</formula>
    </cfRule>
    <cfRule type="beginsWith" dxfId="5602" priority="7913" operator="beginsWith" text="Voltaire">
      <formula>LEFT(T223,LEN("Voltaire"))="Voltaire"</formula>
    </cfRule>
  </conditionalFormatting>
  <conditionalFormatting sqref="T224">
    <cfRule type="beginsWith" dxfId="5601" priority="8034" operator="beginsWith" text="Lancement Projet fil rouge">
      <formula>LEFT(T224,LEN("Lancement Projet fil rouge"))="Lancement Projet fil rouge"</formula>
    </cfRule>
    <cfRule type="beginsWith" dxfId="5600" priority="8035" operator="beginsWith" text="Vacances">
      <formula>LEFT(T224,LEN("Vacances"))="Vacances"</formula>
    </cfRule>
    <cfRule type="beginsWith" dxfId="5599" priority="8036" operator="beginsWith" text="Séminaire d'intégration">
      <formula>LEFT(T224,LEN("Séminaire d'intégration"))="Séminaire d'intégration"</formula>
    </cfRule>
    <cfRule type="beginsWith" dxfId="5598" priority="8037" operator="beginsWith" text="Accueil">
      <formula>LEFT(T224,LEN("Accueil"))="Accueil"</formula>
    </cfRule>
    <cfRule type="beginsWith" dxfId="5597" priority="8038" operator="beginsWith" text="TOPHYC">
      <formula>LEFT(T224,LEN("TOPHYC"))="TOPHYC"</formula>
    </cfRule>
    <cfRule type="beginsWith" dxfId="5596" priority="8039" operator="beginsWith" text="Global Exam">
      <formula>LEFT(T224,LEN("Global Exam"))="Global Exam"</formula>
    </cfRule>
    <cfRule type="beginsWith" dxfId="5595" priority="8040" operator="beginsWith" text="Stage">
      <formula>LEFT(T224,LEN("Stage"))="Stage"</formula>
    </cfRule>
    <cfRule type="beginsWith" dxfId="5594" priority="8041" operator="beginsWith" text="Entreprise">
      <formula>LEFT(T224,LEN("Entreprise"))="Entreprise"</formula>
    </cfRule>
    <cfRule type="beginsWith" dxfId="5593" priority="8042" operator="beginsWith" text="TOMIC">
      <formula>LEFT(T224,LEN("TOMIC"))="TOMIC"</formula>
    </cfRule>
    <cfRule type="beginsWith" dxfId="5592" priority="8043" operator="beginsWith" text="Voltaire">
      <formula>LEFT(T224,LEN("Voltaire"))="Voltaire"</formula>
    </cfRule>
  </conditionalFormatting>
  <conditionalFormatting sqref="T225">
    <cfRule type="beginsWith" dxfId="5591" priority="7944" operator="beginsWith" text="Lancement Projet fil rouge">
      <formula>LEFT(T225,LEN("Lancement Projet fil rouge"))="Lancement Projet fil rouge"</formula>
    </cfRule>
    <cfRule type="beginsWith" dxfId="5590" priority="7945" operator="beginsWith" text="Vacances">
      <formula>LEFT(T225,LEN("Vacances"))="Vacances"</formula>
    </cfRule>
    <cfRule type="beginsWith" dxfId="5589" priority="7946" operator="beginsWith" text="Séminaire d'intégration">
      <formula>LEFT(T225,LEN("Séminaire d'intégration"))="Séminaire d'intégration"</formula>
    </cfRule>
    <cfRule type="beginsWith" dxfId="5588" priority="7947" operator="beginsWith" text="Accueil">
      <formula>LEFT(T225,LEN("Accueil"))="Accueil"</formula>
    </cfRule>
    <cfRule type="beginsWith" dxfId="5587" priority="7948" operator="beginsWith" text="TOPHYC">
      <formula>LEFT(T225,LEN("TOPHYC"))="TOPHYC"</formula>
    </cfRule>
    <cfRule type="beginsWith" dxfId="5586" priority="7949" operator="beginsWith" text="Global Exam">
      <formula>LEFT(T225,LEN("Global Exam"))="Global Exam"</formula>
    </cfRule>
    <cfRule type="beginsWith" dxfId="5585" priority="7950" operator="beginsWith" text="Stage">
      <formula>LEFT(T225,LEN("Stage"))="Stage"</formula>
    </cfRule>
    <cfRule type="beginsWith" dxfId="5584" priority="7951" operator="beginsWith" text="Entreprise">
      <formula>LEFT(T225,LEN("Entreprise"))="Entreprise"</formula>
    </cfRule>
    <cfRule type="beginsWith" dxfId="5583" priority="7952" operator="beginsWith" text="TOMIC">
      <formula>LEFT(T225,LEN("TOMIC"))="TOMIC"</formula>
    </cfRule>
    <cfRule type="beginsWith" dxfId="5582" priority="7953" operator="beginsWith" text="Voltaire">
      <formula>LEFT(T225,LEN("Voltaire"))="Voltaire"</formula>
    </cfRule>
  </conditionalFormatting>
  <conditionalFormatting sqref="T229">
    <cfRule type="beginsWith" dxfId="5581" priority="8024" operator="beginsWith" text="Lancement Projet fil rouge">
      <formula>LEFT(T229,LEN("Lancement Projet fil rouge"))="Lancement Projet fil rouge"</formula>
    </cfRule>
    <cfRule type="beginsWith" dxfId="5580" priority="8025" operator="beginsWith" text="Vacances">
      <formula>LEFT(T229,LEN("Vacances"))="Vacances"</formula>
    </cfRule>
    <cfRule type="beginsWith" dxfId="5579" priority="8026" operator="beginsWith" text="Séminaire d'intégration">
      <formula>LEFT(T229,LEN("Séminaire d'intégration"))="Séminaire d'intégration"</formula>
    </cfRule>
    <cfRule type="beginsWith" dxfId="5578" priority="8027" operator="beginsWith" text="Accueil">
      <formula>LEFT(T229,LEN("Accueil"))="Accueil"</formula>
    </cfRule>
    <cfRule type="beginsWith" dxfId="5577" priority="8028" operator="beginsWith" text="TOPHYC">
      <formula>LEFT(T229,LEN("TOPHYC"))="TOPHYC"</formula>
    </cfRule>
    <cfRule type="beginsWith" dxfId="5576" priority="8029" operator="beginsWith" text="Global Exam">
      <formula>LEFT(T229,LEN("Global Exam"))="Global Exam"</formula>
    </cfRule>
    <cfRule type="beginsWith" dxfId="5575" priority="8030" operator="beginsWith" text="Stage">
      <formula>LEFT(T229,LEN("Stage"))="Stage"</formula>
    </cfRule>
    <cfRule type="beginsWith" dxfId="5574" priority="8031" operator="beginsWith" text="Entreprise">
      <formula>LEFT(T229,LEN("Entreprise"))="Entreprise"</formula>
    </cfRule>
    <cfRule type="beginsWith" dxfId="5573" priority="8032" operator="beginsWith" text="TOMIC">
      <formula>LEFT(T229,LEN("TOMIC"))="TOMIC"</formula>
    </cfRule>
    <cfRule type="beginsWith" dxfId="5572" priority="8033" operator="beginsWith" text="Voltaire">
      <formula>LEFT(T229,LEN("Voltaire"))="Voltaire"</formula>
    </cfRule>
  </conditionalFormatting>
  <conditionalFormatting sqref="T11:T15">
    <cfRule type="beginsWith" dxfId="5571" priority="7898" operator="beginsWith" text="TOPHYC">
      <formula>LEFT(T11,LEN("TOPHYC"))="TOPHYC"</formula>
    </cfRule>
    <cfRule type="beginsWith" dxfId="5570" priority="7899" operator="beginsWith" text="Global Exam">
      <formula>LEFT(T11,LEN("Global Exam"))="Global Exam"</formula>
    </cfRule>
    <cfRule type="beginsWith" dxfId="5569" priority="7902" operator="beginsWith" text="TOMIC">
      <formula>LEFT(T11,LEN("TOMIC"))="TOMIC"</formula>
    </cfRule>
  </conditionalFormatting>
  <conditionalFormatting sqref="T126:T128 T130">
    <cfRule type="beginsWith" dxfId="5568" priority="8058" operator="beginsWith" text="TOPHYC">
      <formula>LEFT(T126,LEN("TOPHYC"))="TOPHYC"</formula>
    </cfRule>
    <cfRule type="beginsWith" dxfId="5567" priority="8059" operator="beginsWith" text="Global Exam">
      <formula>LEFT(T126,LEN("Global Exam"))="Global Exam"</formula>
    </cfRule>
    <cfRule type="beginsWith" dxfId="5566" priority="8062" operator="beginsWith" text="TOMIC">
      <formula>LEFT(T126,LEN("TOMIC"))="TOMIC"</formula>
    </cfRule>
  </conditionalFormatting>
  <conditionalFormatting sqref="T181:T185">
    <cfRule type="beginsWith" dxfId="5565" priority="8119" operator="beginsWith" text="TOPHYC">
      <formula>LEFT(T181,LEN("TOPHYC"))="TOPHYC"</formula>
    </cfRule>
    <cfRule type="beginsWith" dxfId="5564" priority="8120" operator="beginsWith" text="Global Exam">
      <formula>LEFT(T181,LEN("Global Exam"))="Global Exam"</formula>
    </cfRule>
    <cfRule type="beginsWith" dxfId="5563" priority="8123" operator="beginsWith" text="TOMIC">
      <formula>LEFT(T181,LEN("TOMIC"))="TOMIC"</formula>
    </cfRule>
  </conditionalFormatting>
  <conditionalFormatting sqref="T186:T190">
    <cfRule type="beginsWith" dxfId="5562" priority="8111" operator="beginsWith" text="TOPHYC">
      <formula>LEFT(T186,LEN("TOPHYC"))="TOPHYC"</formula>
    </cfRule>
    <cfRule type="beginsWith" dxfId="5561" priority="8112" operator="beginsWith" text="Global Exam">
      <formula>LEFT(T186,LEN("Global Exam"))="Global Exam"</formula>
    </cfRule>
    <cfRule type="beginsWith" dxfId="5560" priority="8115" operator="beginsWith" text="TOMIC">
      <formula>LEFT(T186,LEN("TOMIC"))="TOMIC"</formula>
    </cfRule>
  </conditionalFormatting>
  <conditionalFormatting sqref="T221">
    <cfRule type="beginsWith" dxfId="5559" priority="7928" operator="beginsWith" text="TOPHYC">
      <formula>LEFT(T221,LEN("TOPHYC"))="TOPHYC"</formula>
    </cfRule>
    <cfRule type="beginsWith" dxfId="5558" priority="7929" operator="beginsWith" text="Global Exam">
      <formula>LEFT(T221,LEN("Global Exam"))="Global Exam"</formula>
    </cfRule>
    <cfRule type="beginsWith" dxfId="5557" priority="7932" operator="beginsWith" text="TOMIC">
      <formula>LEFT(T221,LEN("TOMIC"))="TOMIC"</formula>
    </cfRule>
  </conditionalFormatting>
  <conditionalFormatting sqref="T1:T4 T16:T20 T55:T60 T66:T68 T131:T133 T135:T145 T170:T173 T175:T178 T199:T203 T226:T228 T230:T232 T235 T241:T1048576 T26:T53 T70:T108 T110:T125 T147:T158 T194:T197 T205:T220 T160:T168 T180:T190">
    <cfRule type="beginsWith" dxfId="5556" priority="8108" operator="beginsWith" text="Vacances">
      <formula>LEFT(T1,LEN("Vacances"))="Vacances"</formula>
    </cfRule>
  </conditionalFormatting>
  <conditionalFormatting sqref="T1:T4 T16:T20 T55:T60 T66:T68 T131:T133 T135:T145 T170:T173 T175:T178 T199:T203 T226:T228 T230:T232 T235 T241:T1048576 T26:T53 T70:T108 T110:T125 T147:T158 T194:T197 T205:T220 T160:T168 T180">
    <cfRule type="beginsWith" dxfId="5555" priority="8125" operator="beginsWith" text="Séminaire d'intégration">
      <formula>LEFT(T1,LEN("Séminaire d'intégration"))="Séminaire d'intégration"</formula>
    </cfRule>
  </conditionalFormatting>
  <conditionalFormatting sqref="T1:T4 T16:T20 T55:T60 T66:T68 T131:T133 T135:T145 T170:T173 T175:T178 T199:T203 T226:T228 T230:T232 T235 T241:T1048576 T26:T53 T70:T108 T110:T125 T147:T158 T194:T197 T205:T220 T160:T168 T180">
    <cfRule type="beginsWith" dxfId="5554" priority="8126" operator="beginsWith" text="Accueil">
      <formula>LEFT(T1,LEN("Accueil"))="Accueil"</formula>
    </cfRule>
  </conditionalFormatting>
  <conditionalFormatting sqref="T6:T10">
    <cfRule type="beginsWith" dxfId="5553" priority="8084" operator="beginsWith" text="Lancement Projet fil rouge">
      <formula>LEFT(T6,LEN("Lancement Projet fil rouge"))="Lancement Projet fil rouge"</formula>
    </cfRule>
    <cfRule type="beginsWith" dxfId="5552" priority="8085" operator="beginsWith" text="Vacances">
      <formula>LEFT(T6,LEN("Vacances"))="Vacances"</formula>
    </cfRule>
    <cfRule type="beginsWith" dxfId="5551" priority="8086" operator="beginsWith" text="Séminaire d'intégration">
      <formula>LEFT(T6,LEN("Séminaire d'intégration"))="Séminaire d'intégration"</formula>
    </cfRule>
    <cfRule type="beginsWith" dxfId="5550" priority="8087" operator="beginsWith" text="Accueil">
      <formula>LEFT(T6,LEN("Accueil"))="Accueil"</formula>
    </cfRule>
    <cfRule type="beginsWith" dxfId="5549" priority="8090" operator="beginsWith" text="Stage">
      <formula>LEFT(T6,LEN("Stage"))="Stage"</formula>
    </cfRule>
    <cfRule type="beginsWith" dxfId="5548" priority="8091" operator="beginsWith" text="Entreprise">
      <formula>LEFT(T6,LEN("Entreprise"))="Entreprise"</formula>
    </cfRule>
    <cfRule type="beginsWith" dxfId="5547" priority="8093" operator="beginsWith" text="Voltaire">
      <formula>LEFT(T6,LEN("Voltaire"))="Voltaire"</formula>
    </cfRule>
  </conditionalFormatting>
  <conditionalFormatting sqref="T1:T4 T16:T20 T55:T60 T66:T68 T131:T133 T135:T145 T170:T173 T175:T178 T199:T203 T226:T228 T230:T232 T235 T241:T1048576 T26:T53 T70:T108 T110:T125 T147:T158 T194:T197 T205:T220 T160:T168 T180">
    <cfRule type="beginsWith" dxfId="5546" priority="8129" operator="beginsWith" text="Stage">
      <formula>LEFT(T1,LEN("Stage"))="Stage"</formula>
    </cfRule>
    <cfRule type="beginsWith" dxfId="5545" priority="8130" operator="beginsWith" text="Entreprise">
      <formula>LEFT(T1,LEN("Entreprise"))="Entreprise"</formula>
    </cfRule>
    <cfRule type="beginsWith" dxfId="5544" priority="8132" operator="beginsWith" text="Voltaire">
      <formula>LEFT(T1,LEN("Voltaire"))="Voltaire"</formula>
    </cfRule>
  </conditionalFormatting>
  <conditionalFormatting sqref="T1:T4 T16:T20 T55:T60 T66:T68 T131:T133 T135:T145 T170:T173 T175:T178 T199:T203 T226:T228 T230:T232 T235 T241:T1048576 T26:T53 T70:T108 T110:T125 T147:T158 T194:T197 T205:T220 T160:T168 T180">
    <cfRule type="beginsWith" dxfId="5543" priority="8127" operator="beginsWith" text="TOPHYC">
      <formula>LEFT(T1,LEN("TOPHYC"))="TOPHYC"</formula>
    </cfRule>
    <cfRule type="beginsWith" dxfId="5542" priority="8128" operator="beginsWith" text="Global Exam">
      <formula>LEFT(T1,LEN("Global Exam"))="Global Exam"</formula>
    </cfRule>
    <cfRule type="beginsWith" dxfId="5541" priority="8131" operator="beginsWith" text="TOMIC">
      <formula>LEFT(T1,LEN("TOMIC"))="TOMIC"</formula>
    </cfRule>
  </conditionalFormatting>
  <conditionalFormatting sqref="T6:T10">
    <cfRule type="beginsWith" dxfId="5540" priority="8088" operator="beginsWith" text="TOPHYC">
      <formula>LEFT(T6,LEN("TOPHYC"))="TOPHYC"</formula>
    </cfRule>
    <cfRule type="beginsWith" dxfId="5539" priority="8089" operator="beginsWith" text="Global Exam">
      <formula>LEFT(T6,LEN("Global Exam"))="Global Exam"</formula>
    </cfRule>
    <cfRule type="beginsWith" dxfId="5538" priority="8092" operator="beginsWith" text="TOMIC">
      <formula>LEFT(T6,LEN("TOMIC"))="TOMIC"</formula>
    </cfRule>
  </conditionalFormatting>
  <conditionalFormatting sqref="T239:T240">
    <cfRule type="beginsWith" dxfId="5537" priority="7887" operator="beginsWith" text="Lancement Projet fil rouge">
      <formula>LEFT(T239,LEN("Lancement Projet fil rouge"))="Lancement Projet fil rouge"</formula>
    </cfRule>
  </conditionalFormatting>
  <conditionalFormatting sqref="T239:T240">
    <cfRule type="beginsWith" dxfId="5536" priority="7888" operator="beginsWith" text="Vacances">
      <formula>LEFT(T239,LEN("Vacances"))="Vacances"</formula>
    </cfRule>
  </conditionalFormatting>
  <conditionalFormatting sqref="T239:T240">
    <cfRule type="beginsWith" dxfId="5535" priority="7889" operator="beginsWith" text="Séminaire d'intégration">
      <formula>LEFT(T239,LEN("Séminaire d'intégration"))="Séminaire d'intégration"</formula>
    </cfRule>
  </conditionalFormatting>
  <conditionalFormatting sqref="T239:T240">
    <cfRule type="beginsWith" dxfId="5534" priority="7890" operator="beginsWith" text="Accueil">
      <formula>LEFT(T239,LEN("Accueil"))="Accueil"</formula>
    </cfRule>
  </conditionalFormatting>
  <conditionalFormatting sqref="T239:T240">
    <cfRule type="beginsWith" dxfId="5533" priority="7891" operator="beginsWith" text="Stage">
      <formula>LEFT(T239,LEN("Stage"))="Stage"</formula>
    </cfRule>
    <cfRule type="beginsWith" dxfId="5532" priority="7892" operator="beginsWith" text="Entreprise">
      <formula>LEFT(T239,LEN("Entreprise"))="Entreprise"</formula>
    </cfRule>
    <cfRule type="beginsWith" dxfId="5531" priority="7893" operator="beginsWith" text="Voltaire">
      <formula>LEFT(T239,LEN("Voltaire"))="Voltaire"</formula>
    </cfRule>
  </conditionalFormatting>
  <conditionalFormatting sqref="T236">
    <cfRule type="beginsWith" dxfId="5530" priority="7877" operator="beginsWith" text="Lancement Projet fil rouge">
      <formula>LEFT(T236,LEN("Lancement Projet fil rouge"))="Lancement Projet fil rouge"</formula>
    </cfRule>
  </conditionalFormatting>
  <conditionalFormatting sqref="T236">
    <cfRule type="beginsWith" dxfId="5529" priority="7878" operator="beginsWith" text="Vacances">
      <formula>LEFT(T236,LEN("Vacances"))="Vacances"</formula>
    </cfRule>
  </conditionalFormatting>
  <conditionalFormatting sqref="T236">
    <cfRule type="beginsWith" dxfId="5528" priority="7879" operator="beginsWith" text="Séminaire d'intégration">
      <formula>LEFT(T236,LEN("Séminaire d'intégration"))="Séminaire d'intégration"</formula>
    </cfRule>
  </conditionalFormatting>
  <conditionalFormatting sqref="T236">
    <cfRule type="beginsWith" dxfId="5527" priority="7880" operator="beginsWith" text="Accueil">
      <formula>LEFT(T236,LEN("Accueil"))="Accueil"</formula>
    </cfRule>
  </conditionalFormatting>
  <conditionalFormatting sqref="T236">
    <cfRule type="beginsWith" dxfId="5526" priority="7883" operator="beginsWith" text="Stage">
      <formula>LEFT(T236,LEN("Stage"))="Stage"</formula>
    </cfRule>
    <cfRule type="beginsWith" dxfId="5525" priority="7884" operator="beginsWith" text="Entreprise">
      <formula>LEFT(T236,LEN("Entreprise"))="Entreprise"</formula>
    </cfRule>
    <cfRule type="beginsWith" dxfId="5524" priority="7886" operator="beginsWith" text="Voltaire">
      <formula>LEFT(T236,LEN("Voltaire"))="Voltaire"</formula>
    </cfRule>
  </conditionalFormatting>
  <conditionalFormatting sqref="T236">
    <cfRule type="beginsWith" dxfId="5523" priority="7881" operator="beginsWith" text="TOPHYC">
      <formula>LEFT(T236,LEN("TOPHYC"))="TOPHYC"</formula>
    </cfRule>
    <cfRule type="beginsWith" dxfId="5522" priority="7882" operator="beginsWith" text="Global Exam">
      <formula>LEFT(T236,LEN("Global Exam"))="Global Exam"</formula>
    </cfRule>
    <cfRule type="beginsWith" dxfId="5521" priority="7885" operator="beginsWith" text="TOMIC">
      <formula>LEFT(T236,LEN("TOMIC"))="TOMIC"</formula>
    </cfRule>
  </conditionalFormatting>
  <conditionalFormatting sqref="T233:T234">
    <cfRule type="beginsWith" dxfId="5520" priority="7867" operator="beginsWith" text="Lancement Projet fil rouge">
      <formula>LEFT(T233,LEN("Lancement Projet fil rouge"))="Lancement Projet fil rouge"</formula>
    </cfRule>
  </conditionalFormatting>
  <conditionalFormatting sqref="T233:T234">
    <cfRule type="beginsWith" dxfId="5519" priority="7868" operator="beginsWith" text="Vacances">
      <formula>LEFT(T233,LEN("Vacances"))="Vacances"</formula>
    </cfRule>
  </conditionalFormatting>
  <conditionalFormatting sqref="T233:T234">
    <cfRule type="beginsWith" dxfId="5518" priority="7869" operator="beginsWith" text="Séminaire d'intégration">
      <formula>LEFT(T233,LEN("Séminaire d'intégration"))="Séminaire d'intégration"</formula>
    </cfRule>
  </conditionalFormatting>
  <conditionalFormatting sqref="T233:T234">
    <cfRule type="beginsWith" dxfId="5517" priority="7870" operator="beginsWith" text="Accueil">
      <formula>LEFT(T233,LEN("Accueil"))="Accueil"</formula>
    </cfRule>
  </conditionalFormatting>
  <conditionalFormatting sqref="T233:T234">
    <cfRule type="beginsWith" dxfId="5516" priority="7873" operator="beginsWith" text="Stage">
      <formula>LEFT(T233,LEN("Stage"))="Stage"</formula>
    </cfRule>
    <cfRule type="beginsWith" dxfId="5515" priority="7874" operator="beginsWith" text="Entreprise">
      <formula>LEFT(T233,LEN("Entreprise"))="Entreprise"</formula>
    </cfRule>
    <cfRule type="beginsWith" dxfId="5514" priority="7876" operator="beginsWith" text="Voltaire">
      <formula>LEFT(T233,LEN("Voltaire"))="Voltaire"</formula>
    </cfRule>
  </conditionalFormatting>
  <conditionalFormatting sqref="T233:T234">
    <cfRule type="beginsWith" dxfId="5513" priority="7871" operator="beginsWith" text="TOPHYC">
      <formula>LEFT(T233,LEN("TOPHYC"))="TOPHYC"</formula>
    </cfRule>
    <cfRule type="beginsWith" dxfId="5512" priority="7872" operator="beginsWith" text="Global Exam">
      <formula>LEFT(T233,LEN("Global Exam"))="Global Exam"</formula>
    </cfRule>
    <cfRule type="beginsWith" dxfId="5511" priority="7875" operator="beginsWith" text="TOMIC">
      <formula>LEFT(T233,LEN("TOMIC"))="TOMIC"</formula>
    </cfRule>
  </conditionalFormatting>
  <conditionalFormatting sqref="T21:T25">
    <cfRule type="beginsWith" dxfId="5510" priority="7850" operator="beginsWith" text="Lancement Projet fil rouge">
      <formula>LEFT(T21,LEN("Lancement Projet fil rouge"))="Lancement Projet fil rouge"</formula>
    </cfRule>
    <cfRule type="beginsWith" dxfId="5509" priority="7851" operator="beginsWith" text="Vacances">
      <formula>LEFT(T21,LEN("Vacances"))="Vacances"</formula>
    </cfRule>
    <cfRule type="beginsWith" dxfId="5508" priority="7852" operator="beginsWith" text="Séminaire d'intégration">
      <formula>LEFT(T21,LEN("Séminaire d'intégration"))="Séminaire d'intégration"</formula>
    </cfRule>
    <cfRule type="beginsWith" dxfId="5507" priority="7853" operator="beginsWith" text="Accueil">
      <formula>LEFT(T21,LEN("Accueil"))="Accueil"</formula>
    </cfRule>
    <cfRule type="beginsWith" dxfId="5506" priority="7854" operator="beginsWith" text="TOPHYC">
      <formula>LEFT(T21,LEN("TOPHYC"))="TOPHYC"</formula>
    </cfRule>
    <cfRule type="beginsWith" dxfId="5505" priority="7855" operator="beginsWith" text="Global Exam">
      <formula>LEFT(T21,LEN("Global Exam"))="Global Exam"</formula>
    </cfRule>
    <cfRule type="beginsWith" dxfId="5504" priority="7856" operator="beginsWith" text="Stage">
      <formula>LEFT(T21,LEN("Stage"))="Stage"</formula>
    </cfRule>
    <cfRule type="beginsWith" dxfId="5503" priority="7857" operator="beginsWith" text="Entreprise">
      <formula>LEFT(T21,LEN("Entreprise"))="Entreprise"</formula>
    </cfRule>
    <cfRule type="beginsWith" dxfId="5502" priority="7858" operator="beginsWith" text="TOMIC">
      <formula>LEFT(T21,LEN("TOMIC"))="TOMIC"</formula>
    </cfRule>
    <cfRule type="beginsWith" dxfId="5501" priority="7859" operator="beginsWith" text="Voltaire">
      <formula>LEFT(T21,LEN("Voltaire"))="Voltaire"</formula>
    </cfRule>
  </conditionalFormatting>
  <conditionalFormatting sqref="T191">
    <cfRule type="beginsWith" dxfId="5500" priority="7842" operator="beginsWith" text="Séminaire d'intégration">
      <formula>LEFT(T191,LEN("Séminaire d'intégration"))="Séminaire d'intégration"</formula>
    </cfRule>
    <cfRule type="beginsWith" dxfId="5499" priority="7843" operator="beginsWith" text="Accueil">
      <formula>LEFT(T191,LEN("Accueil"))="Accueil"</formula>
    </cfRule>
    <cfRule type="beginsWith" dxfId="5498" priority="7846" operator="beginsWith" text="Stage">
      <formula>LEFT(T191,LEN("Stage"))="Stage"</formula>
    </cfRule>
    <cfRule type="beginsWith" dxfId="5497" priority="7847" operator="beginsWith" text="Entreprise">
      <formula>LEFT(T191,LEN("Entreprise"))="Entreprise"</formula>
    </cfRule>
    <cfRule type="beginsWith" dxfId="5496" priority="7849" operator="beginsWith" text="Voltaire">
      <formula>LEFT(T191,LEN("Voltaire"))="Voltaire"</formula>
    </cfRule>
  </conditionalFormatting>
  <conditionalFormatting sqref="T191">
    <cfRule type="beginsWith" dxfId="5495" priority="7840" operator="beginsWith" text="Lancement Projet fil rouge">
      <formula>LEFT(T191,LEN("Lancement Projet fil rouge"))="Lancement Projet fil rouge"</formula>
    </cfRule>
    <cfRule type="beginsWith" dxfId="5494" priority="7841" operator="beginsWith" text="Vacances">
      <formula>LEFT(T191,LEN("Vacances"))="Vacances"</formula>
    </cfRule>
  </conditionalFormatting>
  <conditionalFormatting sqref="T191">
    <cfRule type="beginsWith" dxfId="5493" priority="7844" operator="beginsWith" text="TOPHYC">
      <formula>LEFT(T191,LEN("TOPHYC"))="TOPHYC"</formula>
    </cfRule>
    <cfRule type="beginsWith" dxfId="5492" priority="7845" operator="beginsWith" text="Global Exam">
      <formula>LEFT(T191,LEN("Global Exam"))="Global Exam"</formula>
    </cfRule>
    <cfRule type="beginsWith" dxfId="5491" priority="7848" operator="beginsWith" text="TOMIC">
      <formula>LEFT(T191,LEN("TOMIC"))="TOMIC"</formula>
    </cfRule>
  </conditionalFormatting>
  <conditionalFormatting sqref="T5">
    <cfRule type="beginsWith" dxfId="5490" priority="7833" operator="beginsWith" text="Lancement Projet fil rouge">
      <formula>LEFT(T5,LEN("Lancement Projet fil rouge"))="Lancement Projet fil rouge"</formula>
    </cfRule>
    <cfRule type="beginsWith" dxfId="5489" priority="7834" operator="beginsWith" text="Vacances">
      <formula>LEFT(T5,LEN("Vacances"))="Vacances"</formula>
    </cfRule>
  </conditionalFormatting>
  <conditionalFormatting sqref="T5">
    <cfRule type="beginsWith" dxfId="5488" priority="7835" operator="beginsWith" text="Séminaire d'intégration">
      <formula>LEFT(T5,LEN("Séminaire d'intégration"))="Séminaire d'intégration"</formula>
    </cfRule>
    <cfRule type="beginsWith" dxfId="5487" priority="7836" operator="beginsWith" text="Accueil">
      <formula>LEFT(T5,LEN("Accueil"))="Accueil"</formula>
    </cfRule>
    <cfRule type="beginsWith" dxfId="5486" priority="7837" operator="beginsWith" text="Stage">
      <formula>LEFT(T5,LEN("Stage"))="Stage"</formula>
    </cfRule>
    <cfRule type="beginsWith" dxfId="5485" priority="7838" operator="beginsWith" text="Entreprise">
      <formula>LEFT(T5,LEN("Entreprise"))="Entreprise"</formula>
    </cfRule>
    <cfRule type="beginsWith" dxfId="5484" priority="7839" operator="beginsWith" text="Voltaire">
      <formula>LEFT(T5,LEN("Voltaire"))="Voltaire"</formula>
    </cfRule>
  </conditionalFormatting>
  <conditionalFormatting sqref="T54">
    <cfRule type="beginsWith" dxfId="5483" priority="7823" operator="beginsWith" text="Lancement Projet fil rouge">
      <formula>LEFT(T54,LEN("Lancement Projet fil rouge"))="Lancement Projet fil rouge"</formula>
    </cfRule>
  </conditionalFormatting>
  <conditionalFormatting sqref="T54">
    <cfRule type="beginsWith" dxfId="5482" priority="7824" operator="beginsWith" text="Vacances">
      <formula>LEFT(T54,LEN("Vacances"))="Vacances"</formula>
    </cfRule>
  </conditionalFormatting>
  <conditionalFormatting sqref="T54">
    <cfRule type="beginsWith" dxfId="5481" priority="7825" operator="beginsWith" text="Séminaire d'intégration">
      <formula>LEFT(T54,LEN("Séminaire d'intégration"))="Séminaire d'intégration"</formula>
    </cfRule>
  </conditionalFormatting>
  <conditionalFormatting sqref="T54">
    <cfRule type="beginsWith" dxfId="5480" priority="7826" operator="beginsWith" text="Accueil">
      <formula>LEFT(T54,LEN("Accueil"))="Accueil"</formula>
    </cfRule>
  </conditionalFormatting>
  <conditionalFormatting sqref="T54">
    <cfRule type="beginsWith" dxfId="5479" priority="7829" operator="beginsWith" text="Stage">
      <formula>LEFT(T54,LEN("Stage"))="Stage"</formula>
    </cfRule>
    <cfRule type="beginsWith" dxfId="5478" priority="7830" operator="beginsWith" text="Entreprise">
      <formula>LEFT(T54,LEN("Entreprise"))="Entreprise"</formula>
    </cfRule>
    <cfRule type="beginsWith" dxfId="5477" priority="7832" operator="beginsWith" text="Voltaire">
      <formula>LEFT(T54,LEN("Voltaire"))="Voltaire"</formula>
    </cfRule>
  </conditionalFormatting>
  <conditionalFormatting sqref="T54">
    <cfRule type="beginsWith" dxfId="5476" priority="7827" operator="beginsWith" text="TOPHYC">
      <formula>LEFT(T54,LEN("TOPHYC"))="TOPHYC"</formula>
    </cfRule>
    <cfRule type="beginsWith" dxfId="5475" priority="7828" operator="beginsWith" text="Global Exam">
      <formula>LEFT(T54,LEN("Global Exam"))="Global Exam"</formula>
    </cfRule>
    <cfRule type="beginsWith" dxfId="5474" priority="7831" operator="beginsWith" text="TOMIC">
      <formula>LEFT(T54,LEN("TOMIC"))="TOMIC"</formula>
    </cfRule>
  </conditionalFormatting>
  <conditionalFormatting sqref="T69">
    <cfRule type="beginsWith" dxfId="5473" priority="7813" operator="beginsWith" text="Lancement Projet fil rouge">
      <formula>LEFT(T69,LEN("Lancement Projet fil rouge"))="Lancement Projet fil rouge"</formula>
    </cfRule>
  </conditionalFormatting>
  <conditionalFormatting sqref="T69">
    <cfRule type="beginsWith" dxfId="5472" priority="7814" operator="beginsWith" text="Vacances">
      <formula>LEFT(T69,LEN("Vacances"))="Vacances"</formula>
    </cfRule>
  </conditionalFormatting>
  <conditionalFormatting sqref="T69">
    <cfRule type="beginsWith" dxfId="5471" priority="7815" operator="beginsWith" text="Séminaire d'intégration">
      <formula>LEFT(T69,LEN("Séminaire d'intégration"))="Séminaire d'intégration"</formula>
    </cfRule>
  </conditionalFormatting>
  <conditionalFormatting sqref="T69">
    <cfRule type="beginsWith" dxfId="5470" priority="7816" operator="beginsWith" text="Accueil">
      <formula>LEFT(T69,LEN("Accueil"))="Accueil"</formula>
    </cfRule>
  </conditionalFormatting>
  <conditionalFormatting sqref="T69">
    <cfRule type="beginsWith" dxfId="5469" priority="7819" operator="beginsWith" text="Stage">
      <formula>LEFT(T69,LEN("Stage"))="Stage"</formula>
    </cfRule>
    <cfRule type="beginsWith" dxfId="5468" priority="7820" operator="beginsWith" text="Entreprise">
      <formula>LEFT(T69,LEN("Entreprise"))="Entreprise"</formula>
    </cfRule>
    <cfRule type="beginsWith" dxfId="5467" priority="7822" operator="beginsWith" text="Voltaire">
      <formula>LEFT(T69,LEN("Voltaire"))="Voltaire"</formula>
    </cfRule>
  </conditionalFormatting>
  <conditionalFormatting sqref="T69">
    <cfRule type="beginsWith" dxfId="5466" priority="7817" operator="beginsWith" text="TOPHYC">
      <formula>LEFT(T69,LEN("TOPHYC"))="TOPHYC"</formula>
    </cfRule>
    <cfRule type="beginsWith" dxfId="5465" priority="7818" operator="beginsWith" text="Global Exam">
      <formula>LEFT(T69,LEN("Global Exam"))="Global Exam"</formula>
    </cfRule>
    <cfRule type="beginsWith" dxfId="5464" priority="7821" operator="beginsWith" text="TOMIC">
      <formula>LEFT(T69,LEN("TOMIC"))="TOMIC"</formula>
    </cfRule>
  </conditionalFormatting>
  <conditionalFormatting sqref="R90">
    <cfRule type="beginsWith" dxfId="5463" priority="7803" operator="beginsWith" text="Lancement Projet fil rouge">
      <formula>LEFT(R90,LEN("Lancement Projet fil rouge"))="Lancement Projet fil rouge"</formula>
    </cfRule>
  </conditionalFormatting>
  <conditionalFormatting sqref="R90">
    <cfRule type="beginsWith" dxfId="5462" priority="7804" operator="beginsWith" text="Vacances">
      <formula>LEFT(R90,LEN("Vacances"))="Vacances"</formula>
    </cfRule>
  </conditionalFormatting>
  <conditionalFormatting sqref="R90">
    <cfRule type="beginsWith" dxfId="5461" priority="7805" operator="beginsWith" text="Séminaire d'intégration">
      <formula>LEFT(R90,LEN("Séminaire d'intégration"))="Séminaire d'intégration"</formula>
    </cfRule>
  </conditionalFormatting>
  <conditionalFormatting sqref="R90">
    <cfRule type="beginsWith" dxfId="5460" priority="7806" operator="beginsWith" text="Accueil">
      <formula>LEFT(R90,LEN("Accueil"))="Accueil"</formula>
    </cfRule>
  </conditionalFormatting>
  <conditionalFormatting sqref="R90">
    <cfRule type="beginsWith" dxfId="5459" priority="7809" operator="beginsWith" text="Stage">
      <formula>LEFT(R90,LEN("Stage"))="Stage"</formula>
    </cfRule>
    <cfRule type="beginsWith" dxfId="5458" priority="7810" operator="beginsWith" text="Entreprise">
      <formula>LEFT(R90,LEN("Entreprise"))="Entreprise"</formula>
    </cfRule>
    <cfRule type="beginsWith" dxfId="5457" priority="7812" operator="beginsWith" text="Voltaire">
      <formula>LEFT(R90,LEN("Voltaire"))="Voltaire"</formula>
    </cfRule>
  </conditionalFormatting>
  <conditionalFormatting sqref="R90">
    <cfRule type="beginsWith" dxfId="5456" priority="7807" operator="beginsWith" text="TOPHYC">
      <formula>LEFT(R90,LEN("TOPHYC"))="TOPHYC"</formula>
    </cfRule>
    <cfRule type="beginsWith" dxfId="5455" priority="7808" operator="beginsWith" text="Global Exam">
      <formula>LEFT(R90,LEN("Global Exam"))="Global Exam"</formula>
    </cfRule>
    <cfRule type="beginsWith" dxfId="5454" priority="7811" operator="beginsWith" text="TOMIC">
      <formula>LEFT(R90,LEN("TOMIC"))="TOMIC"</formula>
    </cfRule>
  </conditionalFormatting>
  <conditionalFormatting sqref="T65">
    <cfRule type="beginsWith" dxfId="5453" priority="7793" operator="beginsWith" text="Lancement Projet fil rouge">
      <formula>LEFT(T65,LEN("Lancement Projet fil rouge"))="Lancement Projet fil rouge"</formula>
    </cfRule>
  </conditionalFormatting>
  <conditionalFormatting sqref="T65">
    <cfRule type="beginsWith" dxfId="5452" priority="7794" operator="beginsWith" text="Vacances">
      <formula>LEFT(T65,LEN("Vacances"))="Vacances"</formula>
    </cfRule>
  </conditionalFormatting>
  <conditionalFormatting sqref="T65">
    <cfRule type="beginsWith" dxfId="5451" priority="7795" operator="beginsWith" text="Séminaire d'intégration">
      <formula>LEFT(T65,LEN("Séminaire d'intégration"))="Séminaire d'intégration"</formula>
    </cfRule>
  </conditionalFormatting>
  <conditionalFormatting sqref="T65">
    <cfRule type="beginsWith" dxfId="5450" priority="7796" operator="beginsWith" text="Accueil">
      <formula>LEFT(T65,LEN("Accueil"))="Accueil"</formula>
    </cfRule>
  </conditionalFormatting>
  <conditionalFormatting sqref="T65">
    <cfRule type="beginsWith" dxfId="5449" priority="7799" operator="beginsWith" text="Stage">
      <formula>LEFT(T65,LEN("Stage"))="Stage"</formula>
    </cfRule>
    <cfRule type="beginsWith" dxfId="5448" priority="7800" operator="beginsWith" text="Entreprise">
      <formula>LEFT(T65,LEN("Entreprise"))="Entreprise"</formula>
    </cfRule>
    <cfRule type="beginsWith" dxfId="5447" priority="7802" operator="beginsWith" text="Voltaire">
      <formula>LEFT(T65,LEN("Voltaire"))="Voltaire"</formula>
    </cfRule>
  </conditionalFormatting>
  <conditionalFormatting sqref="T65">
    <cfRule type="beginsWith" dxfId="5446" priority="7797" operator="beginsWith" text="TOPHYC">
      <formula>LEFT(T65,LEN("TOPHYC"))="TOPHYC"</formula>
    </cfRule>
    <cfRule type="beginsWith" dxfId="5445" priority="7798" operator="beginsWith" text="Global Exam">
      <formula>LEFT(T65,LEN("Global Exam"))="Global Exam"</formula>
    </cfRule>
    <cfRule type="beginsWith" dxfId="5444" priority="7801" operator="beginsWith" text="TOMIC">
      <formula>LEFT(T65,LEN("TOMIC"))="TOMIC"</formula>
    </cfRule>
  </conditionalFormatting>
  <conditionalFormatting sqref="R149">
    <cfRule type="beginsWith" dxfId="5443" priority="7773" operator="beginsWith" text="Lancement Projet fil rouge">
      <formula>LEFT(R149,LEN("Lancement Projet fil rouge"))="Lancement Projet fil rouge"</formula>
    </cfRule>
  </conditionalFormatting>
  <conditionalFormatting sqref="R149">
    <cfRule type="beginsWith" dxfId="5442" priority="7774" operator="beginsWith" text="Vacances">
      <formula>LEFT(R149,LEN("Vacances"))="Vacances"</formula>
    </cfRule>
  </conditionalFormatting>
  <conditionalFormatting sqref="R149">
    <cfRule type="beginsWith" dxfId="5441" priority="7775" operator="beginsWith" text="Séminaire d'intégration">
      <formula>LEFT(R149,LEN("Séminaire d'intégration"))="Séminaire d'intégration"</formula>
    </cfRule>
  </conditionalFormatting>
  <conditionalFormatting sqref="R149">
    <cfRule type="beginsWith" dxfId="5440" priority="7776" operator="beginsWith" text="Accueil">
      <formula>LEFT(R149,LEN("Accueil"))="Accueil"</formula>
    </cfRule>
  </conditionalFormatting>
  <conditionalFormatting sqref="R149">
    <cfRule type="beginsWith" dxfId="5439" priority="7779" operator="beginsWith" text="Stage">
      <formula>LEFT(R149,LEN("Stage"))="Stage"</formula>
    </cfRule>
    <cfRule type="beginsWith" dxfId="5438" priority="7780" operator="beginsWith" text="Entreprise">
      <formula>LEFT(R149,LEN("Entreprise"))="Entreprise"</formula>
    </cfRule>
    <cfRule type="beginsWith" dxfId="5437" priority="7782" operator="beginsWith" text="Voltaire">
      <formula>LEFT(R149,LEN("Voltaire"))="Voltaire"</formula>
    </cfRule>
  </conditionalFormatting>
  <conditionalFormatting sqref="R149">
    <cfRule type="beginsWith" dxfId="5436" priority="7777" operator="beginsWith" text="TOPHYC">
      <formula>LEFT(R149,LEN("TOPHYC"))="TOPHYC"</formula>
    </cfRule>
    <cfRule type="beginsWith" dxfId="5435" priority="7778" operator="beginsWith" text="Global Exam">
      <formula>LEFT(R149,LEN("Global Exam"))="Global Exam"</formula>
    </cfRule>
    <cfRule type="beginsWith" dxfId="5434" priority="7781" operator="beginsWith" text="TOMIC">
      <formula>LEFT(R149,LEN("TOMIC"))="TOMIC"</formula>
    </cfRule>
  </conditionalFormatting>
  <conditionalFormatting sqref="R179">
    <cfRule type="beginsWith" dxfId="5433" priority="7763" operator="beginsWith" text="Lancement Projet fil rouge">
      <formula>LEFT(R179,LEN("Lancement Projet fil rouge"))="Lancement Projet fil rouge"</formula>
    </cfRule>
  </conditionalFormatting>
  <conditionalFormatting sqref="R179">
    <cfRule type="beginsWith" dxfId="5432" priority="7764" operator="beginsWith" text="Vacances">
      <formula>LEFT(R179,LEN("Vacances"))="Vacances"</formula>
    </cfRule>
  </conditionalFormatting>
  <conditionalFormatting sqref="R179">
    <cfRule type="beginsWith" dxfId="5431" priority="7765" operator="beginsWith" text="Séminaire d'intégration">
      <formula>LEFT(R179,LEN("Séminaire d'intégration"))="Séminaire d'intégration"</formula>
    </cfRule>
  </conditionalFormatting>
  <conditionalFormatting sqref="R179">
    <cfRule type="beginsWith" dxfId="5430" priority="7766" operator="beginsWith" text="Accueil">
      <formula>LEFT(R179,LEN("Accueil"))="Accueil"</formula>
    </cfRule>
  </conditionalFormatting>
  <conditionalFormatting sqref="R179">
    <cfRule type="beginsWith" dxfId="5429" priority="7769" operator="beginsWith" text="Stage">
      <formula>LEFT(R179,LEN("Stage"))="Stage"</formula>
    </cfRule>
    <cfRule type="beginsWith" dxfId="5428" priority="7770" operator="beginsWith" text="Entreprise">
      <formula>LEFT(R179,LEN("Entreprise"))="Entreprise"</formula>
    </cfRule>
    <cfRule type="beginsWith" dxfId="5427" priority="7772" operator="beginsWith" text="Voltaire">
      <formula>LEFT(R179,LEN("Voltaire"))="Voltaire"</formula>
    </cfRule>
  </conditionalFormatting>
  <conditionalFormatting sqref="R179">
    <cfRule type="beginsWith" dxfId="5426" priority="7767" operator="beginsWith" text="TOPHYC">
      <formula>LEFT(R179,LEN("TOPHYC"))="TOPHYC"</formula>
    </cfRule>
    <cfRule type="beginsWith" dxfId="5425" priority="7768" operator="beginsWith" text="Global Exam">
      <formula>LEFT(R179,LEN("Global Exam"))="Global Exam"</formula>
    </cfRule>
    <cfRule type="beginsWith" dxfId="5424" priority="7771" operator="beginsWith" text="TOMIC">
      <formula>LEFT(R179,LEN("TOMIC"))="TOMIC"</formula>
    </cfRule>
  </conditionalFormatting>
  <conditionalFormatting sqref="T196">
    <cfRule type="beginsWith" dxfId="5423" priority="7762" operator="beginsWith" text="Lancement Projet fil rouge">
      <formula>LEFT(T196,LEN("Lancement Projet fil rouge"))="Lancement Projet fil rouge"</formula>
    </cfRule>
  </conditionalFormatting>
  <conditionalFormatting sqref="T159">
    <cfRule type="beginsWith" dxfId="5422" priority="7752" operator="beginsWith" text="Lancement Projet fil rouge">
      <formula>LEFT(T159,LEN("Lancement Projet fil rouge"))="Lancement Projet fil rouge"</formula>
    </cfRule>
  </conditionalFormatting>
  <conditionalFormatting sqref="T159">
    <cfRule type="beginsWith" dxfId="5421" priority="7753" operator="beginsWith" text="Vacances">
      <formula>LEFT(T159,LEN("Vacances"))="Vacances"</formula>
    </cfRule>
  </conditionalFormatting>
  <conditionalFormatting sqref="T159">
    <cfRule type="beginsWith" dxfId="5420" priority="7754" operator="beginsWith" text="Séminaire d'intégration">
      <formula>LEFT(T159,LEN("Séminaire d'intégration"))="Séminaire d'intégration"</formula>
    </cfRule>
  </conditionalFormatting>
  <conditionalFormatting sqref="T159">
    <cfRule type="beginsWith" dxfId="5419" priority="7755" operator="beginsWith" text="Accueil">
      <formula>LEFT(T159,LEN("Accueil"))="Accueil"</formula>
    </cfRule>
  </conditionalFormatting>
  <conditionalFormatting sqref="T159">
    <cfRule type="beginsWith" dxfId="5418" priority="7758" operator="beginsWith" text="Stage">
      <formula>LEFT(T159,LEN("Stage"))="Stage"</formula>
    </cfRule>
    <cfRule type="beginsWith" dxfId="5417" priority="7759" operator="beginsWith" text="Entreprise">
      <formula>LEFT(T159,LEN("Entreprise"))="Entreprise"</formula>
    </cfRule>
    <cfRule type="beginsWith" dxfId="5416" priority="7761" operator="beginsWith" text="Voltaire">
      <formula>LEFT(T159,LEN("Voltaire"))="Voltaire"</formula>
    </cfRule>
  </conditionalFormatting>
  <conditionalFormatting sqref="T159">
    <cfRule type="beginsWith" dxfId="5415" priority="7756" operator="beginsWith" text="TOPHYC">
      <formula>LEFT(T159,LEN("TOPHYC"))="TOPHYC"</formula>
    </cfRule>
    <cfRule type="beginsWith" dxfId="5414" priority="7757" operator="beginsWith" text="Global Exam">
      <formula>LEFT(T159,LEN("Global Exam"))="Global Exam"</formula>
    </cfRule>
    <cfRule type="beginsWith" dxfId="5413" priority="7760" operator="beginsWith" text="TOMIC">
      <formula>LEFT(T159,LEN("TOMIC"))="TOMIC"</formula>
    </cfRule>
  </conditionalFormatting>
  <conditionalFormatting sqref="R159">
    <cfRule type="beginsWith" dxfId="5412" priority="7742" operator="beginsWith" text="Lancement Projet fil rouge">
      <formula>LEFT(R159,LEN("Lancement Projet fil rouge"))="Lancement Projet fil rouge"</formula>
    </cfRule>
  </conditionalFormatting>
  <conditionalFormatting sqref="R159">
    <cfRule type="beginsWith" dxfId="5411" priority="7743" operator="beginsWith" text="Vacances">
      <formula>LEFT(R159,LEN("Vacances"))="Vacances"</formula>
    </cfRule>
  </conditionalFormatting>
  <conditionalFormatting sqref="R159">
    <cfRule type="beginsWith" dxfId="5410" priority="7744" operator="beginsWith" text="Séminaire d'intégration">
      <formula>LEFT(R159,LEN("Séminaire d'intégration"))="Séminaire d'intégration"</formula>
    </cfRule>
  </conditionalFormatting>
  <conditionalFormatting sqref="R159">
    <cfRule type="beginsWith" dxfId="5409" priority="7745" operator="beginsWith" text="Accueil">
      <formula>LEFT(R159,LEN("Accueil"))="Accueil"</formula>
    </cfRule>
  </conditionalFormatting>
  <conditionalFormatting sqref="R159">
    <cfRule type="beginsWith" dxfId="5408" priority="7748" operator="beginsWith" text="Stage">
      <formula>LEFT(R159,LEN("Stage"))="Stage"</formula>
    </cfRule>
    <cfRule type="beginsWith" dxfId="5407" priority="7749" operator="beginsWith" text="Entreprise">
      <formula>LEFT(R159,LEN("Entreprise"))="Entreprise"</formula>
    </cfRule>
    <cfRule type="beginsWith" dxfId="5406" priority="7751" operator="beginsWith" text="Voltaire">
      <formula>LEFT(R159,LEN("Voltaire"))="Voltaire"</formula>
    </cfRule>
  </conditionalFormatting>
  <conditionalFormatting sqref="R159">
    <cfRule type="beginsWith" dxfId="5405" priority="7746" operator="beginsWith" text="TOPHYC">
      <formula>LEFT(R159,LEN("TOPHYC"))="TOPHYC"</formula>
    </cfRule>
    <cfRule type="beginsWith" dxfId="5404" priority="7747" operator="beginsWith" text="Global Exam">
      <formula>LEFT(R159,LEN("Global Exam"))="Global Exam"</formula>
    </cfRule>
    <cfRule type="beginsWith" dxfId="5403" priority="7750" operator="beginsWith" text="TOMIC">
      <formula>LEFT(R159,LEN("TOMIC"))="TOMIC"</formula>
    </cfRule>
  </conditionalFormatting>
  <conditionalFormatting sqref="T179">
    <cfRule type="beginsWith" dxfId="5402" priority="7732" operator="beginsWith" text="Lancement Projet fil rouge">
      <formula>LEFT(T179,LEN("Lancement Projet fil rouge"))="Lancement Projet fil rouge"</formula>
    </cfRule>
  </conditionalFormatting>
  <conditionalFormatting sqref="T179">
    <cfRule type="beginsWith" dxfId="5401" priority="7733" operator="beginsWith" text="Vacances">
      <formula>LEFT(T179,LEN("Vacances"))="Vacances"</formula>
    </cfRule>
  </conditionalFormatting>
  <conditionalFormatting sqref="T179">
    <cfRule type="beginsWith" dxfId="5400" priority="7734" operator="beginsWith" text="Séminaire d'intégration">
      <formula>LEFT(T179,LEN("Séminaire d'intégration"))="Séminaire d'intégration"</formula>
    </cfRule>
  </conditionalFormatting>
  <conditionalFormatting sqref="T179">
    <cfRule type="beginsWith" dxfId="5399" priority="7735" operator="beginsWith" text="Accueil">
      <formula>LEFT(T179,LEN("Accueil"))="Accueil"</formula>
    </cfRule>
  </conditionalFormatting>
  <conditionalFormatting sqref="T179">
    <cfRule type="beginsWith" dxfId="5398" priority="7738" operator="beginsWith" text="Stage">
      <formula>LEFT(T179,LEN("Stage"))="Stage"</formula>
    </cfRule>
    <cfRule type="beginsWith" dxfId="5397" priority="7739" operator="beginsWith" text="Entreprise">
      <formula>LEFT(T179,LEN("Entreprise"))="Entreprise"</formula>
    </cfRule>
    <cfRule type="beginsWith" dxfId="5396" priority="7741" operator="beginsWith" text="Voltaire">
      <formula>LEFT(T179,LEN("Voltaire"))="Voltaire"</formula>
    </cfRule>
  </conditionalFormatting>
  <conditionalFormatting sqref="T179">
    <cfRule type="beginsWith" dxfId="5395" priority="7736" operator="beginsWith" text="TOPHYC">
      <formula>LEFT(T179,LEN("TOPHYC"))="TOPHYC"</formula>
    </cfRule>
    <cfRule type="beginsWith" dxfId="5394" priority="7737" operator="beginsWith" text="Global Exam">
      <formula>LEFT(T179,LEN("Global Exam"))="Global Exam"</formula>
    </cfRule>
    <cfRule type="beginsWith" dxfId="5393" priority="7740" operator="beginsWith" text="TOMIC">
      <formula>LEFT(T179,LEN("TOMIC"))="TOMIC"</formula>
    </cfRule>
  </conditionalFormatting>
  <conditionalFormatting sqref="AE71">
    <cfRule type="beginsWith" dxfId="5392" priority="7724" operator="beginsWith" text="Projet professionnel : Séminaire PFI">
      <formula>LEFT(AE71,LEN("Projet professionnel : Séminaire PFI"))="Projet professionnel : Séminaire PFI"</formula>
    </cfRule>
    <cfRule type="beginsWith" dxfId="5391" priority="7725" operator="beginsWith" text="Lancement Projet fil rouge">
      <formula>LEFT(AE71,LEN("Lancement Projet fil rouge"))="Lancement Projet fil rouge"</formula>
    </cfRule>
    <cfRule type="beginsWith" dxfId="5390" priority="7726" operator="beginsWith" text="Vacances">
      <formula>LEFT(AE71,LEN("Vacances"))="Vacances"</formula>
    </cfRule>
    <cfRule type="beginsWith" dxfId="5389" priority="7727" operator="beginsWith" text="Séminaire d'intégration">
      <formula>LEFT(AE71,LEN("Séminaire d'intégration"))="Séminaire d'intégration"</formula>
    </cfRule>
    <cfRule type="beginsWith" dxfId="5388" priority="7728" operator="beginsWith" text="Accueil">
      <formula>LEFT(AE71,LEN("Accueil"))="Accueil"</formula>
    </cfRule>
    <cfRule type="beginsWith" dxfId="5387" priority="7729" operator="beginsWith" text="Stage">
      <formula>LEFT(AE71,LEN("Stage"))="Stage"</formula>
    </cfRule>
    <cfRule type="beginsWith" dxfId="5386" priority="7730" operator="beginsWith" text="Entreprise">
      <formula>LEFT(AE71,LEN("Entreprise"))="Entreprise"</formula>
    </cfRule>
    <cfRule type="beginsWith" dxfId="5385" priority="7731" operator="beginsWith" text="Voltaire">
      <formula>LEFT(AE71,LEN("Voltaire"))="Voltaire"</formula>
    </cfRule>
  </conditionalFormatting>
  <conditionalFormatting sqref="AE76">
    <cfRule type="beginsWith" dxfId="5384" priority="7716" operator="beginsWith" text="Projet professionnel : Séminaire PFI">
      <formula>LEFT(AE76,LEN("Projet professionnel : Séminaire PFI"))="Projet professionnel : Séminaire PFI"</formula>
    </cfRule>
    <cfRule type="beginsWith" dxfId="5383" priority="7717" operator="beginsWith" text="Lancement Projet fil rouge">
      <formula>LEFT(AE76,LEN("Lancement Projet fil rouge"))="Lancement Projet fil rouge"</formula>
    </cfRule>
    <cfRule type="beginsWith" dxfId="5382" priority="7718" operator="beginsWith" text="Vacances">
      <formula>LEFT(AE76,LEN("Vacances"))="Vacances"</formula>
    </cfRule>
    <cfRule type="beginsWith" dxfId="5381" priority="7719" operator="beginsWith" text="Séminaire d'intégration">
      <formula>LEFT(AE76,LEN("Séminaire d'intégration"))="Séminaire d'intégration"</formula>
    </cfRule>
    <cfRule type="beginsWith" dxfId="5380" priority="7720" operator="beginsWith" text="Accueil">
      <formula>LEFT(AE76,LEN("Accueil"))="Accueil"</formula>
    </cfRule>
    <cfRule type="beginsWith" dxfId="5379" priority="7721" operator="beginsWith" text="Stage">
      <formula>LEFT(AE76,LEN("Stage"))="Stage"</formula>
    </cfRule>
    <cfRule type="beginsWith" dxfId="5378" priority="7722" operator="beginsWith" text="Entreprise">
      <formula>LEFT(AE76,LEN("Entreprise"))="Entreprise"</formula>
    </cfRule>
    <cfRule type="beginsWith" dxfId="5377" priority="7723" operator="beginsWith" text="Voltaire">
      <formula>LEFT(AE76,LEN("Voltaire"))="Voltaire"</formula>
    </cfRule>
  </conditionalFormatting>
  <conditionalFormatting sqref="AE106">
    <cfRule type="beginsWith" dxfId="5376" priority="7708" operator="beginsWith" text="Projet professionnel : Séminaire PFI">
      <formula>LEFT(AE106,LEN("Projet professionnel : Séminaire PFI"))="Projet professionnel : Séminaire PFI"</formula>
    </cfRule>
    <cfRule type="beginsWith" dxfId="5375" priority="7709" operator="beginsWith" text="Lancement Projet fil rouge">
      <formula>LEFT(AE106,LEN("Lancement Projet fil rouge"))="Lancement Projet fil rouge"</formula>
    </cfRule>
    <cfRule type="beginsWith" dxfId="5374" priority="7710" operator="beginsWith" text="Vacances">
      <formula>LEFT(AE106,LEN("Vacances"))="Vacances"</formula>
    </cfRule>
    <cfRule type="beginsWith" dxfId="5373" priority="7711" operator="beginsWith" text="Séminaire d'intégration">
      <formula>LEFT(AE106,LEN("Séminaire d'intégration"))="Séminaire d'intégration"</formula>
    </cfRule>
    <cfRule type="beginsWith" dxfId="5372" priority="7712" operator="beginsWith" text="Accueil">
      <formula>LEFT(AE106,LEN("Accueil"))="Accueil"</formula>
    </cfRule>
    <cfRule type="beginsWith" dxfId="5371" priority="7713" operator="beginsWith" text="Stage">
      <formula>LEFT(AE106,LEN("Stage"))="Stage"</formula>
    </cfRule>
    <cfRule type="beginsWith" dxfId="5370" priority="7714" operator="beginsWith" text="Entreprise">
      <formula>LEFT(AE106,LEN("Entreprise"))="Entreprise"</formula>
    </cfRule>
    <cfRule type="beginsWith" dxfId="5369" priority="7715" operator="beginsWith" text="Voltaire">
      <formula>LEFT(AE106,LEN("Voltaire"))="Voltaire"</formula>
    </cfRule>
  </conditionalFormatting>
  <conditionalFormatting sqref="AE111">
    <cfRule type="beginsWith" dxfId="5368" priority="7700" operator="beginsWith" text="Projet professionnel : Séminaire PFI">
      <formula>LEFT(AE111,LEN("Projet professionnel : Séminaire PFI"))="Projet professionnel : Séminaire PFI"</formula>
    </cfRule>
    <cfRule type="beginsWith" dxfId="5367" priority="7701" operator="beginsWith" text="Lancement Projet fil rouge">
      <formula>LEFT(AE111,LEN("Lancement Projet fil rouge"))="Lancement Projet fil rouge"</formula>
    </cfRule>
    <cfRule type="beginsWith" dxfId="5366" priority="7702" operator="beginsWith" text="Vacances">
      <formula>LEFT(AE111,LEN("Vacances"))="Vacances"</formula>
    </cfRule>
    <cfRule type="beginsWith" dxfId="5365" priority="7703" operator="beginsWith" text="Séminaire d'intégration">
      <formula>LEFT(AE111,LEN("Séminaire d'intégration"))="Séminaire d'intégration"</formula>
    </cfRule>
    <cfRule type="beginsWith" dxfId="5364" priority="7704" operator="beginsWith" text="Accueil">
      <formula>LEFT(AE111,LEN("Accueil"))="Accueil"</formula>
    </cfRule>
    <cfRule type="beginsWith" dxfId="5363" priority="7705" operator="beginsWith" text="Stage">
      <formula>LEFT(AE111,LEN("Stage"))="Stage"</formula>
    </cfRule>
    <cfRule type="beginsWith" dxfId="5362" priority="7706" operator="beginsWith" text="Entreprise">
      <formula>LEFT(AE111,LEN("Entreprise"))="Entreprise"</formula>
    </cfRule>
    <cfRule type="beginsWith" dxfId="5361" priority="7707" operator="beginsWith" text="Voltaire">
      <formula>LEFT(AE111,LEN("Voltaire"))="Voltaire"</formula>
    </cfRule>
  </conditionalFormatting>
  <conditionalFormatting sqref="AE126">
    <cfRule type="beginsWith" dxfId="5360" priority="7692" operator="beginsWith" text="Projet professionnel : Séminaire PFI">
      <formula>LEFT(AE126,LEN("Projet professionnel : Séminaire PFI"))="Projet professionnel : Séminaire PFI"</formula>
    </cfRule>
    <cfRule type="beginsWith" dxfId="5359" priority="7693" operator="beginsWith" text="Lancement Projet fil rouge">
      <formula>LEFT(AE126,LEN("Lancement Projet fil rouge"))="Lancement Projet fil rouge"</formula>
    </cfRule>
    <cfRule type="beginsWith" dxfId="5358" priority="7694" operator="beginsWith" text="Vacances">
      <formula>LEFT(AE126,LEN("Vacances"))="Vacances"</formula>
    </cfRule>
    <cfRule type="beginsWith" dxfId="5357" priority="7695" operator="beginsWith" text="Séminaire d'intégration">
      <formula>LEFT(AE126,LEN("Séminaire d'intégration"))="Séminaire d'intégration"</formula>
    </cfRule>
    <cfRule type="beginsWith" dxfId="5356" priority="7696" operator="beginsWith" text="Accueil">
      <formula>LEFT(AE126,LEN("Accueil"))="Accueil"</formula>
    </cfRule>
    <cfRule type="beginsWith" dxfId="5355" priority="7697" operator="beginsWith" text="Stage">
      <formula>LEFT(AE126,LEN("Stage"))="Stage"</formula>
    </cfRule>
    <cfRule type="beginsWith" dxfId="5354" priority="7698" operator="beginsWith" text="Entreprise">
      <formula>LEFT(AE126,LEN("Entreprise"))="Entreprise"</formula>
    </cfRule>
    <cfRule type="beginsWith" dxfId="5353" priority="7699" operator="beginsWith" text="Voltaire">
      <formula>LEFT(AE126,LEN("Voltaire"))="Voltaire"</formula>
    </cfRule>
  </conditionalFormatting>
  <conditionalFormatting sqref="AE116">
    <cfRule type="beginsWith" dxfId="5352" priority="7685" operator="beginsWith" text="Lancement Projet fil rouge">
      <formula>LEFT(AE116,LEN("Lancement Projet fil rouge"))="Lancement Projet fil rouge"</formula>
    </cfRule>
  </conditionalFormatting>
  <conditionalFormatting sqref="AE116">
    <cfRule type="beginsWith" dxfId="5351" priority="7684" operator="beginsWith" text="Projet professionnel : Séminaire PFI">
      <formula>LEFT(AE116,LEN("Projet professionnel : Séminaire PFI"))="Projet professionnel : Séminaire PFI"</formula>
    </cfRule>
    <cfRule type="beginsWith" dxfId="5350" priority="7686" operator="beginsWith" text="Vacances">
      <formula>LEFT(AE116,LEN("Vacances"))="Vacances"</formula>
    </cfRule>
    <cfRule type="beginsWith" dxfId="5349" priority="7687" operator="beginsWith" text="Séminaire d'intégration">
      <formula>LEFT(AE116,LEN("Séminaire d'intégration"))="Séminaire d'intégration"</formula>
    </cfRule>
    <cfRule type="beginsWith" dxfId="5348" priority="7688" operator="beginsWith" text="Accueil">
      <formula>LEFT(AE116,LEN("Accueil"))="Accueil"</formula>
    </cfRule>
    <cfRule type="beginsWith" dxfId="5347" priority="7689" operator="beginsWith" text="Stage">
      <formula>LEFT(AE116,LEN("Stage"))="Stage"</formula>
    </cfRule>
    <cfRule type="beginsWith" dxfId="5346" priority="7690" operator="beginsWith" text="Entreprise">
      <formula>LEFT(AE116,LEN("Entreprise"))="Entreprise"</formula>
    </cfRule>
    <cfRule type="beginsWith" dxfId="5345" priority="7691" operator="beginsWith" text="Voltaire">
      <formula>LEFT(AE116,LEN("Voltaire"))="Voltaire"</formula>
    </cfRule>
  </conditionalFormatting>
  <conditionalFormatting sqref="AE121">
    <cfRule type="beginsWith" dxfId="5344" priority="7676" operator="beginsWith" text="Projet professionnel : Séminaire PFI">
      <formula>LEFT(AE121,LEN("Projet professionnel : Séminaire PFI"))="Projet professionnel : Séminaire PFI"</formula>
    </cfRule>
    <cfRule type="beginsWith" dxfId="5343" priority="7677" operator="beginsWith" text="Lancement Projet fil rouge">
      <formula>LEFT(AE121,LEN("Lancement Projet fil rouge"))="Lancement Projet fil rouge"</formula>
    </cfRule>
    <cfRule type="beginsWith" dxfId="5342" priority="7678" operator="beginsWith" text="Vacances">
      <formula>LEFT(AE121,LEN("Vacances"))="Vacances"</formula>
    </cfRule>
    <cfRule type="beginsWith" dxfId="5341" priority="7679" operator="beginsWith" text="Séminaire d'intégration">
      <formula>LEFT(AE121,LEN("Séminaire d'intégration"))="Séminaire d'intégration"</formula>
    </cfRule>
    <cfRule type="beginsWith" dxfId="5340" priority="7680" operator="beginsWith" text="Accueil">
      <formula>LEFT(AE121,LEN("Accueil"))="Accueil"</formula>
    </cfRule>
    <cfRule type="beginsWith" dxfId="5339" priority="7681" operator="beginsWith" text="Stage">
      <formula>LEFT(AE121,LEN("Stage"))="Stage"</formula>
    </cfRule>
    <cfRule type="beginsWith" dxfId="5338" priority="7682" operator="beginsWith" text="Entreprise">
      <formula>LEFT(AE121,LEN("Entreprise"))="Entreprise"</formula>
    </cfRule>
    <cfRule type="beginsWith" dxfId="5337" priority="7683" operator="beginsWith" text="Voltaire">
      <formula>LEFT(AE121,LEN("Voltaire"))="Voltaire"</formula>
    </cfRule>
  </conditionalFormatting>
  <conditionalFormatting sqref="AE141">
    <cfRule type="beginsWith" dxfId="5336" priority="7668" operator="beginsWith" text="Projet professionnel : Séminaire PFI">
      <formula>LEFT(AE141,LEN("Projet professionnel : Séminaire PFI"))="Projet professionnel : Séminaire PFI"</formula>
    </cfRule>
    <cfRule type="beginsWith" dxfId="5335" priority="7669" operator="beginsWith" text="Lancement Projet fil rouge">
      <formula>LEFT(AE141,LEN("Lancement Projet fil rouge"))="Lancement Projet fil rouge"</formula>
    </cfRule>
    <cfRule type="beginsWith" dxfId="5334" priority="7670" operator="beginsWith" text="Vacances">
      <formula>LEFT(AE141,LEN("Vacances"))="Vacances"</formula>
    </cfRule>
    <cfRule type="beginsWith" dxfId="5333" priority="7671" operator="beginsWith" text="Séminaire d'intégration">
      <formula>LEFT(AE141,LEN("Séminaire d'intégration"))="Séminaire d'intégration"</formula>
    </cfRule>
    <cfRule type="beginsWith" dxfId="5332" priority="7672" operator="beginsWith" text="Accueil">
      <formula>LEFT(AE141,LEN("Accueil"))="Accueil"</formula>
    </cfRule>
    <cfRule type="beginsWith" dxfId="5331" priority="7673" operator="beginsWith" text="Stage">
      <formula>LEFT(AE141,LEN("Stage"))="Stage"</formula>
    </cfRule>
    <cfRule type="beginsWith" dxfId="5330" priority="7674" operator="beginsWith" text="Entreprise">
      <formula>LEFT(AE141,LEN("Entreprise"))="Entreprise"</formula>
    </cfRule>
    <cfRule type="beginsWith" dxfId="5329" priority="7675" operator="beginsWith" text="Voltaire">
      <formula>LEFT(AE141,LEN("Voltaire"))="Voltaire"</formula>
    </cfRule>
  </conditionalFormatting>
  <conditionalFormatting sqref="AE146">
    <cfRule type="beginsWith" dxfId="5328" priority="7660" operator="beginsWith" text="Projet professionnel : Séminaire PFI">
      <formula>LEFT(AE146,LEN("Projet professionnel : Séminaire PFI"))="Projet professionnel : Séminaire PFI"</formula>
    </cfRule>
    <cfRule type="beginsWith" dxfId="5327" priority="7661" operator="beginsWith" text="Lancement Projet fil rouge">
      <formula>LEFT(AE146,LEN("Lancement Projet fil rouge"))="Lancement Projet fil rouge"</formula>
    </cfRule>
    <cfRule type="beginsWith" dxfId="5326" priority="7662" operator="beginsWith" text="Vacances">
      <formula>LEFT(AE146,LEN("Vacances"))="Vacances"</formula>
    </cfRule>
    <cfRule type="beginsWith" dxfId="5325" priority="7663" operator="beginsWith" text="Séminaire d'intégration">
      <formula>LEFT(AE146,LEN("Séminaire d'intégration"))="Séminaire d'intégration"</formula>
    </cfRule>
    <cfRule type="beginsWith" dxfId="5324" priority="7664" operator="beginsWith" text="Accueil">
      <formula>LEFT(AE146,LEN("Accueil"))="Accueil"</formula>
    </cfRule>
    <cfRule type="beginsWith" dxfId="5323" priority="7665" operator="beginsWith" text="Stage">
      <formula>LEFT(AE146,LEN("Stage"))="Stage"</formula>
    </cfRule>
    <cfRule type="beginsWith" dxfId="5322" priority="7666" operator="beginsWith" text="Entreprise">
      <formula>LEFT(AE146,LEN("Entreprise"))="Entreprise"</formula>
    </cfRule>
    <cfRule type="beginsWith" dxfId="5321" priority="7667" operator="beginsWith" text="Voltaire">
      <formula>LEFT(AE146,LEN("Voltaire"))="Voltaire"</formula>
    </cfRule>
  </conditionalFormatting>
  <conditionalFormatting sqref="AE151">
    <cfRule type="beginsWith" dxfId="5320" priority="7652" operator="beginsWith" text="Projet professionnel : Séminaire PFI">
      <formula>LEFT(AE151,LEN("Projet professionnel : Séminaire PFI"))="Projet professionnel : Séminaire PFI"</formula>
    </cfRule>
    <cfRule type="beginsWith" dxfId="5319" priority="7653" operator="beginsWith" text="Lancement Projet fil rouge">
      <formula>LEFT(AE151,LEN("Lancement Projet fil rouge"))="Lancement Projet fil rouge"</formula>
    </cfRule>
    <cfRule type="beginsWith" dxfId="5318" priority="7654" operator="beginsWith" text="Vacances">
      <formula>LEFT(AE151,LEN("Vacances"))="Vacances"</formula>
    </cfRule>
    <cfRule type="beginsWith" dxfId="5317" priority="7655" operator="beginsWith" text="Séminaire d'intégration">
      <formula>LEFT(AE151,LEN("Séminaire d'intégration"))="Séminaire d'intégration"</formula>
    </cfRule>
    <cfRule type="beginsWith" dxfId="5316" priority="7656" operator="beginsWith" text="Accueil">
      <formula>LEFT(AE151,LEN("Accueil"))="Accueil"</formula>
    </cfRule>
    <cfRule type="beginsWith" dxfId="5315" priority="7657" operator="beginsWith" text="Stage">
      <formula>LEFT(AE151,LEN("Stage"))="Stage"</formula>
    </cfRule>
    <cfRule type="beginsWith" dxfId="5314" priority="7658" operator="beginsWith" text="Entreprise">
      <formula>LEFT(AE151,LEN("Entreprise"))="Entreprise"</formula>
    </cfRule>
    <cfRule type="beginsWith" dxfId="5313" priority="7659" operator="beginsWith" text="Voltaire">
      <formula>LEFT(AE151,LEN("Voltaire"))="Voltaire"</formula>
    </cfRule>
  </conditionalFormatting>
  <conditionalFormatting sqref="AE181">
    <cfRule type="beginsWith" dxfId="5312" priority="7644" operator="beginsWith" text="Projet professionnel : Séminaire PFI">
      <formula>LEFT(AE181,LEN("Projet professionnel : Séminaire PFI"))="Projet professionnel : Séminaire PFI"</formula>
    </cfRule>
    <cfRule type="beginsWith" dxfId="5311" priority="7645" operator="beginsWith" text="Lancement Projet fil rouge">
      <formula>LEFT(AE181,LEN("Lancement Projet fil rouge"))="Lancement Projet fil rouge"</formula>
    </cfRule>
    <cfRule type="beginsWith" dxfId="5310" priority="7646" operator="beginsWith" text="Vacances">
      <formula>LEFT(AE181,LEN("Vacances"))="Vacances"</formula>
    </cfRule>
    <cfRule type="beginsWith" dxfId="5309" priority="7647" operator="beginsWith" text="Séminaire d'intégration">
      <formula>LEFT(AE181,LEN("Séminaire d'intégration"))="Séminaire d'intégration"</formula>
    </cfRule>
    <cfRule type="beginsWith" dxfId="5308" priority="7648" operator="beginsWith" text="Accueil">
      <formula>LEFT(AE181,LEN("Accueil"))="Accueil"</formula>
    </cfRule>
    <cfRule type="beginsWith" dxfId="5307" priority="7649" operator="beginsWith" text="Stage">
      <formula>LEFT(AE181,LEN("Stage"))="Stage"</formula>
    </cfRule>
    <cfRule type="beginsWith" dxfId="5306" priority="7650" operator="beginsWith" text="Entreprise">
      <formula>LEFT(AE181,LEN("Entreprise"))="Entreprise"</formula>
    </cfRule>
    <cfRule type="beginsWith" dxfId="5305" priority="7651" operator="beginsWith" text="Voltaire">
      <formula>LEFT(AE181,LEN("Voltaire"))="Voltaire"</formula>
    </cfRule>
  </conditionalFormatting>
  <conditionalFormatting sqref="AE186">
    <cfRule type="beginsWith" dxfId="5304" priority="7636" operator="beginsWith" text="Projet professionnel : Séminaire PFI">
      <formula>LEFT(AE186,LEN("Projet professionnel : Séminaire PFI"))="Projet professionnel : Séminaire PFI"</formula>
    </cfRule>
    <cfRule type="beginsWith" dxfId="5303" priority="7637" operator="beginsWith" text="Lancement Projet fil rouge">
      <formula>LEFT(AE186,LEN("Lancement Projet fil rouge"))="Lancement Projet fil rouge"</formula>
    </cfRule>
    <cfRule type="beginsWith" dxfId="5302" priority="7638" operator="beginsWith" text="Vacances">
      <formula>LEFT(AE186,LEN("Vacances"))="Vacances"</formula>
    </cfRule>
    <cfRule type="beginsWith" dxfId="5301" priority="7639" operator="beginsWith" text="Séminaire d'intégration">
      <formula>LEFT(AE186,LEN("Séminaire d'intégration"))="Séminaire d'intégration"</formula>
    </cfRule>
    <cfRule type="beginsWith" dxfId="5300" priority="7640" operator="beginsWith" text="Accueil">
      <formula>LEFT(AE186,LEN("Accueil"))="Accueil"</formula>
    </cfRule>
    <cfRule type="beginsWith" dxfId="5299" priority="7641" operator="beginsWith" text="Stage">
      <formula>LEFT(AE186,LEN("Stage"))="Stage"</formula>
    </cfRule>
    <cfRule type="beginsWith" dxfId="5298" priority="7642" operator="beginsWith" text="Entreprise">
      <formula>LEFT(AE186,LEN("Entreprise"))="Entreprise"</formula>
    </cfRule>
    <cfRule type="beginsWith" dxfId="5297" priority="7643" operator="beginsWith" text="Voltaire">
      <formula>LEFT(AE186,LEN("Voltaire"))="Voltaire"</formula>
    </cfRule>
  </conditionalFormatting>
  <conditionalFormatting sqref="AE206">
    <cfRule type="beginsWith" dxfId="5296" priority="7628" operator="beginsWith" text="Projet professionnel : Séminaire PFI">
      <formula>LEFT(AE206,LEN("Projet professionnel : Séminaire PFI"))="Projet professionnel : Séminaire PFI"</formula>
    </cfRule>
    <cfRule type="beginsWith" dxfId="5295" priority="7629" operator="beginsWith" text="Lancement Projet fil rouge">
      <formula>LEFT(AE206,LEN("Lancement Projet fil rouge"))="Lancement Projet fil rouge"</formula>
    </cfRule>
    <cfRule type="beginsWith" dxfId="5294" priority="7630" operator="beginsWith" text="Vacances">
      <formula>LEFT(AE206,LEN("Vacances"))="Vacances"</formula>
    </cfRule>
    <cfRule type="beginsWith" dxfId="5293" priority="7631" operator="beginsWith" text="Séminaire d'intégration">
      <formula>LEFT(AE206,LEN("Séminaire d'intégration"))="Séminaire d'intégration"</formula>
    </cfRule>
    <cfRule type="beginsWith" dxfId="5292" priority="7632" operator="beginsWith" text="Accueil">
      <formula>LEFT(AE206,LEN("Accueil"))="Accueil"</formula>
    </cfRule>
    <cfRule type="beginsWith" dxfId="5291" priority="7633" operator="beginsWith" text="Stage">
      <formula>LEFT(AE206,LEN("Stage"))="Stage"</formula>
    </cfRule>
    <cfRule type="beginsWith" dxfId="5290" priority="7634" operator="beginsWith" text="Entreprise">
      <formula>LEFT(AE206,LEN("Entreprise"))="Entreprise"</formula>
    </cfRule>
    <cfRule type="beginsWith" dxfId="5289" priority="7635" operator="beginsWith" text="Voltaire">
      <formula>LEFT(AE206,LEN("Voltaire"))="Voltaire"</formula>
    </cfRule>
  </conditionalFormatting>
  <conditionalFormatting sqref="AE216:AE220">
    <cfRule type="beginsWith" dxfId="5288" priority="7621" operator="beginsWith" text="Lancement Projet fil rouge">
      <formula>LEFT(AE216,LEN("Lancement Projet fil rouge"))="Lancement Projet fil rouge"</formula>
    </cfRule>
  </conditionalFormatting>
  <conditionalFormatting sqref="AE216:AE220">
    <cfRule type="beginsWith" dxfId="5287" priority="7620" operator="beginsWith" text="Projet professionnel : Séminaire PFI">
      <formula>LEFT(AE216,LEN("Projet professionnel : Séminaire PFI"))="Projet professionnel : Séminaire PFI"</formula>
    </cfRule>
    <cfRule type="beginsWith" dxfId="5286" priority="7622" operator="beginsWith" text="Vacances">
      <formula>LEFT(AE216,LEN("Vacances"))="Vacances"</formula>
    </cfRule>
    <cfRule type="beginsWith" dxfId="5285" priority="7623" operator="beginsWith" text="Séminaire d'intégration">
      <formula>LEFT(AE216,LEN("Séminaire d'intégration"))="Séminaire d'intégration"</formula>
    </cfRule>
    <cfRule type="beginsWith" dxfId="5284" priority="7624" operator="beginsWith" text="Accueil">
      <formula>LEFT(AE216,LEN("Accueil"))="Accueil"</formula>
    </cfRule>
    <cfRule type="beginsWith" dxfId="5283" priority="7625" operator="beginsWith" text="Stage">
      <formula>LEFT(AE216,LEN("Stage"))="Stage"</formula>
    </cfRule>
    <cfRule type="beginsWith" dxfId="5282" priority="7626" operator="beginsWith" text="Entreprise">
      <formula>LEFT(AE216,LEN("Entreprise"))="Entreprise"</formula>
    </cfRule>
    <cfRule type="beginsWith" dxfId="5281" priority="7627" operator="beginsWith" text="Voltaire">
      <formula>LEFT(AE216,LEN("Voltaire"))="Voltaire"</formula>
    </cfRule>
  </conditionalFormatting>
  <conditionalFormatting sqref="AE211">
    <cfRule type="beginsWith" dxfId="5280" priority="7612" operator="beginsWith" text="Projet professionnel : Séminaire PFI">
      <formula>LEFT(AE211,LEN("Projet professionnel : Séminaire PFI"))="Projet professionnel : Séminaire PFI"</formula>
    </cfRule>
    <cfRule type="beginsWith" dxfId="5279" priority="7613" operator="beginsWith" text="Lancement Projet fil rouge">
      <formula>LEFT(AE211,LEN("Lancement Projet fil rouge"))="Lancement Projet fil rouge"</formula>
    </cfRule>
    <cfRule type="beginsWith" dxfId="5278" priority="7614" operator="beginsWith" text="Vacances">
      <formula>LEFT(AE211,LEN("Vacances"))="Vacances"</formula>
    </cfRule>
    <cfRule type="beginsWith" dxfId="5277" priority="7615" operator="beginsWith" text="Séminaire d'intégration">
      <formula>LEFT(AE211,LEN("Séminaire d'intégration"))="Séminaire d'intégration"</formula>
    </cfRule>
    <cfRule type="beginsWith" dxfId="5276" priority="7616" operator="beginsWith" text="Accueil">
      <formula>LEFT(AE211,LEN("Accueil"))="Accueil"</formula>
    </cfRule>
    <cfRule type="beginsWith" dxfId="5275" priority="7617" operator="beginsWith" text="Stage">
      <formula>LEFT(AE211,LEN("Stage"))="Stage"</formula>
    </cfRule>
    <cfRule type="beginsWith" dxfId="5274" priority="7618" operator="beginsWith" text="Entreprise">
      <formula>LEFT(AE211,LEN("Entreprise"))="Entreprise"</formula>
    </cfRule>
    <cfRule type="beginsWith" dxfId="5273" priority="7619" operator="beginsWith" text="Voltaire">
      <formula>LEFT(AE211,LEN("Voltaire"))="Voltaire"</formula>
    </cfRule>
  </conditionalFormatting>
  <conditionalFormatting sqref="AE221">
    <cfRule type="beginsWith" dxfId="5272" priority="7605" operator="beginsWith" text="Lancement Projet fil rouge">
      <formula>LEFT(AE221,LEN("Lancement Projet fil rouge"))="Lancement Projet fil rouge"</formula>
    </cfRule>
  </conditionalFormatting>
  <conditionalFormatting sqref="AE221">
    <cfRule type="beginsWith" dxfId="5271" priority="7604" operator="beginsWith" text="Projet professionnel : Séminaire PFI">
      <formula>LEFT(AE221,LEN("Projet professionnel : Séminaire PFI"))="Projet professionnel : Séminaire PFI"</formula>
    </cfRule>
    <cfRule type="beginsWith" dxfId="5270" priority="7606" operator="beginsWith" text="Vacances">
      <formula>LEFT(AE221,LEN("Vacances"))="Vacances"</formula>
    </cfRule>
    <cfRule type="beginsWith" dxfId="5269" priority="7607" operator="beginsWith" text="Séminaire d'intégration">
      <formula>LEFT(AE221,LEN("Séminaire d'intégration"))="Séminaire d'intégration"</formula>
    </cfRule>
    <cfRule type="beginsWith" dxfId="5268" priority="7608" operator="beginsWith" text="Accueil">
      <formula>LEFT(AE221,LEN("Accueil"))="Accueil"</formula>
    </cfRule>
    <cfRule type="beginsWith" dxfId="5267" priority="7609" operator="beginsWith" text="Stage">
      <formula>LEFT(AE221,LEN("Stage"))="Stage"</formula>
    </cfRule>
    <cfRule type="beginsWith" dxfId="5266" priority="7610" operator="beginsWith" text="Entreprise">
      <formula>LEFT(AE221,LEN("Entreprise"))="Entreprise"</formula>
    </cfRule>
    <cfRule type="beginsWith" dxfId="5265" priority="7611" operator="beginsWith" text="Voltaire">
      <formula>LEFT(AE221,LEN("Voltaire"))="Voltaire"</formula>
    </cfRule>
  </conditionalFormatting>
  <conditionalFormatting sqref="AE221">
    <cfRule type="beginsWith" dxfId="5264" priority="7596" operator="beginsWith" text="Projet professionnel : Séminaire PFI">
      <formula>LEFT(AE221,LEN("Projet professionnel : Séminaire PFI"))="Projet professionnel : Séminaire PFI"</formula>
    </cfRule>
    <cfRule type="beginsWith" dxfId="5263" priority="7597" operator="beginsWith" text="Lancement Projet fil rouge">
      <formula>LEFT(AE221,LEN("Lancement Projet fil rouge"))="Lancement Projet fil rouge"</formula>
    </cfRule>
    <cfRule type="beginsWith" dxfId="5262" priority="7598" operator="beginsWith" text="Vacances">
      <formula>LEFT(AE221,LEN("Vacances"))="Vacances"</formula>
    </cfRule>
    <cfRule type="beginsWith" dxfId="5261" priority="7599" operator="beginsWith" text="Séminaire d'intégration">
      <formula>LEFT(AE221,LEN("Séminaire d'intégration"))="Séminaire d'intégration"</formula>
    </cfRule>
    <cfRule type="beginsWith" dxfId="5260" priority="7600" operator="beginsWith" text="Accueil">
      <formula>LEFT(AE221,LEN("Accueil"))="Accueil"</formula>
    </cfRule>
    <cfRule type="beginsWith" dxfId="5259" priority="7601" operator="beginsWith" text="Stage">
      <formula>LEFT(AE221,LEN("Stage"))="Stage"</formula>
    </cfRule>
    <cfRule type="beginsWith" dxfId="5258" priority="7602" operator="beginsWith" text="Entreprise">
      <formula>LEFT(AE221,LEN("Entreprise"))="Entreprise"</formula>
    </cfRule>
    <cfRule type="beginsWith" dxfId="5257" priority="7603" operator="beginsWith" text="Voltaire">
      <formula>LEFT(AE221,LEN("Voltaire"))="Voltaire"</formula>
    </cfRule>
  </conditionalFormatting>
  <conditionalFormatting sqref="AE230">
    <cfRule type="beginsWith" dxfId="5256" priority="7588" operator="beginsWith" text="Projet professionnel : Séminaire PFI">
      <formula>LEFT(AE230,LEN("Projet professionnel : Séminaire PFI"))="Projet professionnel : Séminaire PFI"</formula>
    </cfRule>
    <cfRule type="beginsWith" dxfId="5255" priority="7589" operator="beginsWith" text="Lancement Projet fil rouge">
      <formula>LEFT(AE230,LEN("Lancement Projet fil rouge"))="Lancement Projet fil rouge"</formula>
    </cfRule>
    <cfRule type="beginsWith" dxfId="5254" priority="7590" operator="beginsWith" text="Vacances">
      <formula>LEFT(AE230,LEN("Vacances"))="Vacances"</formula>
    </cfRule>
    <cfRule type="beginsWith" dxfId="5253" priority="7591" operator="beginsWith" text="Séminaire d'intégration">
      <formula>LEFT(AE230,LEN("Séminaire d'intégration"))="Séminaire d'intégration"</formula>
    </cfRule>
    <cfRule type="beginsWith" dxfId="5252" priority="7592" operator="beginsWith" text="Accueil">
      <formula>LEFT(AE230,LEN("Accueil"))="Accueil"</formula>
    </cfRule>
    <cfRule type="beginsWith" dxfId="5251" priority="7593" operator="beginsWith" text="Stage">
      <formula>LEFT(AE230,LEN("Stage"))="Stage"</formula>
    </cfRule>
    <cfRule type="beginsWith" dxfId="5250" priority="7594" operator="beginsWith" text="Entreprise">
      <formula>LEFT(AE230,LEN("Entreprise"))="Entreprise"</formula>
    </cfRule>
    <cfRule type="beginsWith" dxfId="5249" priority="7595" operator="beginsWith" text="Voltaire">
      <formula>LEFT(AE230,LEN("Voltaire"))="Voltaire"</formula>
    </cfRule>
  </conditionalFormatting>
  <conditionalFormatting sqref="AE241">
    <cfRule type="beginsWith" dxfId="5248" priority="7580" operator="beginsWith" text="Projet professionnel : Séminaire PFI">
      <formula>LEFT(AE241,LEN("Projet professionnel : Séminaire PFI"))="Projet professionnel : Séminaire PFI"</formula>
    </cfRule>
    <cfRule type="beginsWith" dxfId="5247" priority="7581" operator="beginsWith" text="Lancement Projet fil rouge">
      <formula>LEFT(AE241,LEN("Lancement Projet fil rouge"))="Lancement Projet fil rouge"</formula>
    </cfRule>
    <cfRule type="beginsWith" dxfId="5246" priority="7582" operator="beginsWith" text="Vacances">
      <formula>LEFT(AE241,LEN("Vacances"))="Vacances"</formula>
    </cfRule>
    <cfRule type="beginsWith" dxfId="5245" priority="7583" operator="beginsWith" text="Séminaire d'intégration">
      <formula>LEFT(AE241,LEN("Séminaire d'intégration"))="Séminaire d'intégration"</formula>
    </cfRule>
    <cfRule type="beginsWith" dxfId="5244" priority="7584" operator="beginsWith" text="Accueil">
      <formula>LEFT(AE241,LEN("Accueil"))="Accueil"</formula>
    </cfRule>
    <cfRule type="beginsWith" dxfId="5243" priority="7585" operator="beginsWith" text="Stage">
      <formula>LEFT(AE241,LEN("Stage"))="Stage"</formula>
    </cfRule>
    <cfRule type="beginsWith" dxfId="5242" priority="7586" operator="beginsWith" text="Entreprise">
      <formula>LEFT(AE241,LEN("Entreprise"))="Entreprise"</formula>
    </cfRule>
    <cfRule type="beginsWith" dxfId="5241" priority="7587" operator="beginsWith" text="Voltaire">
      <formula>LEFT(AE241,LEN("Voltaire"))="Voltaire"</formula>
    </cfRule>
  </conditionalFormatting>
  <conditionalFormatting sqref="AL239:AL240">
    <cfRule type="beginsWith" dxfId="5240" priority="7573" operator="beginsWith" text="Lancement Projet fil rouge">
      <formula>LEFT(AL239,LEN("Lancement Projet fil rouge"))="Lancement Projet fil rouge"</formula>
    </cfRule>
  </conditionalFormatting>
  <conditionalFormatting sqref="AL239:AL240">
    <cfRule type="beginsWith" dxfId="5239" priority="7574" operator="beginsWith" text="Vacances">
      <formula>LEFT(AL239,LEN("Vacances"))="Vacances"</formula>
    </cfRule>
  </conditionalFormatting>
  <conditionalFormatting sqref="AL239:AL240">
    <cfRule type="beginsWith" dxfId="5238" priority="7575" operator="beginsWith" text="Séminaire d'intégration">
      <formula>LEFT(AL239,LEN("Séminaire d'intégration"))="Séminaire d'intégration"</formula>
    </cfRule>
  </conditionalFormatting>
  <conditionalFormatting sqref="AL239:AL240">
    <cfRule type="beginsWith" dxfId="5237" priority="7576" operator="beginsWith" text="Accueil">
      <formula>LEFT(AL239,LEN("Accueil"))="Accueil"</formula>
    </cfRule>
  </conditionalFormatting>
  <conditionalFormatting sqref="AL239:AL240">
    <cfRule type="beginsWith" dxfId="5236" priority="7577" operator="beginsWith" text="Stage">
      <formula>LEFT(AL239,LEN("Stage"))="Stage"</formula>
    </cfRule>
    <cfRule type="beginsWith" dxfId="5235" priority="7578" operator="beginsWith" text="Entreprise">
      <formula>LEFT(AL239,LEN("Entreprise"))="Entreprise"</formula>
    </cfRule>
    <cfRule type="beginsWith" dxfId="5234" priority="7579" operator="beginsWith" text="Voltaire">
      <formula>LEFT(AL239,LEN("Voltaire"))="Voltaire"</formula>
    </cfRule>
  </conditionalFormatting>
  <conditionalFormatting sqref="AL236">
    <cfRule type="beginsWith" dxfId="5233" priority="7563" operator="beginsWith" text="Lancement Projet fil rouge">
      <formula>LEFT(AL236,LEN("Lancement Projet fil rouge"))="Lancement Projet fil rouge"</formula>
    </cfRule>
  </conditionalFormatting>
  <conditionalFormatting sqref="AL236">
    <cfRule type="beginsWith" dxfId="5232" priority="7564" operator="beginsWith" text="Vacances">
      <formula>LEFT(AL236,LEN("Vacances"))="Vacances"</formula>
    </cfRule>
  </conditionalFormatting>
  <conditionalFormatting sqref="AL236">
    <cfRule type="beginsWith" dxfId="5231" priority="7565" operator="beginsWith" text="Séminaire d'intégration">
      <formula>LEFT(AL236,LEN("Séminaire d'intégration"))="Séminaire d'intégration"</formula>
    </cfRule>
  </conditionalFormatting>
  <conditionalFormatting sqref="AL236">
    <cfRule type="beginsWith" dxfId="5230" priority="7566" operator="beginsWith" text="Accueil">
      <formula>LEFT(AL236,LEN("Accueil"))="Accueil"</formula>
    </cfRule>
  </conditionalFormatting>
  <conditionalFormatting sqref="AL236">
    <cfRule type="beginsWith" dxfId="5229" priority="7569" operator="beginsWith" text="Stage">
      <formula>LEFT(AL236,LEN("Stage"))="Stage"</formula>
    </cfRule>
    <cfRule type="beginsWith" dxfId="5228" priority="7570" operator="beginsWith" text="Entreprise">
      <formula>LEFT(AL236,LEN("Entreprise"))="Entreprise"</formula>
    </cfRule>
    <cfRule type="beginsWith" dxfId="5227" priority="7572" operator="beginsWith" text="Voltaire">
      <formula>LEFT(AL236,LEN("Voltaire"))="Voltaire"</formula>
    </cfRule>
  </conditionalFormatting>
  <conditionalFormatting sqref="AL236">
    <cfRule type="beginsWith" dxfId="5226" priority="7567" operator="beginsWith" text="TOPHYC">
      <formula>LEFT(AL236,LEN("TOPHYC"))="TOPHYC"</formula>
    </cfRule>
    <cfRule type="beginsWith" dxfId="5225" priority="7568" operator="beginsWith" text="Global Exam">
      <formula>LEFT(AL236,LEN("Global Exam"))="Global Exam"</formula>
    </cfRule>
    <cfRule type="beginsWith" dxfId="5224" priority="7571" operator="beginsWith" text="TOMIC">
      <formula>LEFT(AL236,LEN("TOMIC"))="TOMIC"</formula>
    </cfRule>
  </conditionalFormatting>
  <conditionalFormatting sqref="AL233:AL234">
    <cfRule type="beginsWith" dxfId="5223" priority="7556" operator="beginsWith" text="Lancement Projet fil rouge">
      <formula>LEFT(AL233,LEN("Lancement Projet fil rouge"))="Lancement Projet fil rouge"</formula>
    </cfRule>
  </conditionalFormatting>
  <conditionalFormatting sqref="AL233:AL234">
    <cfRule type="beginsWith" dxfId="5222" priority="7557" operator="beginsWith" text="Vacances">
      <formula>LEFT(AL233,LEN("Vacances"))="Vacances"</formula>
    </cfRule>
  </conditionalFormatting>
  <conditionalFormatting sqref="AL233:AL234">
    <cfRule type="beginsWith" dxfId="5221" priority="7558" operator="beginsWith" text="Séminaire d'intégration">
      <formula>LEFT(AL233,LEN("Séminaire d'intégration"))="Séminaire d'intégration"</formula>
    </cfRule>
  </conditionalFormatting>
  <conditionalFormatting sqref="AL233:AL234">
    <cfRule type="beginsWith" dxfId="5220" priority="7559" operator="beginsWith" text="Accueil">
      <formula>LEFT(AL233,LEN("Accueil"))="Accueil"</formula>
    </cfRule>
  </conditionalFormatting>
  <conditionalFormatting sqref="AL233:AL234">
    <cfRule type="beginsWith" dxfId="5219" priority="7560" operator="beginsWith" text="Stage">
      <formula>LEFT(AL233,LEN("Stage"))="Stage"</formula>
    </cfRule>
    <cfRule type="beginsWith" dxfId="5218" priority="7561" operator="beginsWith" text="Entreprise">
      <formula>LEFT(AL233,LEN("Entreprise"))="Entreprise"</formula>
    </cfRule>
    <cfRule type="beginsWith" dxfId="5217" priority="7562" operator="beginsWith" text="Voltaire">
      <formula>LEFT(AL233,LEN("Voltaire"))="Voltaire"</formula>
    </cfRule>
  </conditionalFormatting>
  <conditionalFormatting sqref="X254:X1048576">
    <cfRule type="beginsWith" dxfId="5216" priority="7551" operator="beginsWith" text="Séminaire d'intégration">
      <formula>LEFT(X254,LEN("Séminaire d'intégration"))="Séminaire d'intégration"</formula>
    </cfRule>
  </conditionalFormatting>
  <conditionalFormatting sqref="X254:X1048576">
    <cfRule type="beginsWith" dxfId="5215" priority="7552" operator="beginsWith" text="Accueil">
      <formula>LEFT(X254,LEN("Accueil"))="Accueil"</formula>
    </cfRule>
  </conditionalFormatting>
  <conditionalFormatting sqref="X1:X3 X5 X43:X55 X61 X171">
    <cfRule type="beginsWith" dxfId="5214" priority="7541" operator="beginsWith" text="Lancement Projet fil rouge">
      <formula>LEFT(X1,LEN("Lancement Projet fil rouge"))="Lancement Projet fil rouge"</formula>
    </cfRule>
  </conditionalFormatting>
  <conditionalFormatting sqref="X21">
    <cfRule type="beginsWith" dxfId="5213" priority="7492" operator="beginsWith" text="Projet professionnel : Séminaire PFI">
      <formula>LEFT(X21,LEN("Projet professionnel : Séminaire PFI"))="Projet professionnel : Séminaire PFI"</formula>
    </cfRule>
    <cfRule type="beginsWith" dxfId="5212" priority="7493" operator="beginsWith" text="Lancement Projet fil rouge">
      <formula>LEFT(X21,LEN("Lancement Projet fil rouge"))="Lancement Projet fil rouge"</formula>
    </cfRule>
    <cfRule type="beginsWith" dxfId="5211" priority="7494" operator="beginsWith" text="Vacances">
      <formula>LEFT(X21,LEN("Vacances"))="Vacances"</formula>
    </cfRule>
    <cfRule type="beginsWith" dxfId="5210" priority="7495" operator="beginsWith" text="Séminaire d'intégration">
      <formula>LEFT(X21,LEN("Séminaire d'intégration"))="Séminaire d'intégration"</formula>
    </cfRule>
    <cfRule type="beginsWith" dxfId="5209" priority="7496" operator="beginsWith" text="Accueil">
      <formula>LEFT(X21,LEN("Accueil"))="Accueil"</formula>
    </cfRule>
    <cfRule type="beginsWith" dxfId="5208" priority="7497" operator="beginsWith" text="Stage">
      <formula>LEFT(X21,LEN("Stage"))="Stage"</formula>
    </cfRule>
    <cfRule type="beginsWith" dxfId="5207" priority="7498" operator="beginsWith" text="Entreprise">
      <formula>LEFT(X21,LEN("Entreprise"))="Entreprise"</formula>
    </cfRule>
    <cfRule type="beginsWith" dxfId="5206" priority="7499" operator="beginsWith" text="Voltaire">
      <formula>LEFT(X21,LEN("Voltaire"))="Voltaire"</formula>
    </cfRule>
  </conditionalFormatting>
  <conditionalFormatting sqref="X31">
    <cfRule type="beginsWith" dxfId="5205" priority="7500" operator="beginsWith" text="Projet professionnel : Séminaire PFI">
      <formula>LEFT(X31,LEN("Projet professionnel : Séminaire PFI"))="Projet professionnel : Séminaire PFI"</formula>
    </cfRule>
    <cfRule type="beginsWith" dxfId="5204" priority="7501" operator="beginsWith" text="Lancement Projet fil rouge">
      <formula>LEFT(X31,LEN("Lancement Projet fil rouge"))="Lancement Projet fil rouge"</formula>
    </cfRule>
    <cfRule type="beginsWith" dxfId="5203" priority="7502" operator="beginsWith" text="Vacances">
      <formula>LEFT(X31,LEN("Vacances"))="Vacances"</formula>
    </cfRule>
    <cfRule type="beginsWith" dxfId="5202" priority="7503" operator="beginsWith" text="Séminaire d'intégration">
      <formula>LEFT(X31,LEN("Séminaire d'intégration"))="Séminaire d'intégration"</formula>
    </cfRule>
    <cfRule type="beginsWith" dxfId="5201" priority="7504" operator="beginsWith" text="Accueil">
      <formula>LEFT(X31,LEN("Accueil"))="Accueil"</formula>
    </cfRule>
    <cfRule type="beginsWith" dxfId="5200" priority="7505" operator="beginsWith" text="Stage">
      <formula>LEFT(X31,LEN("Stage"))="Stage"</formula>
    </cfRule>
    <cfRule type="beginsWith" dxfId="5199" priority="7506" operator="beginsWith" text="Entreprise">
      <formula>LEFT(X31,LEN("Entreprise"))="Entreprise"</formula>
    </cfRule>
    <cfRule type="beginsWith" dxfId="5198" priority="7507" operator="beginsWith" text="Voltaire">
      <formula>LEFT(X31,LEN("Voltaire"))="Voltaire"</formula>
    </cfRule>
  </conditionalFormatting>
  <conditionalFormatting sqref="X41:X42">
    <cfRule type="beginsWith" dxfId="5197" priority="7508" operator="beginsWith" text="Projet professionnel : Séminaire PFI">
      <formula>LEFT(X41,LEN("Projet professionnel : Séminaire PFI"))="Projet professionnel : Séminaire PFI"</formula>
    </cfRule>
    <cfRule type="beginsWith" dxfId="5196" priority="7509" operator="beginsWith" text="Lancement Projet fil rouge">
      <formula>LEFT(X41,LEN("Lancement Projet fil rouge"))="Lancement Projet fil rouge"</formula>
    </cfRule>
    <cfRule type="beginsWith" dxfId="5195" priority="7510" operator="beginsWith" text="Vacances">
      <formula>LEFT(X41,LEN("Vacances"))="Vacances"</formula>
    </cfRule>
    <cfRule type="beginsWith" dxfId="5194" priority="7511" operator="beginsWith" text="Séminaire d'intégration">
      <formula>LEFT(X41,LEN("Séminaire d'intégration"))="Séminaire d'intégration"</formula>
    </cfRule>
    <cfRule type="beginsWith" dxfId="5193" priority="7512" operator="beginsWith" text="Accueil">
      <formula>LEFT(X41,LEN("Accueil"))="Accueil"</formula>
    </cfRule>
    <cfRule type="beginsWith" dxfId="5192" priority="7513" operator="beginsWith" text="Stage">
      <formula>LEFT(X41,LEN("Stage"))="Stage"</formula>
    </cfRule>
    <cfRule type="beginsWith" dxfId="5191" priority="7514" operator="beginsWith" text="Entreprise">
      <formula>LEFT(X41,LEN("Entreprise"))="Entreprise"</formula>
    </cfRule>
    <cfRule type="beginsWith" dxfId="5190" priority="7515" operator="beginsWith" text="Voltaire">
      <formula>LEFT(X41,LEN("Voltaire"))="Voltaire"</formula>
    </cfRule>
  </conditionalFormatting>
  <conditionalFormatting sqref="X56">
    <cfRule type="beginsWith" dxfId="5189" priority="7516" operator="beginsWith" text="Projet professionnel : Séminaire PFI">
      <formula>LEFT(X56,LEN("Projet professionnel : Séminaire PFI"))="Projet professionnel : Séminaire PFI"</formula>
    </cfRule>
    <cfRule type="beginsWith" dxfId="5188" priority="7517" operator="beginsWith" text="Lancement Projet fil rouge">
      <formula>LEFT(X56,LEN("Lancement Projet fil rouge"))="Lancement Projet fil rouge"</formula>
    </cfRule>
    <cfRule type="beginsWith" dxfId="5187" priority="7518" operator="beginsWith" text="Vacances">
      <formula>LEFT(X56,LEN("Vacances"))="Vacances"</formula>
    </cfRule>
    <cfRule type="beginsWith" dxfId="5186" priority="7519" operator="beginsWith" text="Séminaire d'intégration">
      <formula>LEFT(X56,LEN("Séminaire d'intégration"))="Séminaire d'intégration"</formula>
    </cfRule>
    <cfRule type="beginsWith" dxfId="5185" priority="7520" operator="beginsWith" text="Accueil">
      <formula>LEFT(X56,LEN("Accueil"))="Accueil"</formula>
    </cfRule>
    <cfRule type="beginsWith" dxfId="5184" priority="7521" operator="beginsWith" text="Stage">
      <formula>LEFT(X56,LEN("Stage"))="Stage"</formula>
    </cfRule>
    <cfRule type="beginsWith" dxfId="5183" priority="7522" operator="beginsWith" text="Entreprise">
      <formula>LEFT(X56,LEN("Entreprise"))="Entreprise"</formula>
    </cfRule>
    <cfRule type="beginsWith" dxfId="5182" priority="7523" operator="beginsWith" text="Voltaire">
      <formula>LEFT(X56,LEN("Voltaire"))="Voltaire"</formula>
    </cfRule>
  </conditionalFormatting>
  <conditionalFormatting sqref="X66:X70">
    <cfRule type="beginsWith" dxfId="5181" priority="7436" operator="beginsWith" text="Projet professionnel : Séminaire PFI">
      <formula>LEFT(X66,LEN("Projet professionnel : Séminaire PFI"))="Projet professionnel : Séminaire PFI"</formula>
    </cfRule>
    <cfRule type="beginsWith" dxfId="5180" priority="7437" operator="beginsWith" text="Lancement Projet fil rouge">
      <formula>LEFT(X66,LEN("Lancement Projet fil rouge"))="Lancement Projet fil rouge"</formula>
    </cfRule>
    <cfRule type="beginsWith" dxfId="5179" priority="7438" operator="beginsWith" text="Vacances">
      <formula>LEFT(X66,LEN("Vacances"))="Vacances"</formula>
    </cfRule>
    <cfRule type="beginsWith" dxfId="5178" priority="7439" operator="beginsWith" text="Séminaire d'intégration">
      <formula>LEFT(X66,LEN("Séminaire d'intégration"))="Séminaire d'intégration"</formula>
    </cfRule>
    <cfRule type="beginsWith" dxfId="5177" priority="7440" operator="beginsWith" text="Accueil">
      <formula>LEFT(X66,LEN("Accueil"))="Accueil"</formula>
    </cfRule>
    <cfRule type="beginsWith" dxfId="5176" priority="7441" operator="beginsWith" text="Stage">
      <formula>LEFT(X66,LEN("Stage"))="Stage"</formula>
    </cfRule>
    <cfRule type="beginsWith" dxfId="5175" priority="7442" operator="beginsWith" text="Entreprise">
      <formula>LEFT(X66,LEN("Entreprise"))="Entreprise"</formula>
    </cfRule>
    <cfRule type="beginsWith" dxfId="5174" priority="7443" operator="beginsWith" text="Voltaire">
      <formula>LEFT(X66,LEN("Voltaire"))="Voltaire"</formula>
    </cfRule>
  </conditionalFormatting>
  <conditionalFormatting sqref="X86">
    <cfRule type="beginsWith" dxfId="5173" priority="7444" operator="beginsWith" text="Projet professionnel : Séminaire PFI">
      <formula>LEFT(X86,LEN("Projet professionnel : Séminaire PFI"))="Projet professionnel : Séminaire PFI"</formula>
    </cfRule>
    <cfRule type="beginsWith" dxfId="5172" priority="7446" operator="beginsWith" text="Vacances">
      <formula>LEFT(X86,LEN("Vacances"))="Vacances"</formula>
    </cfRule>
    <cfRule type="beginsWith" dxfId="5171" priority="7447" operator="beginsWith" text="Séminaire d'intégration">
      <formula>LEFT(X86,LEN("Séminaire d'intégration"))="Séminaire d'intégration"</formula>
    </cfRule>
    <cfRule type="beginsWith" dxfId="5170" priority="7448" operator="beginsWith" text="Accueil">
      <formula>LEFT(X86,LEN("Accueil"))="Accueil"</formula>
    </cfRule>
    <cfRule type="beginsWith" dxfId="5169" priority="7449" operator="beginsWith" text="Stage">
      <formula>LEFT(X86,LEN("Stage"))="Stage"</formula>
    </cfRule>
    <cfRule type="beginsWith" dxfId="5168" priority="7450" operator="beginsWith" text="Entreprise">
      <formula>LEFT(X86,LEN("Entreprise"))="Entreprise"</formula>
    </cfRule>
    <cfRule type="beginsWith" dxfId="5167" priority="7451" operator="beginsWith" text="Voltaire">
      <formula>LEFT(X86,LEN("Voltaire"))="Voltaire"</formula>
    </cfRule>
  </conditionalFormatting>
  <conditionalFormatting sqref="X91:X95 X101:X105">
    <cfRule type="beginsWith" dxfId="5166" priority="7460" operator="beginsWith" text="Projet professionnel : Séminaire PFI">
      <formula>LEFT(X91,LEN("Projet professionnel : Séminaire PFI"))="Projet professionnel : Séminaire PFI"</formula>
    </cfRule>
    <cfRule type="beginsWith" dxfId="5165" priority="7461" operator="beginsWith" text="Lancement Projet fil rouge">
      <formula>LEFT(X91,LEN("Lancement Projet fil rouge"))="Lancement Projet fil rouge"</formula>
    </cfRule>
    <cfRule type="beginsWith" dxfId="5164" priority="7462" operator="beginsWith" text="Vacances">
      <formula>LEFT(X91,LEN("Vacances"))="Vacances"</formula>
    </cfRule>
    <cfRule type="beginsWith" dxfId="5163" priority="7463" operator="beginsWith" text="Séminaire d'intégration">
      <formula>LEFT(X91,LEN("Séminaire d'intégration"))="Séminaire d'intégration"</formula>
    </cfRule>
    <cfRule type="beginsWith" dxfId="5162" priority="7464" operator="beginsWith" text="Accueil">
      <formula>LEFT(X91,LEN("Accueil"))="Accueil"</formula>
    </cfRule>
    <cfRule type="beginsWith" dxfId="5161" priority="7465" operator="beginsWith" text="Stage">
      <formula>LEFT(X91,LEN("Stage"))="Stage"</formula>
    </cfRule>
    <cfRule type="beginsWith" dxfId="5160" priority="7466" operator="beginsWith" text="Entreprise">
      <formula>LEFT(X91,LEN("Entreprise"))="Entreprise"</formula>
    </cfRule>
    <cfRule type="beginsWith" dxfId="5159" priority="7467" operator="beginsWith" text="Voltaire">
      <formula>LEFT(X91,LEN("Voltaire"))="Voltaire"</formula>
    </cfRule>
  </conditionalFormatting>
  <conditionalFormatting sqref="X96">
    <cfRule type="beginsWith" dxfId="5158" priority="7452" operator="beginsWith" text="Projet professionnel : Séminaire PFI">
      <formula>LEFT(X96,LEN("Projet professionnel : Séminaire PFI"))="Projet professionnel : Séminaire PFI"</formula>
    </cfRule>
    <cfRule type="beginsWith" dxfId="5157" priority="7453" operator="beginsWith" text="Lancement Projet fil rouge">
      <formula>LEFT(X96,LEN("Lancement Projet fil rouge"))="Lancement Projet fil rouge"</formula>
    </cfRule>
    <cfRule type="beginsWith" dxfId="5156" priority="7454" operator="beginsWith" text="Vacances">
      <formula>LEFT(X96,LEN("Vacances"))="Vacances"</formula>
    </cfRule>
    <cfRule type="beginsWith" dxfId="5155" priority="7455" operator="beginsWith" text="Séminaire d'intégration">
      <formula>LEFT(X96,LEN("Séminaire d'intégration"))="Séminaire d'intégration"</formula>
    </cfRule>
    <cfRule type="beginsWith" dxfId="5154" priority="7456" operator="beginsWith" text="Accueil">
      <formula>LEFT(X96,LEN("Accueil"))="Accueil"</formula>
    </cfRule>
    <cfRule type="beginsWith" dxfId="5153" priority="7457" operator="beginsWith" text="Stage">
      <formula>LEFT(X96,LEN("Stage"))="Stage"</formula>
    </cfRule>
    <cfRule type="beginsWith" dxfId="5152" priority="7458" operator="beginsWith" text="Entreprise">
      <formula>LEFT(X96,LEN("Entreprise"))="Entreprise"</formula>
    </cfRule>
    <cfRule type="beginsWith" dxfId="5151" priority="7459" operator="beginsWith" text="Voltaire">
      <formula>LEFT(X96,LEN("Voltaire"))="Voltaire"</formula>
    </cfRule>
  </conditionalFormatting>
  <conditionalFormatting sqref="X131">
    <cfRule type="beginsWith" dxfId="5150" priority="7532" operator="beginsWith" text="Projet professionnel : Séminaire PFI">
      <formula>LEFT(X131,LEN("Projet professionnel : Séminaire PFI"))="Projet professionnel : Séminaire PFI"</formula>
    </cfRule>
    <cfRule type="beginsWith" dxfId="5149" priority="7533" operator="beginsWith" text="Lancement Projet fil rouge">
      <formula>LEFT(X131,LEN("Lancement Projet fil rouge"))="Lancement Projet fil rouge"</formula>
    </cfRule>
    <cfRule type="beginsWith" dxfId="5148" priority="7534" operator="beginsWith" text="Vacances">
      <formula>LEFT(X131,LEN("Vacances"))="Vacances"</formula>
    </cfRule>
    <cfRule type="beginsWith" dxfId="5147" priority="7535" operator="beginsWith" text="Séminaire d'intégration">
      <formula>LEFT(X131,LEN("Séminaire d'intégration"))="Séminaire d'intégration"</formula>
    </cfRule>
    <cfRule type="beginsWith" dxfId="5146" priority="7536" operator="beginsWith" text="Accueil">
      <formula>LEFT(X131,LEN("Accueil"))="Accueil"</formula>
    </cfRule>
    <cfRule type="beginsWith" dxfId="5145" priority="7537" operator="beginsWith" text="Stage">
      <formula>LEFT(X131,LEN("Stage"))="Stage"</formula>
    </cfRule>
    <cfRule type="beginsWith" dxfId="5144" priority="7538" operator="beginsWith" text="Entreprise">
      <formula>LEFT(X131,LEN("Entreprise"))="Entreprise"</formula>
    </cfRule>
    <cfRule type="beginsWith" dxfId="5143" priority="7539" operator="beginsWith" text="Voltaire">
      <formula>LEFT(X131,LEN("Voltaire"))="Voltaire"</formula>
    </cfRule>
  </conditionalFormatting>
  <conditionalFormatting sqref="X136:X139">
    <cfRule type="beginsWith" dxfId="5142" priority="7524" operator="beginsWith" text="Projet professionnel : Séminaire PFI">
      <formula>LEFT(X136,LEN("Projet professionnel : Séminaire PFI"))="Projet professionnel : Séminaire PFI"</formula>
    </cfRule>
    <cfRule type="beginsWith" dxfId="5141" priority="7525" operator="beginsWith" text="Lancement Projet fil rouge">
      <formula>LEFT(X136,LEN("Lancement Projet fil rouge"))="Lancement Projet fil rouge"</formula>
    </cfRule>
    <cfRule type="beginsWith" dxfId="5140" priority="7526" operator="beginsWith" text="Vacances">
      <formula>LEFT(X136,LEN("Vacances"))="Vacances"</formula>
    </cfRule>
    <cfRule type="beginsWith" dxfId="5139" priority="7527" operator="beginsWith" text="Séminaire d'intégration">
      <formula>LEFT(X136,LEN("Séminaire d'intégration"))="Séminaire d'intégration"</formula>
    </cfRule>
    <cfRule type="beginsWith" dxfId="5138" priority="7528" operator="beginsWith" text="Accueil">
      <formula>LEFT(X136,LEN("Accueil"))="Accueil"</formula>
    </cfRule>
    <cfRule type="beginsWith" dxfId="5137" priority="7529" operator="beginsWith" text="Stage">
      <formula>LEFT(X136,LEN("Stage"))="Stage"</formula>
    </cfRule>
    <cfRule type="beginsWith" dxfId="5136" priority="7530" operator="beginsWith" text="Entreprise">
      <formula>LEFT(X136,LEN("Entreprise"))="Entreprise"</formula>
    </cfRule>
    <cfRule type="beginsWith" dxfId="5135" priority="7531" operator="beginsWith" text="Voltaire">
      <formula>LEFT(X136,LEN("Voltaire"))="Voltaire"</formula>
    </cfRule>
  </conditionalFormatting>
  <conditionalFormatting sqref="X140">
    <cfRule type="beginsWith" dxfId="5134" priority="7468" operator="beginsWith" text="Projet professionnel : Séminaire PFI">
      <formula>LEFT(X140,LEN("Projet professionnel : Séminaire PFI"))="Projet professionnel : Séminaire PFI"</formula>
    </cfRule>
    <cfRule type="beginsWith" dxfId="5133" priority="7469" operator="beginsWith" text="Lancement Projet fil rouge">
      <formula>LEFT(X140,LEN("Lancement Projet fil rouge"))="Lancement Projet fil rouge"</formula>
    </cfRule>
    <cfRule type="beginsWith" dxfId="5132" priority="7470" operator="beginsWith" text="Vacances">
      <formula>LEFT(X140,LEN("Vacances"))="Vacances"</formula>
    </cfRule>
    <cfRule type="beginsWith" dxfId="5131" priority="7471" operator="beginsWith" text="Séminaire d'intégration">
      <formula>LEFT(X140,LEN("Séminaire d'intégration"))="Séminaire d'intégration"</formula>
    </cfRule>
    <cfRule type="beginsWith" dxfId="5130" priority="7472" operator="beginsWith" text="Accueil">
      <formula>LEFT(X140,LEN("Accueil"))="Accueil"</formula>
    </cfRule>
    <cfRule type="beginsWith" dxfId="5129" priority="7473" operator="beginsWith" text="Stage">
      <formula>LEFT(X140,LEN("Stage"))="Stage"</formula>
    </cfRule>
    <cfRule type="beginsWith" dxfId="5128" priority="7474" operator="beginsWith" text="Entreprise">
      <formula>LEFT(X140,LEN("Entreprise"))="Entreprise"</formula>
    </cfRule>
    <cfRule type="beginsWith" dxfId="5127" priority="7475" operator="beginsWith" text="Voltaire">
      <formula>LEFT(X140,LEN("Voltaire"))="Voltaire"</formula>
    </cfRule>
  </conditionalFormatting>
  <conditionalFormatting sqref="X156:X160">
    <cfRule type="beginsWith" dxfId="5126" priority="7404" operator="beginsWith" text="Projet professionnel : Séminaire PFI">
      <formula>LEFT(X156,LEN("Projet professionnel : Séminaire PFI"))="Projet professionnel : Séminaire PFI"</formula>
    </cfRule>
    <cfRule type="beginsWith" dxfId="5125" priority="7405" operator="beginsWith" text="Lancement Projet fil rouge">
      <formula>LEFT(X156,LEN("Lancement Projet fil rouge"))="Lancement Projet fil rouge"</formula>
    </cfRule>
    <cfRule type="beginsWith" dxfId="5124" priority="7406" operator="beginsWith" text="Vacances">
      <formula>LEFT(X156,LEN("Vacances"))="Vacances"</formula>
    </cfRule>
    <cfRule type="beginsWith" dxfId="5123" priority="7407" operator="beginsWith" text="Séminaire d'intégration">
      <formula>LEFT(X156,LEN("Séminaire d'intégration"))="Séminaire d'intégration"</formula>
    </cfRule>
    <cfRule type="beginsWith" dxfId="5122" priority="7408" operator="beginsWith" text="Accueil">
      <formula>LEFT(X156,LEN("Accueil"))="Accueil"</formula>
    </cfRule>
    <cfRule type="beginsWith" dxfId="5121" priority="7409" operator="beginsWith" text="Stage">
      <formula>LEFT(X156,LEN("Stage"))="Stage"</formula>
    </cfRule>
    <cfRule type="beginsWith" dxfId="5120" priority="7410" operator="beginsWith" text="Entreprise">
      <formula>LEFT(X156,LEN("Entreprise"))="Entreprise"</formula>
    </cfRule>
    <cfRule type="beginsWith" dxfId="5119" priority="7411" operator="beginsWith" text="Voltaire">
      <formula>LEFT(X156,LEN("Voltaire"))="Voltaire"</formula>
    </cfRule>
  </conditionalFormatting>
  <conditionalFormatting sqref="X166">
    <cfRule type="beginsWith" dxfId="5118" priority="7484" operator="beginsWith" text="Projet professionnel : Séminaire PFI">
      <formula>LEFT(X166,LEN("Projet professionnel : Séminaire PFI"))="Projet professionnel : Séminaire PFI"</formula>
    </cfRule>
    <cfRule type="beginsWith" dxfId="5117" priority="7485" operator="beginsWith" text="Lancement Projet fil rouge">
      <formula>LEFT(X166,LEN("Lancement Projet fil rouge"))="Lancement Projet fil rouge"</formula>
    </cfRule>
    <cfRule type="beginsWith" dxfId="5116" priority="7486" operator="beginsWith" text="Vacances">
      <formula>LEFT(X166,LEN("Vacances"))="Vacances"</formula>
    </cfRule>
    <cfRule type="beginsWith" dxfId="5115" priority="7487" operator="beginsWith" text="Séminaire d'intégration">
      <formula>LEFT(X166,LEN("Séminaire d'intégration"))="Séminaire d'intégration"</formula>
    </cfRule>
    <cfRule type="beginsWith" dxfId="5114" priority="7488" operator="beginsWith" text="Accueil">
      <formula>LEFT(X166,LEN("Accueil"))="Accueil"</formula>
    </cfRule>
    <cfRule type="beginsWith" dxfId="5113" priority="7489" operator="beginsWith" text="Stage">
      <formula>LEFT(X166,LEN("Stage"))="Stage"</formula>
    </cfRule>
    <cfRule type="beginsWith" dxfId="5112" priority="7490" operator="beginsWith" text="Entreprise">
      <formula>LEFT(X166,LEN("Entreprise"))="Entreprise"</formula>
    </cfRule>
    <cfRule type="beginsWith" dxfId="5111" priority="7491" operator="beginsWith" text="Voltaire">
      <formula>LEFT(X166,LEN("Voltaire"))="Voltaire"</formula>
    </cfRule>
  </conditionalFormatting>
  <conditionalFormatting sqref="X176">
    <cfRule type="beginsWith" dxfId="5110" priority="7476" operator="beginsWith" text="Projet professionnel : Séminaire PFI">
      <formula>LEFT(X176,LEN("Projet professionnel : Séminaire PFI"))="Projet professionnel : Séminaire PFI"</formula>
    </cfRule>
    <cfRule type="beginsWith" dxfId="5109" priority="7477" operator="beginsWith" text="Lancement Projet fil rouge">
      <formula>LEFT(X176,LEN("Lancement Projet fil rouge"))="Lancement Projet fil rouge"</formula>
    </cfRule>
    <cfRule type="beginsWith" dxfId="5108" priority="7478" operator="beginsWith" text="Vacances">
      <formula>LEFT(X176,LEN("Vacances"))="Vacances"</formula>
    </cfRule>
    <cfRule type="beginsWith" dxfId="5107" priority="7479" operator="beginsWith" text="Séminaire d'intégration">
      <formula>LEFT(X176,LEN("Séminaire d'intégration"))="Séminaire d'intégration"</formula>
    </cfRule>
    <cfRule type="beginsWith" dxfId="5106" priority="7480" operator="beginsWith" text="Accueil">
      <formula>LEFT(X176,LEN("Accueil"))="Accueil"</formula>
    </cfRule>
    <cfRule type="beginsWith" dxfId="5105" priority="7481" operator="beginsWith" text="Stage">
      <formula>LEFT(X176,LEN("Stage"))="Stage"</formula>
    </cfRule>
    <cfRule type="beginsWith" dxfId="5104" priority="7482" operator="beginsWith" text="Entreprise">
      <formula>LEFT(X176,LEN("Entreprise"))="Entreprise"</formula>
    </cfRule>
    <cfRule type="beginsWith" dxfId="5103" priority="7483" operator="beginsWith" text="Voltaire">
      <formula>LEFT(X176,LEN("Voltaire"))="Voltaire"</formula>
    </cfRule>
  </conditionalFormatting>
  <conditionalFormatting sqref="X196:X210">
    <cfRule type="beginsWith" dxfId="5102" priority="7428" operator="beginsWith" text="Projet professionnel : Séminaire PFI">
      <formula>LEFT(X196,LEN("Projet professionnel : Séminaire PFI"))="Projet professionnel : Séminaire PFI"</formula>
    </cfRule>
    <cfRule type="beginsWith" dxfId="5101" priority="7429" operator="beginsWith" text="Lancement Projet fil rouge">
      <formula>LEFT(X196,LEN("Lancement Projet fil rouge"))="Lancement Projet fil rouge"</formula>
    </cfRule>
    <cfRule type="beginsWith" dxfId="5100" priority="7430" operator="beginsWith" text="Vacances">
      <formula>LEFT(X196,LEN("Vacances"))="Vacances"</formula>
    </cfRule>
    <cfRule type="beginsWith" dxfId="5099" priority="7431" operator="beginsWith" text="Séminaire d'intégration">
      <formula>LEFT(X196,LEN("Séminaire d'intégration"))="Séminaire d'intégration"</formula>
    </cfRule>
    <cfRule type="beginsWith" dxfId="5098" priority="7432" operator="beginsWith" text="Accueil">
      <formula>LEFT(X196,LEN("Accueil"))="Accueil"</formula>
    </cfRule>
    <cfRule type="beginsWith" dxfId="5097" priority="7433" operator="beginsWith" text="Stage">
      <formula>LEFT(X196,LEN("Stage"))="Stage"</formula>
    </cfRule>
    <cfRule type="beginsWith" dxfId="5096" priority="7434" operator="beginsWith" text="Entreprise">
      <formula>LEFT(X196,LEN("Entreprise"))="Entreprise"</formula>
    </cfRule>
    <cfRule type="beginsWith" dxfId="5095" priority="7435" operator="beginsWith" text="Voltaire">
      <formula>LEFT(X196,LEN("Voltaire"))="Voltaire"</formula>
    </cfRule>
  </conditionalFormatting>
  <conditionalFormatting sqref="X1:X3 X5 X43:X55 X61 X171">
    <cfRule type="beginsWith" dxfId="5094" priority="7540" operator="beginsWith" text="Projet professionnel : Séminaire PFI">
      <formula>LEFT(X1,LEN("Projet professionnel : Séminaire PFI"))="Projet professionnel : Séminaire PFI"</formula>
    </cfRule>
    <cfRule type="beginsWith" dxfId="5093" priority="7542" operator="beginsWith" text="Vacances">
      <formula>LEFT(X1,LEN("Vacances"))="Vacances"</formula>
    </cfRule>
    <cfRule type="beginsWith" dxfId="5092" priority="7543" operator="beginsWith" text="Séminaire d'intégration">
      <formula>LEFT(X1,LEN("Séminaire d'intégration"))="Séminaire d'intégration"</formula>
    </cfRule>
    <cfRule type="beginsWith" dxfId="5091" priority="7544" operator="beginsWith" text="Accueil">
      <formula>LEFT(X1,LEN("Accueil"))="Accueil"</formula>
    </cfRule>
    <cfRule type="beginsWith" dxfId="5090" priority="7545" operator="beginsWith" text="Stage">
      <formula>LEFT(X1,LEN("Stage"))="Stage"</formula>
    </cfRule>
    <cfRule type="beginsWith" dxfId="5089" priority="7546" operator="beginsWith" text="Entreprise">
      <formula>LEFT(X1,LEN("Entreprise"))="Entreprise"</formula>
    </cfRule>
    <cfRule type="beginsWith" dxfId="5088" priority="7547" operator="beginsWith" text="Voltaire">
      <formula>LEFT(X1,LEN("Voltaire"))="Voltaire"</formula>
    </cfRule>
  </conditionalFormatting>
  <conditionalFormatting sqref="X226:X229">
    <cfRule type="beginsWith" dxfId="5087" priority="7420" operator="beginsWith" text="Projet professionnel : Séminaire PFI">
      <formula>LEFT(X226,LEN("Projet professionnel : Séminaire PFI"))="Projet professionnel : Séminaire PFI"</formula>
    </cfRule>
    <cfRule type="beginsWith" dxfId="5086" priority="7421" operator="beginsWith" text="Lancement Projet fil rouge">
      <formula>LEFT(X226,LEN("Lancement Projet fil rouge"))="Lancement Projet fil rouge"</formula>
    </cfRule>
    <cfRule type="beginsWith" dxfId="5085" priority="7422" operator="beginsWith" text="Vacances">
      <formula>LEFT(X226,LEN("Vacances"))="Vacances"</formula>
    </cfRule>
    <cfRule type="beginsWith" dxfId="5084" priority="7423" operator="beginsWith" text="Séminaire d'intégration">
      <formula>LEFT(X226,LEN("Séminaire d'intégration"))="Séminaire d'intégration"</formula>
    </cfRule>
    <cfRule type="beginsWith" dxfId="5083" priority="7424" operator="beginsWith" text="Accueil">
      <formula>LEFT(X226,LEN("Accueil"))="Accueil"</formula>
    </cfRule>
    <cfRule type="beginsWith" dxfId="5082" priority="7425" operator="beginsWith" text="Stage">
      <formula>LEFT(X226,LEN("Stage"))="Stage"</formula>
    </cfRule>
    <cfRule type="beginsWith" dxfId="5081" priority="7426" operator="beginsWith" text="Entreprise">
      <formula>LEFT(X226,LEN("Entreprise"))="Entreprise"</formula>
    </cfRule>
    <cfRule type="beginsWith" dxfId="5080" priority="7427" operator="beginsWith" text="Voltaire">
      <formula>LEFT(X226,LEN("Voltaire"))="Voltaire"</formula>
    </cfRule>
  </conditionalFormatting>
  <conditionalFormatting sqref="X236">
    <cfRule type="beginsWith" dxfId="5079" priority="7412" operator="beginsWith" text="Projet professionnel : Séminaire PFI">
      <formula>LEFT(X236,LEN("Projet professionnel : Séminaire PFI"))="Projet professionnel : Séminaire PFI"</formula>
    </cfRule>
    <cfRule type="beginsWith" dxfId="5078" priority="7413" operator="beginsWith" text="Lancement Projet fil rouge">
      <formula>LEFT(X236,LEN("Lancement Projet fil rouge"))="Lancement Projet fil rouge"</formula>
    </cfRule>
    <cfRule type="beginsWith" dxfId="5077" priority="7414" operator="beginsWith" text="Vacances">
      <formula>LEFT(X236,LEN("Vacances"))="Vacances"</formula>
    </cfRule>
    <cfRule type="beginsWith" dxfId="5076" priority="7415" operator="beginsWith" text="Séminaire d'intégration">
      <formula>LEFT(X236,LEN("Séminaire d'intégration"))="Séminaire d'intégration"</formula>
    </cfRule>
    <cfRule type="beginsWith" dxfId="5075" priority="7416" operator="beginsWith" text="Accueil">
      <formula>LEFT(X236,LEN("Accueil"))="Accueil"</formula>
    </cfRule>
    <cfRule type="beginsWith" dxfId="5074" priority="7417" operator="beginsWith" text="Stage">
      <formula>LEFT(X236,LEN("Stage"))="Stage"</formula>
    </cfRule>
    <cfRule type="beginsWith" dxfId="5073" priority="7418" operator="beginsWith" text="Entreprise">
      <formula>LEFT(X236,LEN("Entreprise"))="Entreprise"</formula>
    </cfRule>
    <cfRule type="beginsWith" dxfId="5072" priority="7419" operator="beginsWith" text="Voltaire">
      <formula>LEFT(X236,LEN("Voltaire"))="Voltaire"</formula>
    </cfRule>
  </conditionalFormatting>
  <conditionalFormatting sqref="X86">
    <cfRule type="beginsWith" dxfId="5071" priority="7445" operator="beginsWith" text="Lancement Projet fil rouge">
      <formula>LEFT(X86,LEN("Lancement Projet fil rouge"))="Lancement Projet fil rouge"</formula>
    </cfRule>
  </conditionalFormatting>
  <conditionalFormatting sqref="X254:X1048576">
    <cfRule type="beginsWith" dxfId="5070" priority="7553" operator="beginsWith" text="Stage">
      <formula>LEFT(X254,LEN("Stage"))="Stage"</formula>
    </cfRule>
    <cfRule type="beginsWith" dxfId="5069" priority="7554" operator="beginsWith" text="Entreprise">
      <formula>LEFT(X254,LEN("Entreprise"))="Entreprise"</formula>
    </cfRule>
    <cfRule type="beginsWith" dxfId="5068" priority="7555" operator="beginsWith" text="Voltaire">
      <formula>LEFT(X254,LEN("Voltaire"))="Voltaire"</formula>
    </cfRule>
  </conditionalFormatting>
  <conditionalFormatting sqref="X254:X1048576">
    <cfRule type="beginsWith" dxfId="5067" priority="7548" operator="beginsWith" text="Projet professionnel : Séminaire PFI">
      <formula>LEFT(X254,LEN("Projet professionnel : Séminaire PFI"))="Projet professionnel : Séminaire PFI"</formula>
    </cfRule>
    <cfRule type="beginsWith" dxfId="5066" priority="7550" operator="beginsWith" text="Vacances">
      <formula>LEFT(X254,LEN("Vacances"))="Vacances"</formula>
    </cfRule>
  </conditionalFormatting>
  <conditionalFormatting sqref="X254:X1048576">
    <cfRule type="beginsWith" dxfId="5065" priority="7549" operator="beginsWith" text="Lancement Projet fil rouge">
      <formula>LEFT(X254,LEN("Lancement Projet fil rouge"))="Lancement Projet fil rouge"</formula>
    </cfRule>
  </conditionalFormatting>
  <conditionalFormatting sqref="X71">
    <cfRule type="beginsWith" dxfId="5064" priority="7396" operator="beginsWith" text="Projet professionnel : Séminaire PFI">
      <formula>LEFT(X71,LEN("Projet professionnel : Séminaire PFI"))="Projet professionnel : Séminaire PFI"</formula>
    </cfRule>
    <cfRule type="beginsWith" dxfId="5063" priority="7397" operator="beginsWith" text="Lancement Projet fil rouge">
      <formula>LEFT(X71,LEN("Lancement Projet fil rouge"))="Lancement Projet fil rouge"</formula>
    </cfRule>
    <cfRule type="beginsWith" dxfId="5062" priority="7398" operator="beginsWith" text="Vacances">
      <formula>LEFT(X71,LEN("Vacances"))="Vacances"</formula>
    </cfRule>
    <cfRule type="beginsWith" dxfId="5061" priority="7399" operator="beginsWith" text="Séminaire d'intégration">
      <formula>LEFT(X71,LEN("Séminaire d'intégration"))="Séminaire d'intégration"</formula>
    </cfRule>
    <cfRule type="beginsWith" dxfId="5060" priority="7400" operator="beginsWith" text="Accueil">
      <formula>LEFT(X71,LEN("Accueil"))="Accueil"</formula>
    </cfRule>
    <cfRule type="beginsWith" dxfId="5059" priority="7401" operator="beginsWith" text="Stage">
      <formula>LEFT(X71,LEN("Stage"))="Stage"</formula>
    </cfRule>
    <cfRule type="beginsWith" dxfId="5058" priority="7402" operator="beginsWith" text="Entreprise">
      <formula>LEFT(X71,LEN("Entreprise"))="Entreprise"</formula>
    </cfRule>
    <cfRule type="beginsWith" dxfId="5057" priority="7403" operator="beginsWith" text="Voltaire">
      <formula>LEFT(X71,LEN("Voltaire"))="Voltaire"</formula>
    </cfRule>
  </conditionalFormatting>
  <conditionalFormatting sqref="X76">
    <cfRule type="beginsWith" dxfId="5056" priority="7388" operator="beginsWith" text="Projet professionnel : Séminaire PFI">
      <formula>LEFT(X76,LEN("Projet professionnel : Séminaire PFI"))="Projet professionnel : Séminaire PFI"</formula>
    </cfRule>
    <cfRule type="beginsWith" dxfId="5055" priority="7389" operator="beginsWith" text="Lancement Projet fil rouge">
      <formula>LEFT(X76,LEN("Lancement Projet fil rouge"))="Lancement Projet fil rouge"</formula>
    </cfRule>
    <cfRule type="beginsWith" dxfId="5054" priority="7390" operator="beginsWith" text="Vacances">
      <formula>LEFT(X76,LEN("Vacances"))="Vacances"</formula>
    </cfRule>
    <cfRule type="beginsWith" dxfId="5053" priority="7391" operator="beginsWith" text="Séminaire d'intégration">
      <formula>LEFT(X76,LEN("Séminaire d'intégration"))="Séminaire d'intégration"</formula>
    </cfRule>
    <cfRule type="beginsWith" dxfId="5052" priority="7392" operator="beginsWith" text="Accueil">
      <formula>LEFT(X76,LEN("Accueil"))="Accueil"</formula>
    </cfRule>
    <cfRule type="beginsWith" dxfId="5051" priority="7393" operator="beginsWith" text="Stage">
      <formula>LEFT(X76,LEN("Stage"))="Stage"</formula>
    </cfRule>
    <cfRule type="beginsWith" dxfId="5050" priority="7394" operator="beginsWith" text="Entreprise">
      <formula>LEFT(X76,LEN("Entreprise"))="Entreprise"</formula>
    </cfRule>
    <cfRule type="beginsWith" dxfId="5049" priority="7395" operator="beginsWith" text="Voltaire">
      <formula>LEFT(X76,LEN("Voltaire"))="Voltaire"</formula>
    </cfRule>
  </conditionalFormatting>
  <conditionalFormatting sqref="X106">
    <cfRule type="beginsWith" dxfId="5048" priority="7380" operator="beginsWith" text="Projet professionnel : Séminaire PFI">
      <formula>LEFT(X106,LEN("Projet professionnel : Séminaire PFI"))="Projet professionnel : Séminaire PFI"</formula>
    </cfRule>
    <cfRule type="beginsWith" dxfId="5047" priority="7381" operator="beginsWith" text="Lancement Projet fil rouge">
      <formula>LEFT(X106,LEN("Lancement Projet fil rouge"))="Lancement Projet fil rouge"</formula>
    </cfRule>
    <cfRule type="beginsWith" dxfId="5046" priority="7382" operator="beginsWith" text="Vacances">
      <formula>LEFT(X106,LEN("Vacances"))="Vacances"</formula>
    </cfRule>
    <cfRule type="beginsWith" dxfId="5045" priority="7383" operator="beginsWith" text="Séminaire d'intégration">
      <formula>LEFT(X106,LEN("Séminaire d'intégration"))="Séminaire d'intégration"</formula>
    </cfRule>
    <cfRule type="beginsWith" dxfId="5044" priority="7384" operator="beginsWith" text="Accueil">
      <formula>LEFT(X106,LEN("Accueil"))="Accueil"</formula>
    </cfRule>
    <cfRule type="beginsWith" dxfId="5043" priority="7385" operator="beginsWith" text="Stage">
      <formula>LEFT(X106,LEN("Stage"))="Stage"</formula>
    </cfRule>
    <cfRule type="beginsWith" dxfId="5042" priority="7386" operator="beginsWith" text="Entreprise">
      <formula>LEFT(X106,LEN("Entreprise"))="Entreprise"</formula>
    </cfRule>
    <cfRule type="beginsWith" dxfId="5041" priority="7387" operator="beginsWith" text="Voltaire">
      <formula>LEFT(X106,LEN("Voltaire"))="Voltaire"</formula>
    </cfRule>
  </conditionalFormatting>
  <conditionalFormatting sqref="X111">
    <cfRule type="beginsWith" dxfId="5040" priority="7372" operator="beginsWith" text="Projet professionnel : Séminaire PFI">
      <formula>LEFT(X111,LEN("Projet professionnel : Séminaire PFI"))="Projet professionnel : Séminaire PFI"</formula>
    </cfRule>
    <cfRule type="beginsWith" dxfId="5039" priority="7373" operator="beginsWith" text="Lancement Projet fil rouge">
      <formula>LEFT(X111,LEN("Lancement Projet fil rouge"))="Lancement Projet fil rouge"</formula>
    </cfRule>
    <cfRule type="beginsWith" dxfId="5038" priority="7374" operator="beginsWith" text="Vacances">
      <formula>LEFT(X111,LEN("Vacances"))="Vacances"</formula>
    </cfRule>
    <cfRule type="beginsWith" dxfId="5037" priority="7375" operator="beginsWith" text="Séminaire d'intégration">
      <formula>LEFT(X111,LEN("Séminaire d'intégration"))="Séminaire d'intégration"</formula>
    </cfRule>
    <cfRule type="beginsWith" dxfId="5036" priority="7376" operator="beginsWith" text="Accueil">
      <formula>LEFT(X111,LEN("Accueil"))="Accueil"</formula>
    </cfRule>
    <cfRule type="beginsWith" dxfId="5035" priority="7377" operator="beginsWith" text="Stage">
      <formula>LEFT(X111,LEN("Stage"))="Stage"</formula>
    </cfRule>
    <cfRule type="beginsWith" dxfId="5034" priority="7378" operator="beginsWith" text="Entreprise">
      <formula>LEFT(X111,LEN("Entreprise"))="Entreprise"</formula>
    </cfRule>
    <cfRule type="beginsWith" dxfId="5033" priority="7379" operator="beginsWith" text="Voltaire">
      <formula>LEFT(X111,LEN("Voltaire"))="Voltaire"</formula>
    </cfRule>
  </conditionalFormatting>
  <conditionalFormatting sqref="X126">
    <cfRule type="beginsWith" dxfId="5032" priority="7364" operator="beginsWith" text="Projet professionnel : Séminaire PFI">
      <formula>LEFT(X126,LEN("Projet professionnel : Séminaire PFI"))="Projet professionnel : Séminaire PFI"</formula>
    </cfRule>
    <cfRule type="beginsWith" dxfId="5031" priority="7365" operator="beginsWith" text="Lancement Projet fil rouge">
      <formula>LEFT(X126,LEN("Lancement Projet fil rouge"))="Lancement Projet fil rouge"</formula>
    </cfRule>
    <cfRule type="beginsWith" dxfId="5030" priority="7366" operator="beginsWith" text="Vacances">
      <formula>LEFT(X126,LEN("Vacances"))="Vacances"</formula>
    </cfRule>
    <cfRule type="beginsWith" dxfId="5029" priority="7367" operator="beginsWith" text="Séminaire d'intégration">
      <formula>LEFT(X126,LEN("Séminaire d'intégration"))="Séminaire d'intégration"</formula>
    </cfRule>
    <cfRule type="beginsWith" dxfId="5028" priority="7368" operator="beginsWith" text="Accueil">
      <formula>LEFT(X126,LEN("Accueil"))="Accueil"</formula>
    </cfRule>
    <cfRule type="beginsWith" dxfId="5027" priority="7369" operator="beginsWith" text="Stage">
      <formula>LEFT(X126,LEN("Stage"))="Stage"</formula>
    </cfRule>
    <cfRule type="beginsWith" dxfId="5026" priority="7370" operator="beginsWith" text="Entreprise">
      <formula>LEFT(X126,LEN("Entreprise"))="Entreprise"</formula>
    </cfRule>
    <cfRule type="beginsWith" dxfId="5025" priority="7371" operator="beginsWith" text="Voltaire">
      <formula>LEFT(X126,LEN("Voltaire"))="Voltaire"</formula>
    </cfRule>
  </conditionalFormatting>
  <conditionalFormatting sqref="X116">
    <cfRule type="beginsWith" dxfId="5024" priority="7357" operator="beginsWith" text="Lancement Projet fil rouge">
      <formula>LEFT(X116,LEN("Lancement Projet fil rouge"))="Lancement Projet fil rouge"</formula>
    </cfRule>
  </conditionalFormatting>
  <conditionalFormatting sqref="X116">
    <cfRule type="beginsWith" dxfId="5023" priority="7356" operator="beginsWith" text="Projet professionnel : Séminaire PFI">
      <formula>LEFT(X116,LEN("Projet professionnel : Séminaire PFI"))="Projet professionnel : Séminaire PFI"</formula>
    </cfRule>
    <cfRule type="beginsWith" dxfId="5022" priority="7358" operator="beginsWith" text="Vacances">
      <formula>LEFT(X116,LEN("Vacances"))="Vacances"</formula>
    </cfRule>
    <cfRule type="beginsWith" dxfId="5021" priority="7359" operator="beginsWith" text="Séminaire d'intégration">
      <formula>LEFT(X116,LEN("Séminaire d'intégration"))="Séminaire d'intégration"</formula>
    </cfRule>
    <cfRule type="beginsWith" dxfId="5020" priority="7360" operator="beginsWith" text="Accueil">
      <formula>LEFT(X116,LEN("Accueil"))="Accueil"</formula>
    </cfRule>
    <cfRule type="beginsWith" dxfId="5019" priority="7361" operator="beginsWith" text="Stage">
      <formula>LEFT(X116,LEN("Stage"))="Stage"</formula>
    </cfRule>
    <cfRule type="beginsWith" dxfId="5018" priority="7362" operator="beginsWith" text="Entreprise">
      <formula>LEFT(X116,LEN("Entreprise"))="Entreprise"</formula>
    </cfRule>
    <cfRule type="beginsWith" dxfId="5017" priority="7363" operator="beginsWith" text="Voltaire">
      <formula>LEFT(X116,LEN("Voltaire"))="Voltaire"</formula>
    </cfRule>
  </conditionalFormatting>
  <conditionalFormatting sqref="X121">
    <cfRule type="beginsWith" dxfId="5016" priority="7348" operator="beginsWith" text="Projet professionnel : Séminaire PFI">
      <formula>LEFT(X121,LEN("Projet professionnel : Séminaire PFI"))="Projet professionnel : Séminaire PFI"</formula>
    </cfRule>
    <cfRule type="beginsWith" dxfId="5015" priority="7349" operator="beginsWith" text="Lancement Projet fil rouge">
      <formula>LEFT(X121,LEN("Lancement Projet fil rouge"))="Lancement Projet fil rouge"</formula>
    </cfRule>
    <cfRule type="beginsWith" dxfId="5014" priority="7350" operator="beginsWith" text="Vacances">
      <formula>LEFT(X121,LEN("Vacances"))="Vacances"</formula>
    </cfRule>
    <cfRule type="beginsWith" dxfId="5013" priority="7351" operator="beginsWith" text="Séminaire d'intégration">
      <formula>LEFT(X121,LEN("Séminaire d'intégration"))="Séminaire d'intégration"</formula>
    </cfRule>
    <cfRule type="beginsWith" dxfId="5012" priority="7352" operator="beginsWith" text="Accueil">
      <formula>LEFT(X121,LEN("Accueil"))="Accueil"</formula>
    </cfRule>
    <cfRule type="beginsWith" dxfId="5011" priority="7353" operator="beginsWith" text="Stage">
      <formula>LEFT(X121,LEN("Stage"))="Stage"</formula>
    </cfRule>
    <cfRule type="beginsWith" dxfId="5010" priority="7354" operator="beginsWith" text="Entreprise">
      <formula>LEFT(X121,LEN("Entreprise"))="Entreprise"</formula>
    </cfRule>
    <cfRule type="beginsWith" dxfId="5009" priority="7355" operator="beginsWith" text="Voltaire">
      <formula>LEFT(X121,LEN("Voltaire"))="Voltaire"</formula>
    </cfRule>
  </conditionalFormatting>
  <conditionalFormatting sqref="X141">
    <cfRule type="beginsWith" dxfId="5008" priority="7340" operator="beginsWith" text="Projet professionnel : Séminaire PFI">
      <formula>LEFT(X141,LEN("Projet professionnel : Séminaire PFI"))="Projet professionnel : Séminaire PFI"</formula>
    </cfRule>
    <cfRule type="beginsWith" dxfId="5007" priority="7341" operator="beginsWith" text="Lancement Projet fil rouge">
      <formula>LEFT(X141,LEN("Lancement Projet fil rouge"))="Lancement Projet fil rouge"</formula>
    </cfRule>
    <cfRule type="beginsWith" dxfId="5006" priority="7342" operator="beginsWith" text="Vacances">
      <formula>LEFT(X141,LEN("Vacances"))="Vacances"</formula>
    </cfRule>
    <cfRule type="beginsWith" dxfId="5005" priority="7343" operator="beginsWith" text="Séminaire d'intégration">
      <formula>LEFT(X141,LEN("Séminaire d'intégration"))="Séminaire d'intégration"</formula>
    </cfRule>
    <cfRule type="beginsWith" dxfId="5004" priority="7344" operator="beginsWith" text="Accueil">
      <formula>LEFT(X141,LEN("Accueil"))="Accueil"</formula>
    </cfRule>
    <cfRule type="beginsWith" dxfId="5003" priority="7345" operator="beginsWith" text="Stage">
      <formula>LEFT(X141,LEN("Stage"))="Stage"</formula>
    </cfRule>
    <cfRule type="beginsWith" dxfId="5002" priority="7346" operator="beginsWith" text="Entreprise">
      <formula>LEFT(X141,LEN("Entreprise"))="Entreprise"</formula>
    </cfRule>
    <cfRule type="beginsWith" dxfId="5001" priority="7347" operator="beginsWith" text="Voltaire">
      <formula>LEFT(X141,LEN("Voltaire"))="Voltaire"</formula>
    </cfRule>
  </conditionalFormatting>
  <conditionalFormatting sqref="X146">
    <cfRule type="beginsWith" dxfId="5000" priority="7332" operator="beginsWith" text="Projet professionnel : Séminaire PFI">
      <formula>LEFT(X146,LEN("Projet professionnel : Séminaire PFI"))="Projet professionnel : Séminaire PFI"</formula>
    </cfRule>
    <cfRule type="beginsWith" dxfId="4999" priority="7333" operator="beginsWith" text="Lancement Projet fil rouge">
      <formula>LEFT(X146,LEN("Lancement Projet fil rouge"))="Lancement Projet fil rouge"</formula>
    </cfRule>
    <cfRule type="beginsWith" dxfId="4998" priority="7334" operator="beginsWith" text="Vacances">
      <formula>LEFT(X146,LEN("Vacances"))="Vacances"</formula>
    </cfRule>
    <cfRule type="beginsWith" dxfId="4997" priority="7335" operator="beginsWith" text="Séminaire d'intégration">
      <formula>LEFT(X146,LEN("Séminaire d'intégration"))="Séminaire d'intégration"</formula>
    </cfRule>
    <cfRule type="beginsWith" dxfId="4996" priority="7336" operator="beginsWith" text="Accueil">
      <formula>LEFT(X146,LEN("Accueil"))="Accueil"</formula>
    </cfRule>
    <cfRule type="beginsWith" dxfId="4995" priority="7337" operator="beginsWith" text="Stage">
      <formula>LEFT(X146,LEN("Stage"))="Stage"</formula>
    </cfRule>
    <cfRule type="beginsWith" dxfId="4994" priority="7338" operator="beginsWith" text="Entreprise">
      <formula>LEFT(X146,LEN("Entreprise"))="Entreprise"</formula>
    </cfRule>
    <cfRule type="beginsWith" dxfId="4993" priority="7339" operator="beginsWith" text="Voltaire">
      <formula>LEFT(X146,LEN("Voltaire"))="Voltaire"</formula>
    </cfRule>
  </conditionalFormatting>
  <conditionalFormatting sqref="X151">
    <cfRule type="beginsWith" dxfId="4992" priority="7324" operator="beginsWith" text="Projet professionnel : Séminaire PFI">
      <formula>LEFT(X151,LEN("Projet professionnel : Séminaire PFI"))="Projet professionnel : Séminaire PFI"</formula>
    </cfRule>
    <cfRule type="beginsWith" dxfId="4991" priority="7325" operator="beginsWith" text="Lancement Projet fil rouge">
      <formula>LEFT(X151,LEN("Lancement Projet fil rouge"))="Lancement Projet fil rouge"</formula>
    </cfRule>
    <cfRule type="beginsWith" dxfId="4990" priority="7326" operator="beginsWith" text="Vacances">
      <formula>LEFT(X151,LEN("Vacances"))="Vacances"</formula>
    </cfRule>
    <cfRule type="beginsWith" dxfId="4989" priority="7327" operator="beginsWith" text="Séminaire d'intégration">
      <formula>LEFT(X151,LEN("Séminaire d'intégration"))="Séminaire d'intégration"</formula>
    </cfRule>
    <cfRule type="beginsWith" dxfId="4988" priority="7328" operator="beginsWith" text="Accueil">
      <formula>LEFT(X151,LEN("Accueil"))="Accueil"</formula>
    </cfRule>
    <cfRule type="beginsWith" dxfId="4987" priority="7329" operator="beginsWith" text="Stage">
      <formula>LEFT(X151,LEN("Stage"))="Stage"</formula>
    </cfRule>
    <cfRule type="beginsWith" dxfId="4986" priority="7330" operator="beginsWith" text="Entreprise">
      <formula>LEFT(X151,LEN("Entreprise"))="Entreprise"</formula>
    </cfRule>
    <cfRule type="beginsWith" dxfId="4985" priority="7331" operator="beginsWith" text="Voltaire">
      <formula>LEFT(X151,LEN("Voltaire"))="Voltaire"</formula>
    </cfRule>
  </conditionalFormatting>
  <conditionalFormatting sqref="X181">
    <cfRule type="beginsWith" dxfId="4984" priority="7316" operator="beginsWith" text="Projet professionnel : Séminaire PFI">
      <formula>LEFT(X181,LEN("Projet professionnel : Séminaire PFI"))="Projet professionnel : Séminaire PFI"</formula>
    </cfRule>
    <cfRule type="beginsWith" dxfId="4983" priority="7317" operator="beginsWith" text="Lancement Projet fil rouge">
      <formula>LEFT(X181,LEN("Lancement Projet fil rouge"))="Lancement Projet fil rouge"</formula>
    </cfRule>
    <cfRule type="beginsWith" dxfId="4982" priority="7318" operator="beginsWith" text="Vacances">
      <formula>LEFT(X181,LEN("Vacances"))="Vacances"</formula>
    </cfRule>
    <cfRule type="beginsWith" dxfId="4981" priority="7319" operator="beginsWith" text="Séminaire d'intégration">
      <formula>LEFT(X181,LEN("Séminaire d'intégration"))="Séminaire d'intégration"</formula>
    </cfRule>
    <cfRule type="beginsWith" dxfId="4980" priority="7320" operator="beginsWith" text="Accueil">
      <formula>LEFT(X181,LEN("Accueil"))="Accueil"</formula>
    </cfRule>
    <cfRule type="beginsWith" dxfId="4979" priority="7321" operator="beginsWith" text="Stage">
      <formula>LEFT(X181,LEN("Stage"))="Stage"</formula>
    </cfRule>
    <cfRule type="beginsWith" dxfId="4978" priority="7322" operator="beginsWith" text="Entreprise">
      <formula>LEFT(X181,LEN("Entreprise"))="Entreprise"</formula>
    </cfRule>
    <cfRule type="beginsWith" dxfId="4977" priority="7323" operator="beginsWith" text="Voltaire">
      <formula>LEFT(X181,LEN("Voltaire"))="Voltaire"</formula>
    </cfRule>
  </conditionalFormatting>
  <conditionalFormatting sqref="X186">
    <cfRule type="beginsWith" dxfId="4976" priority="7308" operator="beginsWith" text="Projet professionnel : Séminaire PFI">
      <formula>LEFT(X186,LEN("Projet professionnel : Séminaire PFI"))="Projet professionnel : Séminaire PFI"</formula>
    </cfRule>
    <cfRule type="beginsWith" dxfId="4975" priority="7309" operator="beginsWith" text="Lancement Projet fil rouge">
      <formula>LEFT(X186,LEN("Lancement Projet fil rouge"))="Lancement Projet fil rouge"</formula>
    </cfRule>
    <cfRule type="beginsWith" dxfId="4974" priority="7310" operator="beginsWith" text="Vacances">
      <formula>LEFT(X186,LEN("Vacances"))="Vacances"</formula>
    </cfRule>
    <cfRule type="beginsWith" dxfId="4973" priority="7311" operator="beginsWith" text="Séminaire d'intégration">
      <formula>LEFT(X186,LEN("Séminaire d'intégration"))="Séminaire d'intégration"</formula>
    </cfRule>
    <cfRule type="beginsWith" dxfId="4972" priority="7312" operator="beginsWith" text="Accueil">
      <formula>LEFT(X186,LEN("Accueil"))="Accueil"</formula>
    </cfRule>
    <cfRule type="beginsWith" dxfId="4971" priority="7313" operator="beginsWith" text="Stage">
      <formula>LEFT(X186,LEN("Stage"))="Stage"</formula>
    </cfRule>
    <cfRule type="beginsWith" dxfId="4970" priority="7314" operator="beginsWith" text="Entreprise">
      <formula>LEFT(X186,LEN("Entreprise"))="Entreprise"</formula>
    </cfRule>
    <cfRule type="beginsWith" dxfId="4969" priority="7315" operator="beginsWith" text="Voltaire">
      <formula>LEFT(X186,LEN("Voltaire"))="Voltaire"</formula>
    </cfRule>
  </conditionalFormatting>
  <conditionalFormatting sqref="X206">
    <cfRule type="beginsWith" dxfId="4968" priority="7300" operator="beginsWith" text="Projet professionnel : Séminaire PFI">
      <formula>LEFT(X206,LEN("Projet professionnel : Séminaire PFI"))="Projet professionnel : Séminaire PFI"</formula>
    </cfRule>
    <cfRule type="beginsWith" dxfId="4967" priority="7301" operator="beginsWith" text="Lancement Projet fil rouge">
      <formula>LEFT(X206,LEN("Lancement Projet fil rouge"))="Lancement Projet fil rouge"</formula>
    </cfRule>
    <cfRule type="beginsWith" dxfId="4966" priority="7302" operator="beginsWith" text="Vacances">
      <formula>LEFT(X206,LEN("Vacances"))="Vacances"</formula>
    </cfRule>
    <cfRule type="beginsWith" dxfId="4965" priority="7303" operator="beginsWith" text="Séminaire d'intégration">
      <formula>LEFT(X206,LEN("Séminaire d'intégration"))="Séminaire d'intégration"</formula>
    </cfRule>
    <cfRule type="beginsWith" dxfId="4964" priority="7304" operator="beginsWith" text="Accueil">
      <formula>LEFT(X206,LEN("Accueil"))="Accueil"</formula>
    </cfRule>
    <cfRule type="beginsWith" dxfId="4963" priority="7305" operator="beginsWith" text="Stage">
      <formula>LEFT(X206,LEN("Stage"))="Stage"</formula>
    </cfRule>
    <cfRule type="beginsWith" dxfId="4962" priority="7306" operator="beginsWith" text="Entreprise">
      <formula>LEFT(X206,LEN("Entreprise"))="Entreprise"</formula>
    </cfRule>
    <cfRule type="beginsWith" dxfId="4961" priority="7307" operator="beginsWith" text="Voltaire">
      <formula>LEFT(X206,LEN("Voltaire"))="Voltaire"</formula>
    </cfRule>
  </conditionalFormatting>
  <conditionalFormatting sqref="X216:X220">
    <cfRule type="beginsWith" dxfId="4960" priority="7293" operator="beginsWith" text="Lancement Projet fil rouge">
      <formula>LEFT(X216,LEN("Lancement Projet fil rouge"))="Lancement Projet fil rouge"</formula>
    </cfRule>
  </conditionalFormatting>
  <conditionalFormatting sqref="X216:X220">
    <cfRule type="beginsWith" dxfId="4959" priority="7292" operator="beginsWith" text="Projet professionnel : Séminaire PFI">
      <formula>LEFT(X216,LEN("Projet professionnel : Séminaire PFI"))="Projet professionnel : Séminaire PFI"</formula>
    </cfRule>
    <cfRule type="beginsWith" dxfId="4958" priority="7294" operator="beginsWith" text="Vacances">
      <formula>LEFT(X216,LEN("Vacances"))="Vacances"</formula>
    </cfRule>
    <cfRule type="beginsWith" dxfId="4957" priority="7295" operator="beginsWith" text="Séminaire d'intégration">
      <formula>LEFT(X216,LEN("Séminaire d'intégration"))="Séminaire d'intégration"</formula>
    </cfRule>
    <cfRule type="beginsWith" dxfId="4956" priority="7296" operator="beginsWith" text="Accueil">
      <formula>LEFT(X216,LEN("Accueil"))="Accueil"</formula>
    </cfRule>
    <cfRule type="beginsWith" dxfId="4955" priority="7297" operator="beginsWith" text="Stage">
      <formula>LEFT(X216,LEN("Stage"))="Stage"</formula>
    </cfRule>
    <cfRule type="beginsWith" dxfId="4954" priority="7298" operator="beginsWith" text="Entreprise">
      <formula>LEFT(X216,LEN("Entreprise"))="Entreprise"</formula>
    </cfRule>
    <cfRule type="beginsWith" dxfId="4953" priority="7299" operator="beginsWith" text="Voltaire">
      <formula>LEFT(X216,LEN("Voltaire"))="Voltaire"</formula>
    </cfRule>
  </conditionalFormatting>
  <conditionalFormatting sqref="X211">
    <cfRule type="beginsWith" dxfId="4952" priority="7284" operator="beginsWith" text="Projet professionnel : Séminaire PFI">
      <formula>LEFT(X211,LEN("Projet professionnel : Séminaire PFI"))="Projet professionnel : Séminaire PFI"</formula>
    </cfRule>
    <cfRule type="beginsWith" dxfId="4951" priority="7285" operator="beginsWith" text="Lancement Projet fil rouge">
      <formula>LEFT(X211,LEN("Lancement Projet fil rouge"))="Lancement Projet fil rouge"</formula>
    </cfRule>
    <cfRule type="beginsWith" dxfId="4950" priority="7286" operator="beginsWith" text="Vacances">
      <formula>LEFT(X211,LEN("Vacances"))="Vacances"</formula>
    </cfRule>
    <cfRule type="beginsWith" dxfId="4949" priority="7287" operator="beginsWith" text="Séminaire d'intégration">
      <formula>LEFT(X211,LEN("Séminaire d'intégration"))="Séminaire d'intégration"</formula>
    </cfRule>
    <cfRule type="beginsWith" dxfId="4948" priority="7288" operator="beginsWith" text="Accueil">
      <formula>LEFT(X211,LEN("Accueil"))="Accueil"</formula>
    </cfRule>
    <cfRule type="beginsWith" dxfId="4947" priority="7289" operator="beginsWith" text="Stage">
      <formula>LEFT(X211,LEN("Stage"))="Stage"</formula>
    </cfRule>
    <cfRule type="beginsWith" dxfId="4946" priority="7290" operator="beginsWith" text="Entreprise">
      <formula>LEFT(X211,LEN("Entreprise"))="Entreprise"</formula>
    </cfRule>
    <cfRule type="beginsWith" dxfId="4945" priority="7291" operator="beginsWith" text="Voltaire">
      <formula>LEFT(X211,LEN("Voltaire"))="Voltaire"</formula>
    </cfRule>
  </conditionalFormatting>
  <conditionalFormatting sqref="X221">
    <cfRule type="beginsWith" dxfId="4944" priority="7277" operator="beginsWith" text="Lancement Projet fil rouge">
      <formula>LEFT(X221,LEN("Lancement Projet fil rouge"))="Lancement Projet fil rouge"</formula>
    </cfRule>
  </conditionalFormatting>
  <conditionalFormatting sqref="X221">
    <cfRule type="beginsWith" dxfId="4943" priority="7276" operator="beginsWith" text="Projet professionnel : Séminaire PFI">
      <formula>LEFT(X221,LEN("Projet professionnel : Séminaire PFI"))="Projet professionnel : Séminaire PFI"</formula>
    </cfRule>
    <cfRule type="beginsWith" dxfId="4942" priority="7278" operator="beginsWith" text="Vacances">
      <formula>LEFT(X221,LEN("Vacances"))="Vacances"</formula>
    </cfRule>
    <cfRule type="beginsWith" dxfId="4941" priority="7279" operator="beginsWith" text="Séminaire d'intégration">
      <formula>LEFT(X221,LEN("Séminaire d'intégration"))="Séminaire d'intégration"</formula>
    </cfRule>
    <cfRule type="beginsWith" dxfId="4940" priority="7280" operator="beginsWith" text="Accueil">
      <formula>LEFT(X221,LEN("Accueil"))="Accueil"</formula>
    </cfRule>
    <cfRule type="beginsWith" dxfId="4939" priority="7281" operator="beginsWith" text="Stage">
      <formula>LEFT(X221,LEN("Stage"))="Stage"</formula>
    </cfRule>
    <cfRule type="beginsWith" dxfId="4938" priority="7282" operator="beginsWith" text="Entreprise">
      <formula>LEFT(X221,LEN("Entreprise"))="Entreprise"</formula>
    </cfRule>
    <cfRule type="beginsWith" dxfId="4937" priority="7283" operator="beginsWith" text="Voltaire">
      <formula>LEFT(X221,LEN("Voltaire"))="Voltaire"</formula>
    </cfRule>
  </conditionalFormatting>
  <conditionalFormatting sqref="X221">
    <cfRule type="beginsWith" dxfId="4936" priority="7268" operator="beginsWith" text="Projet professionnel : Séminaire PFI">
      <formula>LEFT(X221,LEN("Projet professionnel : Séminaire PFI"))="Projet professionnel : Séminaire PFI"</formula>
    </cfRule>
    <cfRule type="beginsWith" dxfId="4935" priority="7269" operator="beginsWith" text="Lancement Projet fil rouge">
      <formula>LEFT(X221,LEN("Lancement Projet fil rouge"))="Lancement Projet fil rouge"</formula>
    </cfRule>
    <cfRule type="beginsWith" dxfId="4934" priority="7270" operator="beginsWith" text="Vacances">
      <formula>LEFT(X221,LEN("Vacances"))="Vacances"</formula>
    </cfRule>
    <cfRule type="beginsWith" dxfId="4933" priority="7271" operator="beginsWith" text="Séminaire d'intégration">
      <formula>LEFT(X221,LEN("Séminaire d'intégration"))="Séminaire d'intégration"</formula>
    </cfRule>
    <cfRule type="beginsWith" dxfId="4932" priority="7272" operator="beginsWith" text="Accueil">
      <formula>LEFT(X221,LEN("Accueil"))="Accueil"</formula>
    </cfRule>
    <cfRule type="beginsWith" dxfId="4931" priority="7273" operator="beginsWith" text="Stage">
      <formula>LEFT(X221,LEN("Stage"))="Stage"</formula>
    </cfRule>
    <cfRule type="beginsWith" dxfId="4930" priority="7274" operator="beginsWith" text="Entreprise">
      <formula>LEFT(X221,LEN("Entreprise"))="Entreprise"</formula>
    </cfRule>
    <cfRule type="beginsWith" dxfId="4929" priority="7275" operator="beginsWith" text="Voltaire">
      <formula>LEFT(X221,LEN("Voltaire"))="Voltaire"</formula>
    </cfRule>
  </conditionalFormatting>
  <conditionalFormatting sqref="X230">
    <cfRule type="beginsWith" dxfId="4928" priority="7260" operator="beginsWith" text="Projet professionnel : Séminaire PFI">
      <formula>LEFT(X230,LEN("Projet professionnel : Séminaire PFI"))="Projet professionnel : Séminaire PFI"</formula>
    </cfRule>
    <cfRule type="beginsWith" dxfId="4927" priority="7261" operator="beginsWith" text="Lancement Projet fil rouge">
      <formula>LEFT(X230,LEN("Lancement Projet fil rouge"))="Lancement Projet fil rouge"</formula>
    </cfRule>
    <cfRule type="beginsWith" dxfId="4926" priority="7262" operator="beginsWith" text="Vacances">
      <formula>LEFT(X230,LEN("Vacances"))="Vacances"</formula>
    </cfRule>
    <cfRule type="beginsWith" dxfId="4925" priority="7263" operator="beginsWith" text="Séminaire d'intégration">
      <formula>LEFT(X230,LEN("Séminaire d'intégration"))="Séminaire d'intégration"</formula>
    </cfRule>
    <cfRule type="beginsWith" dxfId="4924" priority="7264" operator="beginsWith" text="Accueil">
      <formula>LEFT(X230,LEN("Accueil"))="Accueil"</formula>
    </cfRule>
    <cfRule type="beginsWith" dxfId="4923" priority="7265" operator="beginsWith" text="Stage">
      <formula>LEFT(X230,LEN("Stage"))="Stage"</formula>
    </cfRule>
    <cfRule type="beginsWith" dxfId="4922" priority="7266" operator="beginsWith" text="Entreprise">
      <formula>LEFT(X230,LEN("Entreprise"))="Entreprise"</formula>
    </cfRule>
    <cfRule type="beginsWith" dxfId="4921" priority="7267" operator="beginsWith" text="Voltaire">
      <formula>LEFT(X230,LEN("Voltaire"))="Voltaire"</formula>
    </cfRule>
  </conditionalFormatting>
  <conditionalFormatting sqref="X241">
    <cfRule type="beginsWith" dxfId="4920" priority="7252" operator="beginsWith" text="Projet professionnel : Séminaire PFI">
      <formula>LEFT(X241,LEN("Projet professionnel : Séminaire PFI"))="Projet professionnel : Séminaire PFI"</formula>
    </cfRule>
    <cfRule type="beginsWith" dxfId="4919" priority="7253" operator="beginsWith" text="Lancement Projet fil rouge">
      <formula>LEFT(X241,LEN("Lancement Projet fil rouge"))="Lancement Projet fil rouge"</formula>
    </cfRule>
    <cfRule type="beginsWith" dxfId="4918" priority="7254" operator="beginsWith" text="Vacances">
      <formula>LEFT(X241,LEN("Vacances"))="Vacances"</formula>
    </cfRule>
    <cfRule type="beginsWith" dxfId="4917" priority="7255" operator="beginsWith" text="Séminaire d'intégration">
      <formula>LEFT(X241,LEN("Séminaire d'intégration"))="Séminaire d'intégration"</formula>
    </cfRule>
    <cfRule type="beginsWith" dxfId="4916" priority="7256" operator="beginsWith" text="Accueil">
      <formula>LEFT(X241,LEN("Accueil"))="Accueil"</formula>
    </cfRule>
    <cfRule type="beginsWith" dxfId="4915" priority="7257" operator="beginsWith" text="Stage">
      <formula>LEFT(X241,LEN("Stage"))="Stage"</formula>
    </cfRule>
    <cfRule type="beginsWith" dxfId="4914" priority="7258" operator="beginsWith" text="Entreprise">
      <formula>LEFT(X241,LEN("Entreprise"))="Entreprise"</formula>
    </cfRule>
    <cfRule type="beginsWith" dxfId="4913" priority="7259" operator="beginsWith" text="Voltaire">
      <formula>LEFT(X241,LEN("Voltaire"))="Voltaire"</formula>
    </cfRule>
  </conditionalFormatting>
  <conditionalFormatting sqref="Z1:AA5 Z31:AA61 Z67:AA67 Z71:AA161 Z162:Z165 Z166:AA1048576">
    <cfRule type="beginsWith" dxfId="4912" priority="7244" operator="beginsWith" text="Lancement Projet fil rouge">
      <formula>LEFT(Z1,LEN("Lancement Projet fil rouge"))="Lancement Projet fil rouge"</formula>
    </cfRule>
  </conditionalFormatting>
  <conditionalFormatting sqref="Z6:Z10">
    <cfRule type="notContainsBlanks" dxfId="4911" priority="7219">
      <formula>LEN(TRIM(Z6))&gt;0</formula>
    </cfRule>
  </conditionalFormatting>
  <conditionalFormatting sqref="Z16:Z61 Z66:Z67 Z71:Z260">
    <cfRule type="notContainsBlanks" dxfId="4910" priority="7251">
      <formula>LEN(TRIM(Z16))&gt;0</formula>
    </cfRule>
  </conditionalFormatting>
  <conditionalFormatting sqref="Z1:AA5 Z16:AA61 Z66:AA67 Z71:AA161 Z162:Z165 Z166:AA1048576">
    <cfRule type="beginsWith" dxfId="4909" priority="7245" operator="beginsWith" text="Vacances">
      <formula>LEFT(Z1,LEN("Vacances"))="Vacances"</formula>
    </cfRule>
  </conditionalFormatting>
  <conditionalFormatting sqref="Z1:AA5 Z16:AA61 Z66:AA67 Z71:AA161 Z162:Z165 Z166:AA1048576">
    <cfRule type="beginsWith" dxfId="4908" priority="7246" operator="beginsWith" text="Séminaire d'intégration">
      <formula>LEFT(Z1,LEN("Séminaire d'intégration"))="Séminaire d'intégration"</formula>
    </cfRule>
  </conditionalFormatting>
  <conditionalFormatting sqref="Z1:AA5 Z16:AA61 Z66:AA67 Z71:AA161 Z162:Z165 Z166:AA1048576">
    <cfRule type="beginsWith" dxfId="4907" priority="7247" operator="beginsWith" text="Accueil">
      <formula>LEFT(Z1,LEN("Accueil"))="Accueil"</formula>
    </cfRule>
  </conditionalFormatting>
  <conditionalFormatting sqref="Z66:AA66">
    <cfRule type="beginsWith" dxfId="4906" priority="7235" operator="beginsWith" text="Lancement Projet fil rouge">
      <formula>LEFT(Z66,LEN("Lancement Projet fil rouge"))="Lancement Projet fil rouge"</formula>
    </cfRule>
  </conditionalFormatting>
  <conditionalFormatting sqref="Z68">
    <cfRule type="beginsWith" dxfId="4905" priority="7227" operator="beginsWith" text="Lancement Projet fil rouge">
      <formula>LEFT(Z68,LEN("Lancement Projet fil rouge"))="Lancement Projet fil rouge"</formula>
    </cfRule>
    <cfRule type="beginsWith" dxfId="4904" priority="7228" operator="beginsWith" text="Vacances">
      <formula>LEFT(Z68,LEN("Vacances"))="Vacances"</formula>
    </cfRule>
    <cfRule type="beginsWith" dxfId="4903" priority="7229" operator="beginsWith" text="Séminaire d'intégration">
      <formula>LEFT(Z68,LEN("Séminaire d'intégration"))="Séminaire d'intégration"</formula>
    </cfRule>
    <cfRule type="beginsWith" dxfId="4902" priority="7230" operator="beginsWith" text="Accueil">
      <formula>LEFT(Z68,LEN("Accueil"))="Accueil"</formula>
    </cfRule>
    <cfRule type="beginsWith" dxfId="4901" priority="7231" operator="beginsWith" text="Stage">
      <formula>LEFT(Z68,LEN("Stage"))="Stage"</formula>
    </cfRule>
    <cfRule type="beginsWith" dxfId="4900" priority="7232" operator="beginsWith" text="Entreprise">
      <formula>LEFT(Z68,LEN("Entreprise"))="Entreprise"</formula>
    </cfRule>
    <cfRule type="beginsWith" dxfId="4899" priority="7233" operator="beginsWith" text="Voltaire">
      <formula>LEFT(Z68,LEN("Voltaire"))="Voltaire"</formula>
    </cfRule>
    <cfRule type="notContainsBlanks" dxfId="4898" priority="7234">
      <formula>LEN(TRIM(Z68))&gt;0</formula>
    </cfRule>
  </conditionalFormatting>
  <conditionalFormatting sqref="Z6:AA10">
    <cfRule type="beginsWith" dxfId="4897" priority="7212" operator="beginsWith" text="Lancement Projet fil rouge">
      <formula>LEFT(Z6,LEN("Lancement Projet fil rouge"))="Lancement Projet fil rouge"</formula>
    </cfRule>
    <cfRule type="beginsWith" dxfId="4896" priority="7213" operator="beginsWith" text="Vacances">
      <formula>LEFT(Z6,LEN("Vacances"))="Vacances"</formula>
    </cfRule>
    <cfRule type="beginsWith" dxfId="4895" priority="7214" operator="beginsWith" text="Séminaire d'intégration">
      <formula>LEFT(Z6,LEN("Séminaire d'intégration"))="Séminaire d'intégration"</formula>
    </cfRule>
    <cfRule type="beginsWith" dxfId="4894" priority="7215" operator="beginsWith" text="Accueil">
      <formula>LEFT(Z6,LEN("Accueil"))="Accueil"</formula>
    </cfRule>
    <cfRule type="beginsWith" dxfId="4893" priority="7216" operator="beginsWith" text="Stage">
      <formula>LEFT(Z6,LEN("Stage"))="Stage"</formula>
    </cfRule>
    <cfRule type="beginsWith" dxfId="4892" priority="7217" operator="beginsWith" text="Entreprise">
      <formula>LEFT(Z6,LEN("Entreprise"))="Entreprise"</formula>
    </cfRule>
    <cfRule type="beginsWith" dxfId="4891" priority="7218" operator="beginsWith" text="Voltaire">
      <formula>LEFT(Z6,LEN("Voltaire"))="Voltaire"</formula>
    </cfRule>
  </conditionalFormatting>
  <conditionalFormatting sqref="Z11:AA15">
    <cfRule type="beginsWith" dxfId="4890" priority="7237" operator="beginsWith" text="Vacances">
      <formula>LEFT(Z11,LEN("Vacances"))="Vacances"</formula>
    </cfRule>
    <cfRule type="beginsWith" dxfId="4889" priority="7238" operator="beginsWith" text="Séminaire d'intégration">
      <formula>LEFT(Z11,LEN("Séminaire d'intégration"))="Séminaire d'intégration"</formula>
    </cfRule>
    <cfRule type="beginsWith" dxfId="4888" priority="7239" operator="beginsWith" text="Accueil">
      <formula>LEFT(Z11,LEN("Accueil"))="Accueil"</formula>
    </cfRule>
    <cfRule type="beginsWith" dxfId="4887" priority="7240" operator="beginsWith" text="Stage">
      <formula>LEFT(Z11,LEN("Stage"))="Stage"</formula>
    </cfRule>
    <cfRule type="beginsWith" dxfId="4886" priority="7241" operator="beginsWith" text="Entreprise">
      <formula>LEFT(Z11,LEN("Entreprise"))="Entreprise"</formula>
    </cfRule>
    <cfRule type="beginsWith" dxfId="4885" priority="7242" operator="beginsWith" text="Voltaire">
      <formula>LEFT(Z11,LEN("Voltaire"))="Voltaire"</formula>
    </cfRule>
  </conditionalFormatting>
  <conditionalFormatting sqref="AA68">
    <cfRule type="beginsWith" dxfId="4884" priority="7220" operator="beginsWith" text="Lancement Projet fil rouge">
      <formula>LEFT(AA68,LEN("Lancement Projet fil rouge"))="Lancement Projet fil rouge"</formula>
    </cfRule>
    <cfRule type="beginsWith" dxfId="4883" priority="7221" operator="beginsWith" text="Vacances">
      <formula>LEFT(AA68,LEN("Vacances"))="Vacances"</formula>
    </cfRule>
    <cfRule type="beginsWith" dxfId="4882" priority="7222" operator="beginsWith" text="Séminaire d'intégration">
      <formula>LEFT(AA68,LEN("Séminaire d'intégration"))="Séminaire d'intégration"</formula>
    </cfRule>
    <cfRule type="beginsWith" dxfId="4881" priority="7223" operator="beginsWith" text="Accueil">
      <formula>LEFT(AA68,LEN("Accueil"))="Accueil"</formula>
    </cfRule>
    <cfRule type="beginsWith" dxfId="4880" priority="7224" operator="beginsWith" text="Stage">
      <formula>LEFT(AA68,LEN("Stage"))="Stage"</formula>
    </cfRule>
    <cfRule type="beginsWith" dxfId="4879" priority="7225" operator="beginsWith" text="Entreprise">
      <formula>LEFT(AA68,LEN("Entreprise"))="Entreprise"</formula>
    </cfRule>
    <cfRule type="beginsWith" dxfId="4878" priority="7226" operator="beginsWith" text="Voltaire">
      <formula>LEFT(AA68,LEN("Voltaire"))="Voltaire"</formula>
    </cfRule>
  </conditionalFormatting>
  <conditionalFormatting sqref="Z1:AA5 Z16:AA61 Z66:AA67 Z71:AA161 Z162:Z165 Z166:AA1048576">
    <cfRule type="beginsWith" dxfId="4877" priority="7248" operator="beginsWith" text="Stage">
      <formula>LEFT(Z1,LEN("Stage"))="Stage"</formula>
    </cfRule>
    <cfRule type="beginsWith" dxfId="4876" priority="7249" operator="beginsWith" text="Entreprise">
      <formula>LEFT(Z1,LEN("Entreprise"))="Entreprise"</formula>
    </cfRule>
    <cfRule type="beginsWith" dxfId="4875" priority="7250" operator="beginsWith" text="Voltaire">
      <formula>LEFT(Z1,LEN("Voltaire"))="Voltaire"</formula>
    </cfRule>
  </conditionalFormatting>
  <conditionalFormatting sqref="Z11:AA30">
    <cfRule type="beginsWith" dxfId="4874" priority="7236" operator="beginsWith" text="Lancement Projet fil rouge">
      <formula>LEFT(Z11,LEN("Lancement Projet fil rouge"))="Lancement Projet fil rouge"</formula>
    </cfRule>
  </conditionalFormatting>
  <conditionalFormatting sqref="Z11:Z15">
    <cfRule type="notContainsBlanks" dxfId="4873" priority="7243">
      <formula>LEN(TRIM(Z11))&gt;0</formula>
    </cfRule>
  </conditionalFormatting>
  <conditionalFormatting sqref="AB1:AC5 AB31:AB35 AB36:AC40 AB41:AB45 AB46:AC65 AB67:AC67 AB68:AB70 AC94 AC124 AB125:AC126 AB127:AB130 AB146:AB148 AB150 AB151:AC153 AC154 AC183:AC184 AB185:AC187 AC188 AB189:AC200 AC201:AC205 AB206:AC210 AC211:AC215 AB216:AC232 AC233:AC234 AB235:AC235 AB241:AC1048576 AC237:AC240 AB71:AC93 AB95:AC123 AB131:AC145 AB155:AC182">
    <cfRule type="beginsWith" dxfId="4872" priority="7202" operator="beginsWith" text="Lancement Projet fil rouge">
      <formula>LEFT(AB1,LEN("Lancement Projet fil rouge"))="Lancement Projet fil rouge"</formula>
    </cfRule>
  </conditionalFormatting>
  <conditionalFormatting sqref="AB1:AC5 AB16:AC30 AB31:AB35 AB36:AC40 AB41:AB45 AB46:AC67 AB68:AB70 AC94 AC124 AB125:AC126 AB127:AB130 AB146:AB148 AB150 AB151:AC153 AC154 AC183:AC184 AB185:AC187 AC188 AB189:AC200 AC201:AC205 AB206:AC210 AC211:AC215 AB216:AC232 AC233:AC234 AB235:AC235 AB241:AC1048576 AC236:AC240 AB71:AC93 AB95:AC123 AB131:AC145 AB155:AC182">
    <cfRule type="beginsWith" dxfId="4871" priority="7203" operator="beginsWith" text="Vacances">
      <formula>LEFT(AB1,LEN("Vacances"))="Vacances"</formula>
    </cfRule>
  </conditionalFormatting>
  <conditionalFormatting sqref="AB1:AC5 AB16:AC30 AB31:AB35 AB36:AC40 AB41:AB45 AB46:AC67 AB68:AB70 AC94 AC124 AB125:AC126 AB127:AB130 AB146:AB148 AB150 AB151:AC153 AC154 AC183:AC184 AB185:AC187 AC188 AB189:AC200 AC201:AC205 AB206:AC210 AC211:AC215 AB216:AC232 AC233:AC234 AB235:AC235 AB241:AC1048576 AC236:AC240 AB71:AC93 AB95:AC123 AB131:AC145 AB155:AC182">
    <cfRule type="beginsWith" dxfId="4870" priority="7204" operator="beginsWith" text="Séminaire d'intégration">
      <formula>LEFT(AB1,LEN("Séminaire d'intégration"))="Séminaire d'intégration"</formula>
    </cfRule>
  </conditionalFormatting>
  <conditionalFormatting sqref="AB1:AC5 AB16:AC30 AB31:AB35 AB36:AC40 AB41:AB45 AB46:AC67 AB68:AB70 AC94 AC124 AB125:AC126 AB127:AB130 AB146:AB148 AB150 AB151:AC153 AC154 AC183:AC184 AB185:AC187 AC188 AB189:AC200 AC201:AC205 AB206:AC210 AC211:AC215 AB216:AC232 AC233:AC234 AB235:AC235 AB241:AC1048576 AC236:AC240 AB71:AC93 AB95:AC123 AB131:AC145 AB155:AC182">
    <cfRule type="beginsWith" dxfId="4869" priority="7205" operator="beginsWith" text="Accueil">
      <formula>LEFT(AB1,LEN("Accueil"))="Accueil"</formula>
    </cfRule>
  </conditionalFormatting>
  <conditionalFormatting sqref="AB66:AC66">
    <cfRule type="beginsWith" dxfId="4868" priority="7191" operator="beginsWith" text="Lancement Projet fil rouge">
      <formula>LEFT(AB66,LEN("Lancement Projet fil rouge"))="Lancement Projet fil rouge"</formula>
    </cfRule>
  </conditionalFormatting>
  <conditionalFormatting sqref="AB6:AC10">
    <cfRule type="beginsWith" dxfId="4867" priority="7150" operator="beginsWith" text="Lancement Projet fil rouge">
      <formula>LEFT(AB6,LEN("Lancement Projet fil rouge"))="Lancement Projet fil rouge"</formula>
    </cfRule>
    <cfRule type="beginsWith" dxfId="4866" priority="7151" operator="beginsWith" text="Vacances">
      <formula>LEFT(AB6,LEN("Vacances"))="Vacances"</formula>
    </cfRule>
    <cfRule type="beginsWith" dxfId="4865" priority="7152" operator="beginsWith" text="Séminaire d'intégration">
      <formula>LEFT(AB6,LEN("Séminaire d'intégration"))="Séminaire d'intégration"</formula>
    </cfRule>
    <cfRule type="beginsWith" dxfId="4864" priority="7153" operator="beginsWith" text="Accueil">
      <formula>LEFT(AB6,LEN("Accueil"))="Accueil"</formula>
    </cfRule>
    <cfRule type="beginsWith" dxfId="4863" priority="7156" operator="beginsWith" text="Stage">
      <formula>LEFT(AB6,LEN("Stage"))="Stage"</formula>
    </cfRule>
    <cfRule type="beginsWith" dxfId="4862" priority="7157" operator="beginsWith" text="Entreprise">
      <formula>LEFT(AB6,LEN("Entreprise"))="Entreprise"</formula>
    </cfRule>
    <cfRule type="beginsWith" dxfId="4861" priority="7159" operator="beginsWith" text="Voltaire">
      <formula>LEFT(AB6,LEN("Voltaire"))="Voltaire"</formula>
    </cfRule>
  </conditionalFormatting>
  <conditionalFormatting sqref="AB11:AC15">
    <cfRule type="beginsWith" dxfId="4860" priority="7193" operator="beginsWith" text="Vacances">
      <formula>LEFT(AB11,LEN("Vacances"))="Vacances"</formula>
    </cfRule>
    <cfRule type="beginsWith" dxfId="4859" priority="7194" operator="beginsWith" text="Séminaire d'intégration">
      <formula>LEFT(AB11,LEN("Séminaire d'intégration"))="Séminaire d'intégration"</formula>
    </cfRule>
    <cfRule type="beginsWith" dxfId="4858" priority="7195" operator="beginsWith" text="Accueil">
      <formula>LEFT(AB11,LEN("Accueil"))="Accueil"</formula>
    </cfRule>
    <cfRule type="beginsWith" dxfId="4857" priority="7198" operator="beginsWith" text="Stage">
      <formula>LEFT(AB11,LEN("Stage"))="Stage"</formula>
    </cfRule>
    <cfRule type="beginsWith" dxfId="4856" priority="7199" operator="beginsWith" text="Entreprise">
      <formula>LEFT(AB11,LEN("Entreprise"))="Entreprise"</formula>
    </cfRule>
    <cfRule type="beginsWith" dxfId="4855" priority="7201" operator="beginsWith" text="Voltaire">
      <formula>LEFT(AB11,LEN("Voltaire"))="Voltaire"</formula>
    </cfRule>
  </conditionalFormatting>
  <conditionalFormatting sqref="AB94">
    <cfRule type="beginsWith" dxfId="4854" priority="7070" operator="beginsWith" text="Lancement Projet fil rouge">
      <formula>LEFT(AB94,LEN("Lancement Projet fil rouge"))="Lancement Projet fil rouge"</formula>
    </cfRule>
    <cfRule type="beginsWith" dxfId="4853" priority="7071" operator="beginsWith" text="Vacances">
      <formula>LEFT(AB94,LEN("Vacances"))="Vacances"</formula>
    </cfRule>
    <cfRule type="beginsWith" dxfId="4852" priority="7072" operator="beginsWith" text="Séminaire d'intégration">
      <formula>LEFT(AB94,LEN("Séminaire d'intégration"))="Séminaire d'intégration"</formula>
    </cfRule>
    <cfRule type="beginsWith" dxfId="4851" priority="7073" operator="beginsWith" text="Accueil">
      <formula>LEFT(AB94,LEN("Accueil"))="Accueil"</formula>
    </cfRule>
    <cfRule type="beginsWith" dxfId="4850" priority="7074" operator="beginsWith" text="TOPHYC">
      <formula>LEFT(AB94,LEN("TOPHYC"))="TOPHYC"</formula>
    </cfRule>
    <cfRule type="beginsWith" dxfId="4849" priority="7075" operator="beginsWith" text="Global Exam">
      <formula>LEFT(AB94,LEN("Global Exam"))="Global Exam"</formula>
    </cfRule>
    <cfRule type="beginsWith" dxfId="4848" priority="7076" operator="beginsWith" text="Stage">
      <formula>LEFT(AB94,LEN("Stage"))="Stage"</formula>
    </cfRule>
    <cfRule type="beginsWith" dxfId="4847" priority="7077" operator="beginsWith" text="Entreprise">
      <formula>LEFT(AB94,LEN("Entreprise"))="Entreprise"</formula>
    </cfRule>
    <cfRule type="beginsWith" dxfId="4846" priority="7078" operator="beginsWith" text="TOMIC">
      <formula>LEFT(AB94,LEN("TOMIC"))="TOMIC"</formula>
    </cfRule>
    <cfRule type="beginsWith" dxfId="4845" priority="7079" operator="beginsWith" text="Voltaire">
      <formula>LEFT(AB94,LEN("Voltaire"))="Voltaire"</formula>
    </cfRule>
  </conditionalFormatting>
  <conditionalFormatting sqref="AB124">
    <cfRule type="beginsWith" dxfId="4844" priority="7060" operator="beginsWith" text="Lancement Projet fil rouge">
      <formula>LEFT(AB124,LEN("Lancement Projet fil rouge"))="Lancement Projet fil rouge"</formula>
    </cfRule>
    <cfRule type="beginsWith" dxfId="4843" priority="7061" operator="beginsWith" text="Vacances">
      <formula>LEFT(AB124,LEN("Vacances"))="Vacances"</formula>
    </cfRule>
    <cfRule type="beginsWith" dxfId="4842" priority="7062" operator="beginsWith" text="Séminaire d'intégration">
      <formula>LEFT(AB124,LEN("Séminaire d'intégration"))="Séminaire d'intégration"</formula>
    </cfRule>
    <cfRule type="beginsWith" dxfId="4841" priority="7063" operator="beginsWith" text="Accueil">
      <formula>LEFT(AB124,LEN("Accueil"))="Accueil"</formula>
    </cfRule>
    <cfRule type="beginsWith" dxfId="4840" priority="7064" operator="beginsWith" text="TOPHYC">
      <formula>LEFT(AB124,LEN("TOPHYC"))="TOPHYC"</formula>
    </cfRule>
    <cfRule type="beginsWith" dxfId="4839" priority="7065" operator="beginsWith" text="Global Exam">
      <formula>LEFT(AB124,LEN("Global Exam"))="Global Exam"</formula>
    </cfRule>
    <cfRule type="beginsWith" dxfId="4838" priority="7066" operator="beginsWith" text="Stage">
      <formula>LEFT(AB124,LEN("Stage"))="Stage"</formula>
    </cfRule>
    <cfRule type="beginsWith" dxfId="4837" priority="7067" operator="beginsWith" text="Entreprise">
      <formula>LEFT(AB124,LEN("Entreprise"))="Entreprise"</formula>
    </cfRule>
    <cfRule type="beginsWith" dxfId="4836" priority="7068" operator="beginsWith" text="TOMIC">
      <formula>LEFT(AB124,LEN("TOMIC"))="TOMIC"</formula>
    </cfRule>
    <cfRule type="beginsWith" dxfId="4835" priority="7069" operator="beginsWith" text="Voltaire">
      <formula>LEFT(AB124,LEN("Voltaire"))="Voltaire"</formula>
    </cfRule>
  </conditionalFormatting>
  <conditionalFormatting sqref="AB149">
    <cfRule type="beginsWith" dxfId="4834" priority="7173" operator="beginsWith" text="Lancement Projet fil rouge">
      <formula>LEFT(AB149,LEN("Lancement Projet fil rouge"))="Lancement Projet fil rouge"</formula>
    </cfRule>
    <cfRule type="beginsWith" dxfId="4833" priority="7174" operator="beginsWith" text="Vacances">
      <formula>LEFT(AB149,LEN("Vacances"))="Vacances"</formula>
    </cfRule>
    <cfRule type="beginsWith" dxfId="4832" priority="7175" operator="beginsWith" text="Séminaire d'intégration">
      <formula>LEFT(AB149,LEN("Séminaire d'intégration"))="Séminaire d'intégration"</formula>
    </cfRule>
    <cfRule type="beginsWith" dxfId="4831" priority="7176" operator="beginsWith" text="Accueil">
      <formula>LEFT(AB149,LEN("Accueil"))="Accueil"</formula>
    </cfRule>
    <cfRule type="beginsWith" dxfId="4830" priority="7177" operator="beginsWith" text="Stage">
      <formula>LEFT(AB149,LEN("Stage"))="Stage"</formula>
    </cfRule>
    <cfRule type="beginsWith" dxfId="4829" priority="7178" operator="beginsWith" text="Entreprise">
      <formula>LEFT(AB149,LEN("Entreprise"))="Entreprise"</formula>
    </cfRule>
    <cfRule type="beginsWith" dxfId="4828" priority="7179" operator="beginsWith" text="Voltaire">
      <formula>LEFT(AB149,LEN("Voltaire"))="Voltaire"</formula>
    </cfRule>
    <cfRule type="beginsWith" dxfId="4827" priority="7180" operator="beginsWith" text="Lancement Projet fil rouge">
      <formula>LEFT(AB149,LEN("Lancement Projet fil rouge"))="Lancement Projet fil rouge"</formula>
    </cfRule>
    <cfRule type="beginsWith" dxfId="4826" priority="7181" operator="beginsWith" text="Vacances">
      <formula>LEFT(AB149,LEN("Vacances"))="Vacances"</formula>
    </cfRule>
    <cfRule type="beginsWith" dxfId="4825" priority="7182" operator="beginsWith" text="Séminaire d'intégration">
      <formula>LEFT(AB149,LEN("Séminaire d'intégration"))="Séminaire d'intégration"</formula>
    </cfRule>
    <cfRule type="beginsWith" dxfId="4824" priority="7183" operator="beginsWith" text="Accueil">
      <formula>LEFT(AB149,LEN("Accueil"))="Accueil"</formula>
    </cfRule>
    <cfRule type="beginsWith" dxfId="4823" priority="7184" operator="beginsWith" text="TOPHYC">
      <formula>LEFT(AB149,LEN("TOPHYC"))="TOPHYC"</formula>
    </cfRule>
    <cfRule type="beginsWith" dxfId="4822" priority="7185" operator="beginsWith" text="Global Exam">
      <formula>LEFT(AB149,LEN("Global Exam"))="Global Exam"</formula>
    </cfRule>
    <cfRule type="beginsWith" dxfId="4821" priority="7186" operator="beginsWith" text="Stage">
      <formula>LEFT(AB149,LEN("Stage"))="Stage"</formula>
    </cfRule>
    <cfRule type="beginsWith" dxfId="4820" priority="7187" operator="beginsWith" text="Entreprise">
      <formula>LEFT(AB149,LEN("Entreprise"))="Entreprise"</formula>
    </cfRule>
    <cfRule type="beginsWith" dxfId="4819" priority="7188" operator="beginsWith" text="TOMIC">
      <formula>LEFT(AB149,LEN("TOMIC"))="TOMIC"</formula>
    </cfRule>
    <cfRule type="beginsWith" dxfId="4818" priority="7189" operator="beginsWith" text="Voltaire">
      <formula>LEFT(AB149,LEN("Voltaire"))="Voltaire"</formula>
    </cfRule>
  </conditionalFormatting>
  <conditionalFormatting sqref="AB154">
    <cfRule type="beginsWith" dxfId="4817" priority="7080" operator="beginsWith" text="Lancement Projet fil rouge">
      <formula>LEFT(AB154,LEN("Lancement Projet fil rouge"))="Lancement Projet fil rouge"</formula>
    </cfRule>
    <cfRule type="beginsWith" dxfId="4816" priority="7081" operator="beginsWith" text="Vacances">
      <formula>LEFT(AB154,LEN("Vacances"))="Vacances"</formula>
    </cfRule>
    <cfRule type="beginsWith" dxfId="4815" priority="7082" operator="beginsWith" text="Séminaire d'intégration">
      <formula>LEFT(AB154,LEN("Séminaire d'intégration"))="Séminaire d'intégration"</formula>
    </cfRule>
    <cfRule type="beginsWith" dxfId="4814" priority="7083" operator="beginsWith" text="Accueil">
      <formula>LEFT(AB154,LEN("Accueil"))="Accueil"</formula>
    </cfRule>
    <cfRule type="beginsWith" dxfId="4813" priority="7084" operator="beginsWith" text="Stage">
      <formula>LEFT(AB154,LEN("Stage"))="Stage"</formula>
    </cfRule>
    <cfRule type="beginsWith" dxfId="4812" priority="7085" operator="beginsWith" text="Entreprise">
      <formula>LEFT(AB154,LEN("Entreprise"))="Entreprise"</formula>
    </cfRule>
    <cfRule type="beginsWith" dxfId="4811" priority="7086" operator="beginsWith" text="Voltaire">
      <formula>LEFT(AB154,LEN("Voltaire"))="Voltaire"</formula>
    </cfRule>
    <cfRule type="beginsWith" dxfId="4810" priority="7087" operator="beginsWith" text="Lancement Projet fil rouge">
      <formula>LEFT(AB154,LEN("Lancement Projet fil rouge"))="Lancement Projet fil rouge"</formula>
    </cfRule>
    <cfRule type="beginsWith" dxfId="4809" priority="7088" operator="beginsWith" text="Vacances">
      <formula>LEFT(AB154,LEN("Vacances"))="Vacances"</formula>
    </cfRule>
    <cfRule type="beginsWith" dxfId="4808" priority="7089" operator="beginsWith" text="Séminaire d'intégration">
      <formula>LEFT(AB154,LEN("Séminaire d'intégration"))="Séminaire d'intégration"</formula>
    </cfRule>
    <cfRule type="beginsWith" dxfId="4807" priority="7090" operator="beginsWith" text="Accueil">
      <formula>LEFT(AB154,LEN("Accueil"))="Accueil"</formula>
    </cfRule>
    <cfRule type="beginsWith" dxfId="4806" priority="7091" operator="beginsWith" text="TOPHYC">
      <formula>LEFT(AB154,LEN("TOPHYC"))="TOPHYC"</formula>
    </cfRule>
    <cfRule type="beginsWith" dxfId="4805" priority="7092" operator="beginsWith" text="Global Exam">
      <formula>LEFT(AB154,LEN("Global Exam"))="Global Exam"</formula>
    </cfRule>
    <cfRule type="beginsWith" dxfId="4804" priority="7093" operator="beginsWith" text="Stage">
      <formula>LEFT(AB154,LEN("Stage"))="Stage"</formula>
    </cfRule>
    <cfRule type="beginsWith" dxfId="4803" priority="7094" operator="beginsWith" text="Entreprise">
      <formula>LEFT(AB154,LEN("Entreprise"))="Entreprise"</formula>
    </cfRule>
    <cfRule type="beginsWith" dxfId="4802" priority="7095" operator="beginsWith" text="TOMIC">
      <formula>LEFT(AB154,LEN("TOMIC"))="TOMIC"</formula>
    </cfRule>
    <cfRule type="beginsWith" dxfId="4801" priority="7096" operator="beginsWith" text="Voltaire">
      <formula>LEFT(AB154,LEN("Voltaire"))="Voltaire"</formula>
    </cfRule>
  </conditionalFormatting>
  <conditionalFormatting sqref="AB201:AB205">
    <cfRule type="beginsWith" dxfId="4800" priority="7140" operator="beginsWith" text="Lancement Projet fil rouge">
      <formula>LEFT(AB201,LEN("Lancement Projet fil rouge"))="Lancement Projet fil rouge"</formula>
    </cfRule>
    <cfRule type="beginsWith" dxfId="4799" priority="7141" operator="beginsWith" text="Vacances">
      <formula>LEFT(AB201,LEN("Vacances"))="Vacances"</formula>
    </cfRule>
    <cfRule type="beginsWith" dxfId="4798" priority="7142" operator="beginsWith" text="Séminaire d'intégration">
      <formula>LEFT(AB201,LEN("Séminaire d'intégration"))="Séminaire d'intégration"</formula>
    </cfRule>
    <cfRule type="beginsWith" dxfId="4797" priority="7143" operator="beginsWith" text="Accueil">
      <formula>LEFT(AB201,LEN("Accueil"))="Accueil"</formula>
    </cfRule>
    <cfRule type="beginsWith" dxfId="4796" priority="7144" operator="beginsWith" text="TOPHYC">
      <formula>LEFT(AB201,LEN("TOPHYC"))="TOPHYC"</formula>
    </cfRule>
    <cfRule type="beginsWith" dxfId="4795" priority="7145" operator="beginsWith" text="Global Exam">
      <formula>LEFT(AB201,LEN("Global Exam"))="Global Exam"</formula>
    </cfRule>
    <cfRule type="beginsWith" dxfId="4794" priority="7146" operator="beginsWith" text="Stage">
      <formula>LEFT(AB201,LEN("Stage"))="Stage"</formula>
    </cfRule>
    <cfRule type="beginsWith" dxfId="4793" priority="7147" operator="beginsWith" text="Entreprise">
      <formula>LEFT(AB201,LEN("Entreprise"))="Entreprise"</formula>
    </cfRule>
    <cfRule type="beginsWith" dxfId="4792" priority="7148" operator="beginsWith" text="TOMIC">
      <formula>LEFT(AB201,LEN("TOMIC"))="TOMIC"</formula>
    </cfRule>
    <cfRule type="beginsWith" dxfId="4791" priority="7149" operator="beginsWith" text="Voltaire">
      <formula>LEFT(AB201,LEN("Voltaire"))="Voltaire"</formula>
    </cfRule>
  </conditionalFormatting>
  <conditionalFormatting sqref="AB211:AB215">
    <cfRule type="beginsWith" dxfId="4790" priority="7097" operator="beginsWith" text="Lancement Projet fil rouge">
      <formula>LEFT(AB211,LEN("Lancement Projet fil rouge"))="Lancement Projet fil rouge"</formula>
    </cfRule>
    <cfRule type="beginsWith" dxfId="4789" priority="7098" operator="beginsWith" text="Vacances">
      <formula>LEFT(AB211,LEN("Vacances"))="Vacances"</formula>
    </cfRule>
    <cfRule type="beginsWith" dxfId="4788" priority="7099" operator="beginsWith" text="Séminaire d'intégration">
      <formula>LEFT(AB211,LEN("Séminaire d'intégration"))="Séminaire d'intégration"</formula>
    </cfRule>
    <cfRule type="beginsWith" dxfId="4787" priority="7100" operator="beginsWith" text="Accueil">
      <formula>LEFT(AB211,LEN("Accueil"))="Accueil"</formula>
    </cfRule>
    <cfRule type="beginsWith" dxfId="4786" priority="7101" operator="beginsWith" text="TOPHYC">
      <formula>LEFT(AB211,LEN("TOPHYC"))="TOPHYC"</formula>
    </cfRule>
    <cfRule type="beginsWith" dxfId="4785" priority="7102" operator="beginsWith" text="Global Exam">
      <formula>LEFT(AB211,LEN("Global Exam"))="Global Exam"</formula>
    </cfRule>
    <cfRule type="beginsWith" dxfId="4784" priority="7103" operator="beginsWith" text="Stage">
      <formula>LEFT(AB211,LEN("Stage"))="Stage"</formula>
    </cfRule>
    <cfRule type="beginsWith" dxfId="4783" priority="7104" operator="beginsWith" text="Entreprise">
      <formula>LEFT(AB211,LEN("Entreprise"))="Entreprise"</formula>
    </cfRule>
    <cfRule type="beginsWith" dxfId="4782" priority="7105" operator="beginsWith" text="TOMIC">
      <formula>LEFT(AB211,LEN("TOMIC"))="TOMIC"</formula>
    </cfRule>
    <cfRule type="beginsWith" dxfId="4781" priority="7106" operator="beginsWith" text="Voltaire">
      <formula>LEFT(AB211,LEN("Voltaire"))="Voltaire"</formula>
    </cfRule>
  </conditionalFormatting>
  <conditionalFormatting sqref="AC31:AC35">
    <cfRule type="beginsWith" dxfId="4780" priority="7130" operator="beginsWith" text="Lancement Projet fil rouge">
      <formula>LEFT(AC31,LEN("Lancement Projet fil rouge"))="Lancement Projet fil rouge"</formula>
    </cfRule>
    <cfRule type="beginsWith" dxfId="4779" priority="7131" operator="beginsWith" text="Vacances">
      <formula>LEFT(AC31,LEN("Vacances"))="Vacances"</formula>
    </cfRule>
    <cfRule type="beginsWith" dxfId="4778" priority="7132" operator="beginsWith" text="Séminaire d'intégration">
      <formula>LEFT(AC31,LEN("Séminaire d'intégration"))="Séminaire d'intégration"</formula>
    </cfRule>
    <cfRule type="beginsWith" dxfId="4777" priority="7133" operator="beginsWith" text="Accueil">
      <formula>LEFT(AC31,LEN("Accueil"))="Accueil"</formula>
    </cfRule>
    <cfRule type="beginsWith" dxfId="4776" priority="7134" operator="beginsWith" text="TOPHYC">
      <formula>LEFT(AC31,LEN("TOPHYC"))="TOPHYC"</formula>
    </cfRule>
    <cfRule type="beginsWith" dxfId="4775" priority="7135" operator="beginsWith" text="Global Exam">
      <formula>LEFT(AC31,LEN("Global Exam"))="Global Exam"</formula>
    </cfRule>
    <cfRule type="beginsWith" dxfId="4774" priority="7136" operator="beginsWith" text="Stage">
      <formula>LEFT(AC31,LEN("Stage"))="Stage"</formula>
    </cfRule>
    <cfRule type="beginsWith" dxfId="4773" priority="7137" operator="beginsWith" text="Entreprise">
      <formula>LEFT(AC31,LEN("Entreprise"))="Entreprise"</formula>
    </cfRule>
    <cfRule type="beginsWith" dxfId="4772" priority="7138" operator="beginsWith" text="TOMIC">
      <formula>LEFT(AC31,LEN("TOMIC"))="TOMIC"</formula>
    </cfRule>
    <cfRule type="beginsWith" dxfId="4771" priority="7139" operator="beginsWith" text="Voltaire">
      <formula>LEFT(AC31,LEN("Voltaire"))="Voltaire"</formula>
    </cfRule>
  </conditionalFormatting>
  <conditionalFormatting sqref="AC41">
    <cfRule type="beginsWith" dxfId="4770" priority="7160" operator="beginsWith" text="Lancement Projet fil rouge">
      <formula>LEFT(AC41,LEN("Lancement Projet fil rouge"))="Lancement Projet fil rouge"</formula>
    </cfRule>
    <cfRule type="beginsWith" dxfId="4769" priority="7161" operator="beginsWith" text="Vacances">
      <formula>LEFT(AC41,LEN("Vacances"))="Vacances"</formula>
    </cfRule>
    <cfRule type="beginsWith" dxfId="4768" priority="7162" operator="beginsWith" text="Séminaire d'intégration">
      <formula>LEFT(AC41,LEN("Séminaire d'intégration"))="Séminaire d'intégration"</formula>
    </cfRule>
    <cfRule type="beginsWith" dxfId="4767" priority="7163" operator="beginsWith" text="Accueil">
      <formula>LEFT(AC41,LEN("Accueil"))="Accueil"</formula>
    </cfRule>
    <cfRule type="beginsWith" dxfId="4766" priority="7164" operator="beginsWith" text="TOPHYC">
      <formula>LEFT(AC41,LEN("TOPHYC"))="TOPHYC"</formula>
    </cfRule>
    <cfRule type="beginsWith" dxfId="4765" priority="7165" operator="beginsWith" text="Global Exam">
      <formula>LEFT(AC41,LEN("Global Exam"))="Global Exam"</formula>
    </cfRule>
    <cfRule type="beginsWith" dxfId="4764" priority="7166" operator="beginsWith" text="Stage">
      <formula>LEFT(AC41,LEN("Stage"))="Stage"</formula>
    </cfRule>
    <cfRule type="beginsWith" dxfId="4763" priority="7167" operator="beginsWith" text="Entreprise">
      <formula>LEFT(AC41,LEN("Entreprise"))="Entreprise"</formula>
    </cfRule>
    <cfRule type="beginsWith" dxfId="4762" priority="7168" operator="beginsWith" text="TOMIC">
      <formula>LEFT(AC41,LEN("TOMIC"))="TOMIC"</formula>
    </cfRule>
    <cfRule type="beginsWith" dxfId="4761" priority="7169" operator="beginsWith" text="Voltaire">
      <formula>LEFT(AC41,LEN("Voltaire"))="Voltaire"</formula>
    </cfRule>
  </conditionalFormatting>
  <conditionalFormatting sqref="AC68">
    <cfRule type="beginsWith" dxfId="4760" priority="7120" operator="beginsWith" text="TOPHYC">
      <formula>LEFT(AC68,LEN("TOPHYC"))="TOPHYC"</formula>
    </cfRule>
    <cfRule type="beginsWith" dxfId="4759" priority="7121" operator="beginsWith" text="Global Exam">
      <formula>LEFT(AC68,LEN("Global Exam"))="Global Exam"</formula>
    </cfRule>
    <cfRule type="beginsWith" dxfId="4758" priority="7122" operator="beginsWith" text="TOMIC">
      <formula>LEFT(AC68,LEN("TOMIC"))="TOMIC"</formula>
    </cfRule>
    <cfRule type="beginsWith" dxfId="4757" priority="7123" operator="beginsWith" text="Lancement Projet fil rouge">
      <formula>LEFT(AC68,LEN("Lancement Projet fil rouge"))="Lancement Projet fil rouge"</formula>
    </cfRule>
    <cfRule type="beginsWith" dxfId="4756" priority="7124" operator="beginsWith" text="Vacances">
      <formula>LEFT(AC68,LEN("Vacances"))="Vacances"</formula>
    </cfRule>
    <cfRule type="beginsWith" dxfId="4755" priority="7125" operator="beginsWith" text="Séminaire d'intégration">
      <formula>LEFT(AC68,LEN("Séminaire d'intégration"))="Séminaire d'intégration"</formula>
    </cfRule>
    <cfRule type="beginsWith" dxfId="4754" priority="7126" operator="beginsWith" text="Accueil">
      <formula>LEFT(AC68,LEN("Accueil"))="Accueil"</formula>
    </cfRule>
    <cfRule type="beginsWith" dxfId="4753" priority="7127" operator="beginsWith" text="Stage">
      <formula>LEFT(AC68,LEN("Stage"))="Stage"</formula>
    </cfRule>
    <cfRule type="beginsWith" dxfId="4752" priority="7128" operator="beginsWith" text="Entreprise">
      <formula>LEFT(AC68,LEN("Entreprise"))="Entreprise"</formula>
    </cfRule>
    <cfRule type="beginsWith" dxfId="4751" priority="7129" operator="beginsWith" text="Voltaire">
      <formula>LEFT(AC68,LEN("Voltaire"))="Voltaire"</formula>
    </cfRule>
  </conditionalFormatting>
  <conditionalFormatting sqref="AC106:AC110">
    <cfRule type="beginsWith" dxfId="4750" priority="7117" operator="beginsWith" text="TOPHYC">
      <formula>LEFT(AC106,LEN("TOPHYC"))="TOPHYC"</formula>
    </cfRule>
    <cfRule type="beginsWith" dxfId="4749" priority="7118" operator="beginsWith" text="Global Exam">
      <formula>LEFT(AC106,LEN("Global Exam"))="Global Exam"</formula>
    </cfRule>
    <cfRule type="beginsWith" dxfId="4748" priority="7119" operator="beginsWith" text="TOMIC">
      <formula>LEFT(AC106,LEN("TOMIC"))="TOMIC"</formula>
    </cfRule>
  </conditionalFormatting>
  <conditionalFormatting sqref="AC121:AC125">
    <cfRule type="beginsWith" dxfId="4747" priority="7170" operator="beginsWith" text="TOPHYC">
      <formula>LEFT(AC121,LEN("TOPHYC"))="TOPHYC"</formula>
    </cfRule>
    <cfRule type="beginsWith" dxfId="4746" priority="7171" operator="beginsWith" text="Global Exam">
      <formula>LEFT(AC121,LEN("Global Exam"))="Global Exam"</formula>
    </cfRule>
    <cfRule type="beginsWith" dxfId="4745" priority="7172" operator="beginsWith" text="TOMIC">
      <formula>LEFT(AC121,LEN("TOMIC"))="TOMIC"</formula>
    </cfRule>
  </conditionalFormatting>
  <conditionalFormatting sqref="AC146:AC150">
    <cfRule type="beginsWith" dxfId="4744" priority="7107" operator="beginsWith" text="Lancement Projet fil rouge">
      <formula>LEFT(AC146,LEN("Lancement Projet fil rouge"))="Lancement Projet fil rouge"</formula>
    </cfRule>
    <cfRule type="beginsWith" dxfId="4743" priority="7108" operator="beginsWith" text="Vacances">
      <formula>LEFT(AC146,LEN("Vacances"))="Vacances"</formula>
    </cfRule>
    <cfRule type="beginsWith" dxfId="4742" priority="7109" operator="beginsWith" text="Séminaire d'intégration">
      <formula>LEFT(AC146,LEN("Séminaire d'intégration"))="Séminaire d'intégration"</formula>
    </cfRule>
    <cfRule type="beginsWith" dxfId="4741" priority="7110" operator="beginsWith" text="Accueil">
      <formula>LEFT(AC146,LEN("Accueil"))="Accueil"</formula>
    </cfRule>
    <cfRule type="beginsWith" dxfId="4740" priority="7111" operator="beginsWith" text="Stage">
      <formula>LEFT(AC146,LEN("Stage"))="Stage"</formula>
    </cfRule>
    <cfRule type="beginsWith" dxfId="4739" priority="7112" operator="beginsWith" text="Entreprise">
      <formula>LEFT(AC146,LEN("Entreprise"))="Entreprise"</formula>
    </cfRule>
    <cfRule type="beginsWith" dxfId="4738" priority="7113" operator="beginsWith" text="Voltaire">
      <formula>LEFT(AC146,LEN("Voltaire"))="Voltaire"</formula>
    </cfRule>
    <cfRule type="beginsWith" dxfId="4737" priority="7114" operator="beginsWith" text="TOPHYC">
      <formula>LEFT(AC146,LEN("TOPHYC"))="TOPHYC"</formula>
    </cfRule>
    <cfRule type="beginsWith" dxfId="4736" priority="7115" operator="beginsWith" text="Global Exam">
      <formula>LEFT(AC146,LEN("Global Exam"))="Global Exam"</formula>
    </cfRule>
    <cfRule type="beginsWith" dxfId="4735" priority="7116" operator="beginsWith" text="TOMIC">
      <formula>LEFT(AC146,LEN("TOMIC"))="TOMIC"</formula>
    </cfRule>
  </conditionalFormatting>
  <conditionalFormatting sqref="AC236">
    <cfRule type="beginsWith" dxfId="4734" priority="7190" operator="beginsWith" text="Lancement Projet fil rouge">
      <formula>LEFT(AC236,LEN("Lancement Projet fil rouge"))="Lancement Projet fil rouge"</formula>
    </cfRule>
  </conditionalFormatting>
  <conditionalFormatting sqref="AB1:AC5 AB16:AC30 AB31:AB35 AB36:AC40 AB41:AB45 AB46:AC67 AB68:AB70 AC94 AC124 AB125:AC126 AB127:AB130 AB146:AB148 AB150 AB151:AC153 AC154 AC183:AC184 AB185:AC187 AC188 AB189:AC200 AC201:AC205 AB206:AC210 AC211:AC215 AB216:AC232 AC233:AC234 AB235:AC235 AB241:AC1048576 AC236:AC240 AB71:AC93 AB95:AC123 AB131:AC145 AB155:AC182">
    <cfRule type="beginsWith" dxfId="4733" priority="7208" operator="beginsWith" text="Stage">
      <formula>LEFT(AB1,LEN("Stage"))="Stage"</formula>
    </cfRule>
    <cfRule type="beginsWith" dxfId="4732" priority="7209" operator="beginsWith" text="Entreprise">
      <formula>LEFT(AB1,LEN("Entreprise"))="Entreprise"</formula>
    </cfRule>
    <cfRule type="beginsWith" dxfId="4731" priority="7211" operator="beginsWith" text="Voltaire">
      <formula>LEFT(AB1,LEN("Voltaire"))="Voltaire"</formula>
    </cfRule>
  </conditionalFormatting>
  <conditionalFormatting sqref="AB1:AC5 AB16:AC30 AB31:AB35 AB36:AC40 AB41:AB45 AB46:AC67 AB68:AB70 AC94 AC124 AB125:AC126 AB127:AB130 AB146:AB148 AB150 AB151:AC153 AC154 AC183:AC184 AB185:AC187 AC188 AB189:AC200 AC201:AC205 AB206:AC210 AC211:AC215 AB216:AC232 AC233:AC234 AB235:AC235 AB241:AC1048576 AC236:AC240 AB71:AC93 AB95:AC123 AB131:AC145 AB155:AC182">
    <cfRule type="beginsWith" dxfId="4730" priority="7206" operator="beginsWith" text="TOPHYC">
      <formula>LEFT(AB1,LEN("TOPHYC"))="TOPHYC"</formula>
    </cfRule>
    <cfRule type="beginsWith" dxfId="4729" priority="7207" operator="beginsWith" text="Global Exam">
      <formula>LEFT(AB1,LEN("Global Exam"))="Global Exam"</formula>
    </cfRule>
    <cfRule type="beginsWith" dxfId="4728" priority="7210" operator="beginsWith" text="TOMIC">
      <formula>LEFT(AB1,LEN("TOMIC"))="TOMIC"</formula>
    </cfRule>
  </conditionalFormatting>
  <conditionalFormatting sqref="AB11:AC30">
    <cfRule type="beginsWith" dxfId="4727" priority="7192" operator="beginsWith" text="Lancement Projet fil rouge">
      <formula>LEFT(AB11,LEN("Lancement Projet fil rouge"))="Lancement Projet fil rouge"</formula>
    </cfRule>
  </conditionalFormatting>
  <conditionalFormatting sqref="AB6:AC10">
    <cfRule type="beginsWith" dxfId="4726" priority="7154" operator="beginsWith" text="TOPHYC">
      <formula>LEFT(AB6,LEN("TOPHYC"))="TOPHYC"</formula>
    </cfRule>
    <cfRule type="beginsWith" dxfId="4725" priority="7155" operator="beginsWith" text="Global Exam">
      <formula>LEFT(AB6,LEN("Global Exam"))="Global Exam"</formula>
    </cfRule>
    <cfRule type="beginsWith" dxfId="4724" priority="7158" operator="beginsWith" text="TOMIC">
      <formula>LEFT(AB6,LEN("TOMIC"))="TOMIC"</formula>
    </cfRule>
  </conditionalFormatting>
  <conditionalFormatting sqref="AB11:AC15">
    <cfRule type="beginsWith" dxfId="4723" priority="7196" operator="beginsWith" text="TOPHYC">
      <formula>LEFT(AB11,LEN("TOPHYC"))="TOPHYC"</formula>
    </cfRule>
    <cfRule type="beginsWith" dxfId="4722" priority="7197" operator="beginsWith" text="Global Exam">
      <formula>LEFT(AB11,LEN("Global Exam"))="Global Exam"</formula>
    </cfRule>
    <cfRule type="beginsWith" dxfId="4721" priority="7200" operator="beginsWith" text="TOMIC">
      <formula>LEFT(AB11,LEN("TOMIC"))="TOMIC"</formula>
    </cfRule>
  </conditionalFormatting>
  <conditionalFormatting sqref="AB239:AB240">
    <cfRule type="beginsWith" dxfId="4720" priority="7053" operator="beginsWith" text="Lancement Projet fil rouge">
      <formula>LEFT(AB239,LEN("Lancement Projet fil rouge"))="Lancement Projet fil rouge"</formula>
    </cfRule>
  </conditionalFormatting>
  <conditionalFormatting sqref="AB239:AB240">
    <cfRule type="beginsWith" dxfId="4719" priority="7054" operator="beginsWith" text="Vacances">
      <formula>LEFT(AB239,LEN("Vacances"))="Vacances"</formula>
    </cfRule>
  </conditionalFormatting>
  <conditionalFormatting sqref="AB239:AB240">
    <cfRule type="beginsWith" dxfId="4718" priority="7055" operator="beginsWith" text="Séminaire d'intégration">
      <formula>LEFT(AB239,LEN("Séminaire d'intégration"))="Séminaire d'intégration"</formula>
    </cfRule>
  </conditionalFormatting>
  <conditionalFormatting sqref="AB239:AB240">
    <cfRule type="beginsWith" dxfId="4717" priority="7056" operator="beginsWith" text="Accueil">
      <formula>LEFT(AB239,LEN("Accueil"))="Accueil"</formula>
    </cfRule>
  </conditionalFormatting>
  <conditionalFormatting sqref="AB239:AB240">
    <cfRule type="beginsWith" dxfId="4716" priority="7057" operator="beginsWith" text="Stage">
      <formula>LEFT(AB239,LEN("Stage"))="Stage"</formula>
    </cfRule>
    <cfRule type="beginsWith" dxfId="4715" priority="7058" operator="beginsWith" text="Entreprise">
      <formula>LEFT(AB239,LEN("Entreprise"))="Entreprise"</formula>
    </cfRule>
    <cfRule type="beginsWith" dxfId="4714" priority="7059" operator="beginsWith" text="Voltaire">
      <formula>LEFT(AB239,LEN("Voltaire"))="Voltaire"</formula>
    </cfRule>
  </conditionalFormatting>
  <conditionalFormatting sqref="AB236">
    <cfRule type="beginsWith" dxfId="4713" priority="7043" operator="beginsWith" text="Lancement Projet fil rouge">
      <formula>LEFT(AB236,LEN("Lancement Projet fil rouge"))="Lancement Projet fil rouge"</formula>
    </cfRule>
  </conditionalFormatting>
  <conditionalFormatting sqref="AB236">
    <cfRule type="beginsWith" dxfId="4712" priority="7044" operator="beginsWith" text="Vacances">
      <formula>LEFT(AB236,LEN("Vacances"))="Vacances"</formula>
    </cfRule>
  </conditionalFormatting>
  <conditionalFormatting sqref="AB236">
    <cfRule type="beginsWith" dxfId="4711" priority="7045" operator="beginsWith" text="Séminaire d'intégration">
      <formula>LEFT(AB236,LEN("Séminaire d'intégration"))="Séminaire d'intégration"</formula>
    </cfRule>
  </conditionalFormatting>
  <conditionalFormatting sqref="AB236">
    <cfRule type="beginsWith" dxfId="4710" priority="7046" operator="beginsWith" text="Accueil">
      <formula>LEFT(AB236,LEN("Accueil"))="Accueil"</formula>
    </cfRule>
  </conditionalFormatting>
  <conditionalFormatting sqref="AB236">
    <cfRule type="beginsWith" dxfId="4709" priority="7049" operator="beginsWith" text="Stage">
      <formula>LEFT(AB236,LEN("Stage"))="Stage"</formula>
    </cfRule>
    <cfRule type="beginsWith" dxfId="4708" priority="7050" operator="beginsWith" text="Entreprise">
      <formula>LEFT(AB236,LEN("Entreprise"))="Entreprise"</formula>
    </cfRule>
    <cfRule type="beginsWith" dxfId="4707" priority="7052" operator="beginsWith" text="Voltaire">
      <formula>LEFT(AB236,LEN("Voltaire"))="Voltaire"</formula>
    </cfRule>
  </conditionalFormatting>
  <conditionalFormatting sqref="AB236">
    <cfRule type="beginsWith" dxfId="4706" priority="7047" operator="beginsWith" text="TOPHYC">
      <formula>LEFT(AB236,LEN("TOPHYC"))="TOPHYC"</formula>
    </cfRule>
    <cfRule type="beginsWith" dxfId="4705" priority="7048" operator="beginsWith" text="Global Exam">
      <formula>LEFT(AB236,LEN("Global Exam"))="Global Exam"</formula>
    </cfRule>
    <cfRule type="beginsWith" dxfId="4704" priority="7051" operator="beginsWith" text="TOMIC">
      <formula>LEFT(AB236,LEN("TOMIC"))="TOMIC"</formula>
    </cfRule>
  </conditionalFormatting>
  <conditionalFormatting sqref="AB233:AB234">
    <cfRule type="beginsWith" dxfId="4703" priority="7036" operator="beginsWith" text="Lancement Projet fil rouge">
      <formula>LEFT(AB233,LEN("Lancement Projet fil rouge"))="Lancement Projet fil rouge"</formula>
    </cfRule>
  </conditionalFormatting>
  <conditionalFormatting sqref="AB233:AB234">
    <cfRule type="beginsWith" dxfId="4702" priority="7037" operator="beginsWith" text="Vacances">
      <formula>LEFT(AB233,LEN("Vacances"))="Vacances"</formula>
    </cfRule>
  </conditionalFormatting>
  <conditionalFormatting sqref="AB233:AB234">
    <cfRule type="beginsWith" dxfId="4701" priority="7038" operator="beginsWith" text="Séminaire d'intégration">
      <formula>LEFT(AB233,LEN("Séminaire d'intégration"))="Séminaire d'intégration"</formula>
    </cfRule>
  </conditionalFormatting>
  <conditionalFormatting sqref="AB233:AB234">
    <cfRule type="beginsWith" dxfId="4700" priority="7039" operator="beginsWith" text="Accueil">
      <formula>LEFT(AB233,LEN("Accueil"))="Accueil"</formula>
    </cfRule>
  </conditionalFormatting>
  <conditionalFormatting sqref="AB233:AB234">
    <cfRule type="beginsWith" dxfId="4699" priority="7040" operator="beginsWith" text="Stage">
      <formula>LEFT(AB233,LEN("Stage"))="Stage"</formula>
    </cfRule>
    <cfRule type="beginsWith" dxfId="4698" priority="7041" operator="beginsWith" text="Entreprise">
      <formula>LEFT(AB233,LEN("Entreprise"))="Entreprise"</formula>
    </cfRule>
    <cfRule type="beginsWith" dxfId="4697" priority="7042" operator="beginsWith" text="Voltaire">
      <formula>LEFT(AB233,LEN("Voltaire"))="Voltaire"</formula>
    </cfRule>
  </conditionalFormatting>
  <conditionalFormatting sqref="Y171 Y226:Y229">
    <cfRule type="beginsWith" dxfId="4696" priority="7029" operator="beginsWith" text="Lancement Projet fil rouge">
      <formula>LEFT(Y171,LEN("Lancement Projet fil rouge"))="Lancement Projet fil rouge"</formula>
    </cfRule>
    <cfRule type="beginsWith" dxfId="4695" priority="7030" operator="beginsWith" text="Vacances">
      <formula>LEFT(Y171,LEN("Vacances"))="Vacances"</formula>
    </cfRule>
    <cfRule type="beginsWith" dxfId="4694" priority="7031" operator="beginsWith" text="Séminaire d'intégration">
      <formula>LEFT(Y171,LEN("Séminaire d'intégration"))="Séminaire d'intégration"</formula>
    </cfRule>
    <cfRule type="beginsWith" dxfId="4693" priority="7032" operator="beginsWith" text="Accueil">
      <formula>LEFT(Y171,LEN("Accueil"))="Accueil"</formula>
    </cfRule>
    <cfRule type="beginsWith" dxfId="4692" priority="7033" operator="beginsWith" text="Stage">
      <formula>LEFT(Y171,LEN("Stage"))="Stage"</formula>
    </cfRule>
    <cfRule type="beginsWith" dxfId="4691" priority="7034" operator="beginsWith" text="Entreprise">
      <formula>LEFT(Y171,LEN("Entreprise"))="Entreprise"</formula>
    </cfRule>
    <cfRule type="beginsWith" dxfId="4690" priority="7035" operator="beginsWith" text="Voltaire">
      <formula>LEFT(Y171,LEN("Voltaire"))="Voltaire"</formula>
    </cfRule>
  </conditionalFormatting>
  <conditionalFormatting sqref="Y221:Y225">
    <cfRule type="beginsWith" dxfId="4689" priority="7022" operator="beginsWith" text="Lancement Projet fil rouge">
      <formula>LEFT(Y221,LEN("Lancement Projet fil rouge"))="Lancement Projet fil rouge"</formula>
    </cfRule>
    <cfRule type="beginsWith" dxfId="4688" priority="7023" operator="beginsWith" text="Vacances">
      <formula>LEFT(Y221,LEN("Vacances"))="Vacances"</formula>
    </cfRule>
    <cfRule type="beginsWith" dxfId="4687" priority="7024" operator="beginsWith" text="Séminaire d'intégration">
      <formula>LEFT(Y221,LEN("Séminaire d'intégration"))="Séminaire d'intégration"</formula>
    </cfRule>
    <cfRule type="beginsWith" dxfId="4686" priority="7025" operator="beginsWith" text="Accueil">
      <formula>LEFT(Y221,LEN("Accueil"))="Accueil"</formula>
    </cfRule>
    <cfRule type="beginsWith" dxfId="4685" priority="7026" operator="beginsWith" text="Stage">
      <formula>LEFT(Y221,LEN("Stage"))="Stage"</formula>
    </cfRule>
    <cfRule type="beginsWith" dxfId="4684" priority="7027" operator="beginsWith" text="Entreprise">
      <formula>LEFT(Y221,LEN("Entreprise"))="Entreprise"</formula>
    </cfRule>
    <cfRule type="beginsWith" dxfId="4683" priority="7028" operator="beginsWith" text="Voltaire">
      <formula>LEFT(Y221,LEN("Voltaire"))="Voltaire"</formula>
    </cfRule>
  </conditionalFormatting>
  <conditionalFormatting sqref="Y230:Y235">
    <cfRule type="beginsWith" dxfId="4682" priority="7015" operator="beginsWith" text="Lancement Projet fil rouge">
      <formula>LEFT(Y230,LEN("Lancement Projet fil rouge"))="Lancement Projet fil rouge"</formula>
    </cfRule>
    <cfRule type="beginsWith" dxfId="4681" priority="7016" operator="beginsWith" text="Vacances">
      <formula>LEFT(Y230,LEN("Vacances"))="Vacances"</formula>
    </cfRule>
    <cfRule type="beginsWith" dxfId="4680" priority="7017" operator="beginsWith" text="Séminaire d'intégration">
      <formula>LEFT(Y230,LEN("Séminaire d'intégration"))="Séminaire d'intégration"</formula>
    </cfRule>
    <cfRule type="beginsWith" dxfId="4679" priority="7018" operator="beginsWith" text="Accueil">
      <formula>LEFT(Y230,LEN("Accueil"))="Accueil"</formula>
    </cfRule>
    <cfRule type="beginsWith" dxfId="4678" priority="7019" operator="beginsWith" text="Stage">
      <formula>LEFT(Y230,LEN("Stage"))="Stage"</formula>
    </cfRule>
    <cfRule type="beginsWith" dxfId="4677" priority="7020" operator="beginsWith" text="Entreprise">
      <formula>LEFT(Y230,LEN("Entreprise"))="Entreprise"</formula>
    </cfRule>
    <cfRule type="beginsWith" dxfId="4676" priority="7021" operator="beginsWith" text="Voltaire">
      <formula>LEFT(Y230,LEN("Voltaire"))="Voltaire"</formula>
    </cfRule>
  </conditionalFormatting>
  <conditionalFormatting sqref="Y236">
    <cfRule type="beginsWith" dxfId="4675" priority="7008" operator="beginsWith" text="Lancement Projet fil rouge">
      <formula>LEFT(Y236,LEN("Lancement Projet fil rouge"))="Lancement Projet fil rouge"</formula>
    </cfRule>
    <cfRule type="beginsWith" dxfId="4674" priority="7009" operator="beginsWith" text="Vacances">
      <formula>LEFT(Y236,LEN("Vacances"))="Vacances"</formula>
    </cfRule>
    <cfRule type="beginsWith" dxfId="4673" priority="7010" operator="beginsWith" text="Séminaire d'intégration">
      <formula>LEFT(Y236,LEN("Séminaire d'intégration"))="Séminaire d'intégration"</formula>
    </cfRule>
    <cfRule type="beginsWith" dxfId="4672" priority="7011" operator="beginsWith" text="Accueil">
      <formula>LEFT(Y236,LEN("Accueil"))="Accueil"</formula>
    </cfRule>
    <cfRule type="beginsWith" dxfId="4671" priority="7012" operator="beginsWith" text="Stage">
      <formula>LEFT(Y236,LEN("Stage"))="Stage"</formula>
    </cfRule>
    <cfRule type="beginsWith" dxfId="4670" priority="7013" operator="beginsWith" text="Entreprise">
      <formula>LEFT(Y236,LEN("Entreprise"))="Entreprise"</formula>
    </cfRule>
    <cfRule type="beginsWith" dxfId="4669" priority="7014" operator="beginsWith" text="Voltaire">
      <formula>LEFT(Y236,LEN("Voltaire"))="Voltaire"</formula>
    </cfRule>
  </conditionalFormatting>
  <conditionalFormatting sqref="AZ239:AZ240">
    <cfRule type="beginsWith" dxfId="4668" priority="7001" operator="beginsWith" text="Lancement Projet fil rouge">
      <formula>LEFT(AZ239,LEN("Lancement Projet fil rouge"))="Lancement Projet fil rouge"</formula>
    </cfRule>
  </conditionalFormatting>
  <conditionalFormatting sqref="AZ239:AZ240">
    <cfRule type="beginsWith" dxfId="4667" priority="7002" operator="beginsWith" text="Vacances">
      <formula>LEFT(AZ239,LEN("Vacances"))="Vacances"</formula>
    </cfRule>
  </conditionalFormatting>
  <conditionalFormatting sqref="AZ239:AZ240">
    <cfRule type="beginsWith" dxfId="4666" priority="7003" operator="beginsWith" text="Séminaire d'intégration">
      <formula>LEFT(AZ239,LEN("Séminaire d'intégration"))="Séminaire d'intégration"</formula>
    </cfRule>
  </conditionalFormatting>
  <conditionalFormatting sqref="AZ239:AZ240">
    <cfRule type="beginsWith" dxfId="4665" priority="7004" operator="beginsWith" text="Accueil">
      <formula>LEFT(AZ239,LEN("Accueil"))="Accueil"</formula>
    </cfRule>
  </conditionalFormatting>
  <conditionalFormatting sqref="AZ239:AZ240">
    <cfRule type="beginsWith" dxfId="4664" priority="7005" operator="beginsWith" text="Stage">
      <formula>LEFT(AZ239,LEN("Stage"))="Stage"</formula>
    </cfRule>
    <cfRule type="beginsWith" dxfId="4663" priority="7006" operator="beginsWith" text="Entreprise">
      <formula>LEFT(AZ239,LEN("Entreprise"))="Entreprise"</formula>
    </cfRule>
    <cfRule type="beginsWith" dxfId="4662" priority="7007" operator="beginsWith" text="Voltaire">
      <formula>LEFT(AZ239,LEN("Voltaire"))="Voltaire"</formula>
    </cfRule>
  </conditionalFormatting>
  <conditionalFormatting sqref="AZ236">
    <cfRule type="beginsWith" dxfId="4661" priority="6991" operator="beginsWith" text="Lancement Projet fil rouge">
      <formula>LEFT(AZ236,LEN("Lancement Projet fil rouge"))="Lancement Projet fil rouge"</formula>
    </cfRule>
  </conditionalFormatting>
  <conditionalFormatting sqref="AZ236">
    <cfRule type="beginsWith" dxfId="4660" priority="6992" operator="beginsWith" text="Vacances">
      <formula>LEFT(AZ236,LEN("Vacances"))="Vacances"</formula>
    </cfRule>
  </conditionalFormatting>
  <conditionalFormatting sqref="AZ236">
    <cfRule type="beginsWith" dxfId="4659" priority="6993" operator="beginsWith" text="Séminaire d'intégration">
      <formula>LEFT(AZ236,LEN("Séminaire d'intégration"))="Séminaire d'intégration"</formula>
    </cfRule>
  </conditionalFormatting>
  <conditionalFormatting sqref="AZ236">
    <cfRule type="beginsWith" dxfId="4658" priority="6994" operator="beginsWith" text="Accueil">
      <formula>LEFT(AZ236,LEN("Accueil"))="Accueil"</formula>
    </cfRule>
  </conditionalFormatting>
  <conditionalFormatting sqref="AZ236">
    <cfRule type="beginsWith" dxfId="4657" priority="6997" operator="beginsWith" text="Stage">
      <formula>LEFT(AZ236,LEN("Stage"))="Stage"</formula>
    </cfRule>
    <cfRule type="beginsWith" dxfId="4656" priority="6998" operator="beginsWith" text="Entreprise">
      <formula>LEFT(AZ236,LEN("Entreprise"))="Entreprise"</formula>
    </cfRule>
    <cfRule type="beginsWith" dxfId="4655" priority="7000" operator="beginsWith" text="Voltaire">
      <formula>LEFT(AZ236,LEN("Voltaire"))="Voltaire"</formula>
    </cfRule>
  </conditionalFormatting>
  <conditionalFormatting sqref="AZ236">
    <cfRule type="beginsWith" dxfId="4654" priority="6995" operator="beginsWith" text="TOPHYC">
      <formula>LEFT(AZ236,LEN("TOPHYC"))="TOPHYC"</formula>
    </cfRule>
    <cfRule type="beginsWith" dxfId="4653" priority="6996" operator="beginsWith" text="Global Exam">
      <formula>LEFT(AZ236,LEN("Global Exam"))="Global Exam"</formula>
    </cfRule>
    <cfRule type="beginsWith" dxfId="4652" priority="6999" operator="beginsWith" text="TOMIC">
      <formula>LEFT(AZ236,LEN("TOMIC"))="TOMIC"</formula>
    </cfRule>
  </conditionalFormatting>
  <conditionalFormatting sqref="AZ231:AZ235">
    <cfRule type="beginsWith" dxfId="4651" priority="6984" operator="beginsWith" text="Lancement Projet fil rouge">
      <formula>LEFT(AZ231,LEN("Lancement Projet fil rouge"))="Lancement Projet fil rouge"</formula>
    </cfRule>
  </conditionalFormatting>
  <conditionalFormatting sqref="AZ231:AZ235">
    <cfRule type="beginsWith" dxfId="4650" priority="6985" operator="beginsWith" text="Vacances">
      <formula>LEFT(AZ231,LEN("Vacances"))="Vacances"</formula>
    </cfRule>
  </conditionalFormatting>
  <conditionalFormatting sqref="AZ231:AZ235">
    <cfRule type="beginsWith" dxfId="4649" priority="6986" operator="beginsWith" text="Séminaire d'intégration">
      <formula>LEFT(AZ231,LEN("Séminaire d'intégration"))="Séminaire d'intégration"</formula>
    </cfRule>
  </conditionalFormatting>
  <conditionalFormatting sqref="AZ231:AZ235">
    <cfRule type="beginsWith" dxfId="4648" priority="6987" operator="beginsWith" text="Accueil">
      <formula>LEFT(AZ231,LEN("Accueil"))="Accueil"</formula>
    </cfRule>
  </conditionalFormatting>
  <conditionalFormatting sqref="AZ231:AZ235">
    <cfRule type="beginsWith" dxfId="4647" priority="6988" operator="beginsWith" text="Stage">
      <formula>LEFT(AZ231,LEN("Stage"))="Stage"</formula>
    </cfRule>
    <cfRule type="beginsWith" dxfId="4646" priority="6989" operator="beginsWith" text="Entreprise">
      <formula>LEFT(AZ231,LEN("Entreprise"))="Entreprise"</formula>
    </cfRule>
    <cfRule type="beginsWith" dxfId="4645" priority="6990" operator="beginsWith" text="Voltaire">
      <formula>LEFT(AZ231,LEN("Voltaire"))="Voltaire"</formula>
    </cfRule>
  </conditionalFormatting>
  <conditionalFormatting sqref="AV76">
    <cfRule type="beginsWith" dxfId="4644" priority="6976" operator="beginsWith" text="Projet professionnel : Séminaire PFI">
      <formula>LEFT(AV76,LEN("Projet professionnel : Séminaire PFI"))="Projet professionnel : Séminaire PFI"</formula>
    </cfRule>
    <cfRule type="beginsWith" dxfId="4643" priority="6977" operator="beginsWith" text="Lancement Projet fil rouge">
      <formula>LEFT(AV76,LEN("Lancement Projet fil rouge"))="Lancement Projet fil rouge"</formula>
    </cfRule>
    <cfRule type="beginsWith" dxfId="4642" priority="6978" operator="beginsWith" text="Vacances">
      <formula>LEFT(AV76,LEN("Vacances"))="Vacances"</formula>
    </cfRule>
    <cfRule type="beginsWith" dxfId="4641" priority="6979" operator="beginsWith" text="Séminaire d'intégration">
      <formula>LEFT(AV76,LEN("Séminaire d'intégration"))="Séminaire d'intégration"</formula>
    </cfRule>
    <cfRule type="beginsWith" dxfId="4640" priority="6980" operator="beginsWith" text="Accueil">
      <formula>LEFT(AV76,LEN("Accueil"))="Accueil"</formula>
    </cfRule>
    <cfRule type="beginsWith" dxfId="4639" priority="6981" operator="beginsWith" text="Stage">
      <formula>LEFT(AV76,LEN("Stage"))="Stage"</formula>
    </cfRule>
    <cfRule type="beginsWith" dxfId="4638" priority="6982" operator="beginsWith" text="Entreprise">
      <formula>LEFT(AV76,LEN("Entreprise"))="Entreprise"</formula>
    </cfRule>
    <cfRule type="beginsWith" dxfId="4637" priority="6983" operator="beginsWith" text="Voltaire">
      <formula>LEFT(AV76,LEN("Voltaire"))="Voltaire"</formula>
    </cfRule>
  </conditionalFormatting>
  <conditionalFormatting sqref="AV136:AV138">
    <cfRule type="beginsWith" dxfId="4636" priority="6968" operator="beginsWith" text="Projet professionnel : Séminaire PFI">
      <formula>LEFT(AV136,LEN("Projet professionnel : Séminaire PFI"))="Projet professionnel : Séminaire PFI"</formula>
    </cfRule>
    <cfRule type="beginsWith" dxfId="4635" priority="6969" operator="beginsWith" text="Lancement Projet fil rouge">
      <formula>LEFT(AV136,LEN("Lancement Projet fil rouge"))="Lancement Projet fil rouge"</formula>
    </cfRule>
    <cfRule type="beginsWith" dxfId="4634" priority="6970" operator="beginsWith" text="Vacances">
      <formula>LEFT(AV136,LEN("Vacances"))="Vacances"</formula>
    </cfRule>
    <cfRule type="beginsWith" dxfId="4633" priority="6971" operator="beginsWith" text="Séminaire d'intégration">
      <formula>LEFT(AV136,LEN("Séminaire d'intégration"))="Séminaire d'intégration"</formula>
    </cfRule>
    <cfRule type="beginsWith" dxfId="4632" priority="6972" operator="beginsWith" text="Accueil">
      <formula>LEFT(AV136,LEN("Accueil"))="Accueil"</formula>
    </cfRule>
    <cfRule type="beginsWith" dxfId="4631" priority="6973" operator="beginsWith" text="Stage">
      <formula>LEFT(AV136,LEN("Stage"))="Stage"</formula>
    </cfRule>
    <cfRule type="beginsWith" dxfId="4630" priority="6974" operator="beginsWith" text="Entreprise">
      <formula>LEFT(AV136,LEN("Entreprise"))="Entreprise"</formula>
    </cfRule>
    <cfRule type="beginsWith" dxfId="4629" priority="6975" operator="beginsWith" text="Voltaire">
      <formula>LEFT(AV136,LEN("Voltaire"))="Voltaire"</formula>
    </cfRule>
  </conditionalFormatting>
  <conditionalFormatting sqref="AV161">
    <cfRule type="beginsWith" dxfId="4628" priority="6952" operator="beginsWith" text="Projet professionnel : Séminaire PFI">
      <formula>LEFT(AV161,LEN("Projet professionnel : Séminaire PFI"))="Projet professionnel : Séminaire PFI"</formula>
    </cfRule>
    <cfRule type="beginsWith" dxfId="4627" priority="6953" operator="beginsWith" text="Lancement Projet fil rouge">
      <formula>LEFT(AV161,LEN("Lancement Projet fil rouge"))="Lancement Projet fil rouge"</formula>
    </cfRule>
    <cfRule type="beginsWith" dxfId="4626" priority="6954" operator="beginsWith" text="Vacances">
      <formula>LEFT(AV161,LEN("Vacances"))="Vacances"</formula>
    </cfRule>
    <cfRule type="beginsWith" dxfId="4625" priority="6955" operator="beginsWith" text="Séminaire d'intégration">
      <formula>LEFT(AV161,LEN("Séminaire d'intégration"))="Séminaire d'intégration"</formula>
    </cfRule>
    <cfRule type="beginsWith" dxfId="4624" priority="6956" operator="beginsWith" text="Accueil">
      <formula>LEFT(AV161,LEN("Accueil"))="Accueil"</formula>
    </cfRule>
    <cfRule type="beginsWith" dxfId="4623" priority="6957" operator="beginsWith" text="Stage">
      <formula>LEFT(AV161,LEN("Stage"))="Stage"</formula>
    </cfRule>
    <cfRule type="beginsWith" dxfId="4622" priority="6958" operator="beginsWith" text="Entreprise">
      <formula>LEFT(AV161,LEN("Entreprise"))="Entreprise"</formula>
    </cfRule>
    <cfRule type="beginsWith" dxfId="4621" priority="6959" operator="beginsWith" text="Voltaire">
      <formula>LEFT(AV161,LEN("Voltaire"))="Voltaire"</formula>
    </cfRule>
    <cfRule type="beginsWith" dxfId="4620" priority="6960" operator="beginsWith" text="Projet professionnel : Séminaire PFI">
      <formula>LEFT(AV161,LEN("Projet professionnel : Séminaire PFI"))="Projet professionnel : Séminaire PFI"</formula>
    </cfRule>
    <cfRule type="beginsWith" dxfId="4619" priority="6961" operator="beginsWith" text="Lancement Projet fil rouge">
      <formula>LEFT(AV161,LEN("Lancement Projet fil rouge"))="Lancement Projet fil rouge"</formula>
    </cfRule>
    <cfRule type="beginsWith" dxfId="4618" priority="6962" operator="beginsWith" text="Vacances">
      <formula>LEFT(AV161,LEN("Vacances"))="Vacances"</formula>
    </cfRule>
    <cfRule type="beginsWith" dxfId="4617" priority="6963" operator="beginsWith" text="Séminaire d'intégration">
      <formula>LEFT(AV161,LEN("Séminaire d'intégration"))="Séminaire d'intégration"</formula>
    </cfRule>
    <cfRule type="beginsWith" dxfId="4616" priority="6964" operator="beginsWith" text="Accueil">
      <formula>LEFT(AV161,LEN("Accueil"))="Accueil"</formula>
    </cfRule>
    <cfRule type="beginsWith" dxfId="4615" priority="6965" operator="beginsWith" text="Stage">
      <formula>LEFT(AV161,LEN("Stage"))="Stage"</formula>
    </cfRule>
    <cfRule type="beginsWith" dxfId="4614" priority="6966" operator="beginsWith" text="Entreprise">
      <formula>LEFT(AV161,LEN("Entreprise"))="Entreprise"</formula>
    </cfRule>
    <cfRule type="beginsWith" dxfId="4613" priority="6967" operator="beginsWith" text="Voltaire">
      <formula>LEFT(AV161,LEN("Voltaire"))="Voltaire"</formula>
    </cfRule>
  </conditionalFormatting>
  <conditionalFormatting sqref="AV126">
    <cfRule type="beginsWith" dxfId="4612" priority="6944" operator="beginsWith" text="Projet professionnel : Séminaire PFI">
      <formula>LEFT(AV126,LEN("Projet professionnel : Séminaire PFI"))="Projet professionnel : Séminaire PFI"</formula>
    </cfRule>
    <cfRule type="beginsWith" dxfId="4611" priority="6945" operator="beginsWith" text="Lancement Projet fil rouge">
      <formula>LEFT(AV126,LEN("Lancement Projet fil rouge"))="Lancement Projet fil rouge"</formula>
    </cfRule>
    <cfRule type="beginsWith" dxfId="4610" priority="6946" operator="beginsWith" text="Vacances">
      <formula>LEFT(AV126,LEN("Vacances"))="Vacances"</formula>
    </cfRule>
    <cfRule type="beginsWith" dxfId="4609" priority="6947" operator="beginsWith" text="Séminaire d'intégration">
      <formula>LEFT(AV126,LEN("Séminaire d'intégration"))="Séminaire d'intégration"</formula>
    </cfRule>
    <cfRule type="beginsWith" dxfId="4608" priority="6948" operator="beginsWith" text="Accueil">
      <formula>LEFT(AV126,LEN("Accueil"))="Accueil"</formula>
    </cfRule>
    <cfRule type="beginsWith" dxfId="4607" priority="6949" operator="beginsWith" text="Stage">
      <formula>LEFT(AV126,LEN("Stage"))="Stage"</formula>
    </cfRule>
    <cfRule type="beginsWith" dxfId="4606" priority="6950" operator="beginsWith" text="Entreprise">
      <formula>LEFT(AV126,LEN("Entreprise"))="Entreprise"</formula>
    </cfRule>
    <cfRule type="beginsWith" dxfId="4605" priority="6951" operator="beginsWith" text="Voltaire">
      <formula>LEFT(AV126,LEN("Voltaire"))="Voltaire"</formula>
    </cfRule>
  </conditionalFormatting>
  <conditionalFormatting sqref="AV139:AV150">
    <cfRule type="beginsWith" dxfId="4604" priority="6936" operator="beginsWith" text="Projet professionnel : Séminaire PFI">
      <formula>LEFT(AV139,LEN("Projet professionnel : Séminaire PFI"))="Projet professionnel : Séminaire PFI"</formula>
    </cfRule>
    <cfRule type="beginsWith" dxfId="4603" priority="6937" operator="beginsWith" text="Lancement Projet fil rouge">
      <formula>LEFT(AV139,LEN("Lancement Projet fil rouge"))="Lancement Projet fil rouge"</formula>
    </cfRule>
    <cfRule type="beginsWith" dxfId="4602" priority="6938" operator="beginsWith" text="Vacances">
      <formula>LEFT(AV139,LEN("Vacances"))="Vacances"</formula>
    </cfRule>
    <cfRule type="beginsWith" dxfId="4601" priority="6939" operator="beginsWith" text="Séminaire d'intégration">
      <formula>LEFT(AV139,LEN("Séminaire d'intégration"))="Séminaire d'intégration"</formula>
    </cfRule>
    <cfRule type="beginsWith" dxfId="4600" priority="6940" operator="beginsWith" text="Accueil">
      <formula>LEFT(AV139,LEN("Accueil"))="Accueil"</formula>
    </cfRule>
    <cfRule type="beginsWith" dxfId="4599" priority="6941" operator="beginsWith" text="Stage">
      <formula>LEFT(AV139,LEN("Stage"))="Stage"</formula>
    </cfRule>
    <cfRule type="beginsWith" dxfId="4598" priority="6942" operator="beginsWith" text="Entreprise">
      <formula>LEFT(AV139,LEN("Entreprise"))="Entreprise"</formula>
    </cfRule>
    <cfRule type="beginsWith" dxfId="4597" priority="6943" operator="beginsWith" text="Voltaire">
      <formula>LEFT(AV139,LEN("Voltaire"))="Voltaire"</formula>
    </cfRule>
  </conditionalFormatting>
  <conditionalFormatting sqref="AV191">
    <cfRule type="beginsWith" dxfId="4596" priority="6928" operator="beginsWith" text="Projet professionnel : Séminaire PFI">
      <formula>LEFT(AV191,LEN("Projet professionnel : Séminaire PFI"))="Projet professionnel : Séminaire PFI"</formula>
    </cfRule>
    <cfRule type="beginsWith" dxfId="4595" priority="6929" operator="beginsWith" text="Lancement Projet fil rouge">
      <formula>LEFT(AV191,LEN("Lancement Projet fil rouge"))="Lancement Projet fil rouge"</formula>
    </cfRule>
    <cfRule type="beginsWith" dxfId="4594" priority="6930" operator="beginsWith" text="Vacances">
      <formula>LEFT(AV191,LEN("Vacances"))="Vacances"</formula>
    </cfRule>
    <cfRule type="beginsWith" dxfId="4593" priority="6931" operator="beginsWith" text="Séminaire d'intégration">
      <formula>LEFT(AV191,LEN("Séminaire d'intégration"))="Séminaire d'intégration"</formula>
    </cfRule>
    <cfRule type="beginsWith" dxfId="4592" priority="6932" operator="beginsWith" text="Accueil">
      <formula>LEFT(AV191,LEN("Accueil"))="Accueil"</formula>
    </cfRule>
    <cfRule type="beginsWith" dxfId="4591" priority="6933" operator="beginsWith" text="Stage">
      <formula>LEFT(AV191,LEN("Stage"))="Stage"</formula>
    </cfRule>
    <cfRule type="beginsWith" dxfId="4590" priority="6934" operator="beginsWith" text="Entreprise">
      <formula>LEFT(AV191,LEN("Entreprise"))="Entreprise"</formula>
    </cfRule>
    <cfRule type="beginsWith" dxfId="4589" priority="6935" operator="beginsWith" text="Voltaire">
      <formula>LEFT(AV191,LEN("Voltaire"))="Voltaire"</formula>
    </cfRule>
  </conditionalFormatting>
  <conditionalFormatting sqref="AV241">
    <cfRule type="beginsWith" dxfId="4588" priority="6920" operator="beginsWith" text="Projet professionnel : Séminaire PFI">
      <formula>LEFT(AV241,LEN("Projet professionnel : Séminaire PFI"))="Projet professionnel : Séminaire PFI"</formula>
    </cfRule>
    <cfRule type="beginsWith" dxfId="4587" priority="6921" operator="beginsWith" text="Lancement Projet fil rouge">
      <formula>LEFT(AV241,LEN("Lancement Projet fil rouge"))="Lancement Projet fil rouge"</formula>
    </cfRule>
    <cfRule type="beginsWith" dxfId="4586" priority="6922" operator="beginsWith" text="Vacances">
      <formula>LEFT(AV241,LEN("Vacances"))="Vacances"</formula>
    </cfRule>
    <cfRule type="beginsWith" dxfId="4585" priority="6923" operator="beginsWith" text="Séminaire d'intégration">
      <formula>LEFT(AV241,LEN("Séminaire d'intégration"))="Séminaire d'intégration"</formula>
    </cfRule>
    <cfRule type="beginsWith" dxfId="4584" priority="6924" operator="beginsWith" text="Accueil">
      <formula>LEFT(AV241,LEN("Accueil"))="Accueil"</formula>
    </cfRule>
    <cfRule type="beginsWith" dxfId="4583" priority="6925" operator="beginsWith" text="Stage">
      <formula>LEFT(AV241,LEN("Stage"))="Stage"</formula>
    </cfRule>
    <cfRule type="beginsWith" dxfId="4582" priority="6926" operator="beginsWith" text="Entreprise">
      <formula>LEFT(AV241,LEN("Entreprise"))="Entreprise"</formula>
    </cfRule>
    <cfRule type="beginsWith" dxfId="4581" priority="6927" operator="beginsWith" text="Voltaire">
      <formula>LEFT(AV241,LEN("Voltaire"))="Voltaire"</formula>
    </cfRule>
  </conditionalFormatting>
  <conditionalFormatting sqref="AV216">
    <cfRule type="beginsWith" dxfId="4580" priority="6912" operator="beginsWith" text="Projet professionnel : Séminaire PFI">
      <formula>LEFT(AV216,LEN("Projet professionnel : Séminaire PFI"))="Projet professionnel : Séminaire PFI"</formula>
    </cfRule>
    <cfRule type="beginsWith" dxfId="4579" priority="6913" operator="beginsWith" text="Lancement Projet fil rouge">
      <formula>LEFT(AV216,LEN("Lancement Projet fil rouge"))="Lancement Projet fil rouge"</formula>
    </cfRule>
    <cfRule type="beginsWith" dxfId="4578" priority="6914" operator="beginsWith" text="Vacances">
      <formula>LEFT(AV216,LEN("Vacances"))="Vacances"</formula>
    </cfRule>
    <cfRule type="beginsWith" dxfId="4577" priority="6915" operator="beginsWith" text="Séminaire d'intégration">
      <formula>LEFT(AV216,LEN("Séminaire d'intégration"))="Séminaire d'intégration"</formula>
    </cfRule>
    <cfRule type="beginsWith" dxfId="4576" priority="6916" operator="beginsWith" text="Accueil">
      <formula>LEFT(AV216,LEN("Accueil"))="Accueil"</formula>
    </cfRule>
    <cfRule type="beginsWith" dxfId="4575" priority="6917" operator="beginsWith" text="Stage">
      <formula>LEFT(AV216,LEN("Stage"))="Stage"</formula>
    </cfRule>
    <cfRule type="beginsWith" dxfId="4574" priority="6918" operator="beginsWith" text="Entreprise">
      <formula>LEFT(AV216,LEN("Entreprise"))="Entreprise"</formula>
    </cfRule>
    <cfRule type="beginsWith" dxfId="4573" priority="6919" operator="beginsWith" text="Voltaire">
      <formula>LEFT(AV216,LEN("Voltaire"))="Voltaire"</formula>
    </cfRule>
  </conditionalFormatting>
  <conditionalFormatting sqref="BH176">
    <cfRule type="beginsWith" dxfId="4572" priority="6623" operator="beginsWith" text="Projet professionnel : Séminaire PFI">
      <formula>LEFT(BH176,LEN("Projet professionnel : Séminaire PFI"))="Projet professionnel : Séminaire PFI"</formula>
    </cfRule>
    <cfRule type="beginsWith" dxfId="4571" priority="6624" operator="beginsWith" text="Lancement Projet fil rouge">
      <formula>LEFT(BH176,LEN("Lancement Projet fil rouge"))="Lancement Projet fil rouge"</formula>
    </cfRule>
    <cfRule type="beginsWith" dxfId="4570" priority="6625" operator="beginsWith" text="Vacances">
      <formula>LEFT(BH176,LEN("Vacances"))="Vacances"</formula>
    </cfRule>
    <cfRule type="beginsWith" dxfId="4569" priority="6626" operator="beginsWith" text="Séminaire d'intégration">
      <formula>LEFT(BH176,LEN("Séminaire d'intégration"))="Séminaire d'intégration"</formula>
    </cfRule>
    <cfRule type="beginsWith" dxfId="4568" priority="6627" operator="beginsWith" text="Accueil">
      <formula>LEFT(BH176,LEN("Accueil"))="Accueil"</formula>
    </cfRule>
    <cfRule type="beginsWith" dxfId="4567" priority="6628" operator="beginsWith" text="Stage">
      <formula>LEFT(BH176,LEN("Stage"))="Stage"</formula>
    </cfRule>
    <cfRule type="beginsWith" dxfId="4566" priority="6629" operator="beginsWith" text="Entreprise">
      <formula>LEFT(BH176,LEN("Entreprise"))="Entreprise"</formula>
    </cfRule>
    <cfRule type="beginsWith" dxfId="4565" priority="6630" operator="beginsWith" text="Voltaire">
      <formula>LEFT(BH176,LEN("Voltaire"))="Voltaire"</formula>
    </cfRule>
  </conditionalFormatting>
  <conditionalFormatting sqref="BH196">
    <cfRule type="beginsWith" dxfId="4564" priority="6607" operator="beginsWith" text="Projet professionnel : Séminaire PFI">
      <formula>LEFT(BH196,LEN("Projet professionnel : Séminaire PFI"))="Projet professionnel : Séminaire PFI"</formula>
    </cfRule>
    <cfRule type="beginsWith" dxfId="4563" priority="6608" operator="beginsWith" text="Lancement Projet fil rouge">
      <formula>LEFT(BH196,LEN("Lancement Projet fil rouge"))="Lancement Projet fil rouge"</formula>
    </cfRule>
    <cfRule type="beginsWith" dxfId="4562" priority="6609" operator="beginsWith" text="Vacances">
      <formula>LEFT(BH196,LEN("Vacances"))="Vacances"</formula>
    </cfRule>
    <cfRule type="beginsWith" dxfId="4561" priority="6610" operator="beginsWith" text="Séminaire d'intégration">
      <formula>LEFT(BH196,LEN("Séminaire d'intégration"))="Séminaire d'intégration"</formula>
    </cfRule>
    <cfRule type="beginsWith" dxfId="4560" priority="6611" operator="beginsWith" text="Accueil">
      <formula>LEFT(BH196,LEN("Accueil"))="Accueil"</formula>
    </cfRule>
    <cfRule type="beginsWith" dxfId="4559" priority="6612" operator="beginsWith" text="Stage">
      <formula>LEFT(BH196,LEN("Stage"))="Stage"</formula>
    </cfRule>
    <cfRule type="beginsWith" dxfId="4558" priority="6613" operator="beginsWith" text="Entreprise">
      <formula>LEFT(BH196,LEN("Entreprise"))="Entreprise"</formula>
    </cfRule>
    <cfRule type="beginsWith" dxfId="4557" priority="6614" operator="beginsWith" text="Voltaire">
      <formula>LEFT(BH196,LEN("Voltaire"))="Voltaire"</formula>
    </cfRule>
  </conditionalFormatting>
  <conditionalFormatting sqref="BH186">
    <cfRule type="beginsWith" dxfId="4556" priority="6599" operator="beginsWith" text="Projet professionnel : Séminaire PFI">
      <formula>LEFT(BH186,LEN("Projet professionnel : Séminaire PFI"))="Projet professionnel : Séminaire PFI"</formula>
    </cfRule>
    <cfRule type="beginsWith" dxfId="4555" priority="6600" operator="beginsWith" text="Lancement Projet fil rouge">
      <formula>LEFT(BH186,LEN("Lancement Projet fil rouge"))="Lancement Projet fil rouge"</formula>
    </cfRule>
    <cfRule type="beginsWith" dxfId="4554" priority="6601" operator="beginsWith" text="Vacances">
      <formula>LEFT(BH186,LEN("Vacances"))="Vacances"</formula>
    </cfRule>
    <cfRule type="beginsWith" dxfId="4553" priority="6602" operator="beginsWith" text="Séminaire d'intégration">
      <formula>LEFT(BH186,LEN("Séminaire d'intégration"))="Séminaire d'intégration"</formula>
    </cfRule>
    <cfRule type="beginsWith" dxfId="4552" priority="6603" operator="beginsWith" text="Accueil">
      <formula>LEFT(BH186,LEN("Accueil"))="Accueil"</formula>
    </cfRule>
    <cfRule type="beginsWith" dxfId="4551" priority="6604" operator="beginsWith" text="Stage">
      <formula>LEFT(BH186,LEN("Stage"))="Stage"</formula>
    </cfRule>
    <cfRule type="beginsWith" dxfId="4550" priority="6605" operator="beginsWith" text="Entreprise">
      <formula>LEFT(BH186,LEN("Entreprise"))="Entreprise"</formula>
    </cfRule>
    <cfRule type="beginsWith" dxfId="4549" priority="6606" operator="beginsWith" text="Voltaire">
      <formula>LEFT(BH186,LEN("Voltaire"))="Voltaire"</formula>
    </cfRule>
  </conditionalFormatting>
  <conditionalFormatting sqref="BH191">
    <cfRule type="beginsWith" dxfId="4548" priority="6591" operator="beginsWith" text="Projet professionnel : Séminaire PFI">
      <formula>LEFT(BH191,LEN("Projet professionnel : Séminaire PFI"))="Projet professionnel : Séminaire PFI"</formula>
    </cfRule>
    <cfRule type="beginsWith" dxfId="4547" priority="6592" operator="beginsWith" text="Lancement Projet fil rouge">
      <formula>LEFT(BH191,LEN("Lancement Projet fil rouge"))="Lancement Projet fil rouge"</formula>
    </cfRule>
    <cfRule type="beginsWith" dxfId="4546" priority="6593" operator="beginsWith" text="Vacances">
      <formula>LEFT(BH191,LEN("Vacances"))="Vacances"</formula>
    </cfRule>
    <cfRule type="beginsWith" dxfId="4545" priority="6594" operator="beginsWith" text="Séminaire d'intégration">
      <formula>LEFT(BH191,LEN("Séminaire d'intégration"))="Séminaire d'intégration"</formula>
    </cfRule>
    <cfRule type="beginsWith" dxfId="4544" priority="6595" operator="beginsWith" text="Accueil">
      <formula>LEFT(BH191,LEN("Accueil"))="Accueil"</formula>
    </cfRule>
    <cfRule type="beginsWith" dxfId="4543" priority="6596" operator="beginsWith" text="Stage">
      <formula>LEFT(BH191,LEN("Stage"))="Stage"</formula>
    </cfRule>
    <cfRule type="beginsWith" dxfId="4542" priority="6597" operator="beginsWith" text="Entreprise">
      <formula>LEFT(BH191,LEN("Entreprise"))="Entreprise"</formula>
    </cfRule>
    <cfRule type="beginsWith" dxfId="4541" priority="6598" operator="beginsWith" text="Voltaire">
      <formula>LEFT(BH191,LEN("Voltaire"))="Voltaire"</formula>
    </cfRule>
  </conditionalFormatting>
  <conditionalFormatting sqref="BK239:BK240">
    <cfRule type="beginsWith" dxfId="4540" priority="6584" operator="beginsWith" text="Lancement Projet fil rouge">
      <formula>LEFT(BK239,LEN("Lancement Projet fil rouge"))="Lancement Projet fil rouge"</formula>
    </cfRule>
  </conditionalFormatting>
  <conditionalFormatting sqref="BK239:BK240">
    <cfRule type="beginsWith" dxfId="4539" priority="6585" operator="beginsWith" text="Vacances">
      <formula>LEFT(BK239,LEN("Vacances"))="Vacances"</formula>
    </cfRule>
  </conditionalFormatting>
  <conditionalFormatting sqref="BK239:BK240">
    <cfRule type="beginsWith" dxfId="4538" priority="6586" operator="beginsWith" text="Séminaire d'intégration">
      <formula>LEFT(BK239,LEN("Séminaire d'intégration"))="Séminaire d'intégration"</formula>
    </cfRule>
  </conditionalFormatting>
  <conditionalFormatting sqref="BK239:BK240">
    <cfRule type="beginsWith" dxfId="4537" priority="6587" operator="beginsWith" text="Accueil">
      <formula>LEFT(BK239,LEN("Accueil"))="Accueil"</formula>
    </cfRule>
  </conditionalFormatting>
  <conditionalFormatting sqref="BK239:BK240">
    <cfRule type="beginsWith" dxfId="4536" priority="6588" operator="beginsWith" text="Stage">
      <formula>LEFT(BK239,LEN("Stage"))="Stage"</formula>
    </cfRule>
    <cfRule type="beginsWith" dxfId="4535" priority="6589" operator="beginsWith" text="Entreprise">
      <formula>LEFT(BK239,LEN("Entreprise"))="Entreprise"</formula>
    </cfRule>
    <cfRule type="beginsWith" dxfId="4534" priority="6590" operator="beginsWith" text="Voltaire">
      <formula>LEFT(BK239,LEN("Voltaire"))="Voltaire"</formula>
    </cfRule>
  </conditionalFormatting>
  <conditionalFormatting sqref="BK236">
    <cfRule type="beginsWith" dxfId="4533" priority="6574" operator="beginsWith" text="Lancement Projet fil rouge">
      <formula>LEFT(BK236,LEN("Lancement Projet fil rouge"))="Lancement Projet fil rouge"</formula>
    </cfRule>
  </conditionalFormatting>
  <conditionalFormatting sqref="BK236">
    <cfRule type="beginsWith" dxfId="4532" priority="6575" operator="beginsWith" text="Vacances">
      <formula>LEFT(BK236,LEN("Vacances"))="Vacances"</formula>
    </cfRule>
  </conditionalFormatting>
  <conditionalFormatting sqref="BK236">
    <cfRule type="beginsWith" dxfId="4531" priority="6576" operator="beginsWith" text="Séminaire d'intégration">
      <formula>LEFT(BK236,LEN("Séminaire d'intégration"))="Séminaire d'intégration"</formula>
    </cfRule>
  </conditionalFormatting>
  <conditionalFormatting sqref="BK236">
    <cfRule type="beginsWith" dxfId="4530" priority="6577" operator="beginsWith" text="Accueil">
      <formula>LEFT(BK236,LEN("Accueil"))="Accueil"</formula>
    </cfRule>
  </conditionalFormatting>
  <conditionalFormatting sqref="BK236">
    <cfRule type="beginsWith" dxfId="4529" priority="6580" operator="beginsWith" text="Stage">
      <formula>LEFT(BK236,LEN("Stage"))="Stage"</formula>
    </cfRule>
    <cfRule type="beginsWith" dxfId="4528" priority="6581" operator="beginsWith" text="Entreprise">
      <formula>LEFT(BK236,LEN("Entreprise"))="Entreprise"</formula>
    </cfRule>
    <cfRule type="beginsWith" dxfId="4527" priority="6583" operator="beginsWith" text="Voltaire">
      <formula>LEFT(BK236,LEN("Voltaire"))="Voltaire"</formula>
    </cfRule>
  </conditionalFormatting>
  <conditionalFormatting sqref="BK236">
    <cfRule type="beginsWith" dxfId="4526" priority="6578" operator="beginsWith" text="TOPHYC">
      <formula>LEFT(BK236,LEN("TOPHYC"))="TOPHYC"</formula>
    </cfRule>
    <cfRule type="beginsWith" dxfId="4525" priority="6579" operator="beginsWith" text="Global Exam">
      <formula>LEFT(BK236,LEN("Global Exam"))="Global Exam"</formula>
    </cfRule>
    <cfRule type="beginsWith" dxfId="4524" priority="6582" operator="beginsWith" text="TOMIC">
      <formula>LEFT(BK236,LEN("TOMIC"))="TOMIC"</formula>
    </cfRule>
  </conditionalFormatting>
  <conditionalFormatting sqref="BK231:BK235">
    <cfRule type="beginsWith" dxfId="4523" priority="6567" operator="beginsWith" text="Lancement Projet fil rouge">
      <formula>LEFT(BK231,LEN("Lancement Projet fil rouge"))="Lancement Projet fil rouge"</formula>
    </cfRule>
  </conditionalFormatting>
  <conditionalFormatting sqref="BK231:BK235">
    <cfRule type="beginsWith" dxfId="4522" priority="6568" operator="beginsWith" text="Vacances">
      <formula>LEFT(BK231,LEN("Vacances"))="Vacances"</formula>
    </cfRule>
  </conditionalFormatting>
  <conditionalFormatting sqref="BK231:BK235">
    <cfRule type="beginsWith" dxfId="4521" priority="6569" operator="beginsWith" text="Séminaire d'intégration">
      <formula>LEFT(BK231,LEN("Séminaire d'intégration"))="Séminaire d'intégration"</formula>
    </cfRule>
  </conditionalFormatting>
  <conditionalFormatting sqref="BK231:BK235">
    <cfRule type="beginsWith" dxfId="4520" priority="6570" operator="beginsWith" text="Accueil">
      <formula>LEFT(BK231,LEN("Accueil"))="Accueil"</formula>
    </cfRule>
  </conditionalFormatting>
  <conditionalFormatting sqref="BK231:BK235">
    <cfRule type="beginsWith" dxfId="4519" priority="6571" operator="beginsWith" text="Stage">
      <formula>LEFT(BK231,LEN("Stage"))="Stage"</formula>
    </cfRule>
    <cfRule type="beginsWith" dxfId="4518" priority="6572" operator="beginsWith" text="Entreprise">
      <formula>LEFT(BK231,LEN("Entreprise"))="Entreprise"</formula>
    </cfRule>
    <cfRule type="beginsWith" dxfId="4517" priority="6573" operator="beginsWith" text="Voltaire">
      <formula>LEFT(BK231,LEN("Voltaire"))="Voltaire"</formula>
    </cfRule>
  </conditionalFormatting>
  <conditionalFormatting sqref="BH236">
    <cfRule type="beginsWith" dxfId="4516" priority="6560" operator="beginsWith" text="Lancement Projet fil rouge">
      <formula>LEFT(BH236,LEN("Lancement Projet fil rouge"))="Lancement Projet fil rouge"</formula>
    </cfRule>
  </conditionalFormatting>
  <conditionalFormatting sqref="BH226">
    <cfRule type="beginsWith" dxfId="4515" priority="6551" operator="beginsWith" text="Projet professionnel : Séminaire PFI">
      <formula>LEFT(BH226,LEN("Projet professionnel : Séminaire PFI"))="Projet professionnel : Séminaire PFI"</formula>
    </cfRule>
    <cfRule type="beginsWith" dxfId="4514" priority="6552" operator="beginsWith" text="Lancement Projet fil rouge">
      <formula>LEFT(BH226,LEN("Lancement Projet fil rouge"))="Lancement Projet fil rouge"</formula>
    </cfRule>
    <cfRule type="beginsWith" dxfId="4513" priority="6553" operator="beginsWith" text="Vacances">
      <formula>LEFT(BH226,LEN("Vacances"))="Vacances"</formula>
    </cfRule>
    <cfRule type="beginsWith" dxfId="4512" priority="6554" operator="beginsWith" text="Séminaire d'intégration">
      <formula>LEFT(BH226,LEN("Séminaire d'intégration"))="Séminaire d'intégration"</formula>
    </cfRule>
    <cfRule type="beginsWith" dxfId="4511" priority="6555" operator="beginsWith" text="Accueil">
      <formula>LEFT(BH226,LEN("Accueil"))="Accueil"</formula>
    </cfRule>
    <cfRule type="beginsWith" dxfId="4510" priority="6556" operator="beginsWith" text="Stage">
      <formula>LEFT(BH226,LEN("Stage"))="Stage"</formula>
    </cfRule>
    <cfRule type="beginsWith" dxfId="4509" priority="6557" operator="beginsWith" text="Entreprise">
      <formula>LEFT(BH226,LEN("Entreprise"))="Entreprise"</formula>
    </cfRule>
    <cfRule type="beginsWith" dxfId="4508" priority="6558" operator="beginsWith" text="Voltaire">
      <formula>LEFT(BH226,LEN("Voltaire"))="Voltaire"</formula>
    </cfRule>
  </conditionalFormatting>
  <conditionalFormatting sqref="BH236">
    <cfRule type="beginsWith" dxfId="4507" priority="6559" operator="beginsWith" text="Projet professionnel : Séminaire PFI">
      <formula>LEFT(BH236,LEN("Projet professionnel : Séminaire PFI"))="Projet professionnel : Séminaire PFI"</formula>
    </cfRule>
    <cfRule type="beginsWith" dxfId="4506" priority="6561" operator="beginsWith" text="Vacances">
      <formula>LEFT(BH236,LEN("Vacances"))="Vacances"</formula>
    </cfRule>
    <cfRule type="beginsWith" dxfId="4505" priority="6562" operator="beginsWith" text="Séminaire d'intégration">
      <formula>LEFT(BH236,LEN("Séminaire d'intégration"))="Séminaire d'intégration"</formula>
    </cfRule>
    <cfRule type="beginsWith" dxfId="4504" priority="6563" operator="beginsWith" text="Accueil">
      <formula>LEFT(BH236,LEN("Accueil"))="Accueil"</formula>
    </cfRule>
    <cfRule type="beginsWith" dxfId="4503" priority="6564" operator="beginsWith" text="Stage">
      <formula>LEFT(BH236,LEN("Stage"))="Stage"</formula>
    </cfRule>
    <cfRule type="beginsWith" dxfId="4502" priority="6565" operator="beginsWith" text="Entreprise">
      <formula>LEFT(BH236,LEN("Entreprise"))="Entreprise"</formula>
    </cfRule>
    <cfRule type="beginsWith" dxfId="4501" priority="6566" operator="beginsWith" text="Voltaire">
      <formula>LEFT(BH236,LEN("Voltaire"))="Voltaire"</formula>
    </cfRule>
  </conditionalFormatting>
  <conditionalFormatting sqref="BH241">
    <cfRule type="beginsWith" dxfId="4500" priority="6543" operator="beginsWith" text="Projet professionnel : Séminaire PFI">
      <formula>LEFT(BH241,LEN("Projet professionnel : Séminaire PFI"))="Projet professionnel : Séminaire PFI"</formula>
    </cfRule>
    <cfRule type="beginsWith" dxfId="4499" priority="6544" operator="beginsWith" text="Lancement Projet fil rouge">
      <formula>LEFT(BH241,LEN("Lancement Projet fil rouge"))="Lancement Projet fil rouge"</formula>
    </cfRule>
    <cfRule type="beginsWith" dxfId="4498" priority="6545" operator="beginsWith" text="Vacances">
      <formula>LEFT(BH241,LEN("Vacances"))="Vacances"</formula>
    </cfRule>
    <cfRule type="beginsWith" dxfId="4497" priority="6546" operator="beginsWith" text="Séminaire d'intégration">
      <formula>LEFT(BH241,LEN("Séminaire d'intégration"))="Séminaire d'intégration"</formula>
    </cfRule>
    <cfRule type="beginsWith" dxfId="4496" priority="6547" operator="beginsWith" text="Accueil">
      <formula>LEFT(BH241,LEN("Accueil"))="Accueil"</formula>
    </cfRule>
    <cfRule type="beginsWith" dxfId="4495" priority="6548" operator="beginsWith" text="Stage">
      <formula>LEFT(BH241,LEN("Stage"))="Stage"</formula>
    </cfRule>
    <cfRule type="beginsWith" dxfId="4494" priority="6549" operator="beginsWith" text="Entreprise">
      <formula>LEFT(BH241,LEN("Entreprise"))="Entreprise"</formula>
    </cfRule>
    <cfRule type="beginsWith" dxfId="4493" priority="6550" operator="beginsWith" text="Voltaire">
      <formula>LEFT(BH241,LEN("Voltaire"))="Voltaire"</formula>
    </cfRule>
  </conditionalFormatting>
  <conditionalFormatting sqref="AX216:AZ217">
    <cfRule type="beginsWith" dxfId="4492" priority="5912" operator="beginsWith" text="Lancement Projet fil rouge">
      <formula>LEFT(AX216,LEN("Lancement Projet fil rouge"))="Lancement Projet fil rouge"</formula>
    </cfRule>
  </conditionalFormatting>
  <conditionalFormatting sqref="AX216:AX217">
    <cfRule type="notContainsBlanks" dxfId="4491" priority="5922">
      <formula>LEN(TRIM(AX216))&gt;0</formula>
    </cfRule>
  </conditionalFormatting>
  <conditionalFormatting sqref="AX216:AZ217">
    <cfRule type="beginsWith" dxfId="4490" priority="5913" operator="beginsWith" text="Vacances">
      <formula>LEFT(AX216,LEN("Vacances"))="Vacances"</formula>
    </cfRule>
  </conditionalFormatting>
  <conditionalFormatting sqref="AX216:AZ217">
    <cfRule type="beginsWith" dxfId="4489" priority="5914" operator="beginsWith" text="Séminaire d'intégration">
      <formula>LEFT(AX216,LEN("Séminaire d'intégration"))="Séminaire d'intégration"</formula>
    </cfRule>
  </conditionalFormatting>
  <conditionalFormatting sqref="AX216:AZ217">
    <cfRule type="beginsWith" dxfId="4488" priority="5915" operator="beginsWith" text="Accueil">
      <formula>LEFT(AX216,LEN("Accueil"))="Accueil"</formula>
    </cfRule>
  </conditionalFormatting>
  <conditionalFormatting sqref="AX216:AZ217">
    <cfRule type="beginsWith" dxfId="4487" priority="5918" operator="beginsWith" text="Stage">
      <formula>LEFT(AX216,LEN("Stage"))="Stage"</formula>
    </cfRule>
    <cfRule type="beginsWith" dxfId="4486" priority="5919" operator="beginsWith" text="Entreprise">
      <formula>LEFT(AX216,LEN("Entreprise"))="Entreprise"</formula>
    </cfRule>
    <cfRule type="beginsWith" dxfId="4485" priority="5921" operator="beginsWith" text="Voltaire">
      <formula>LEFT(AX216,LEN("Voltaire"))="Voltaire"</formula>
    </cfRule>
  </conditionalFormatting>
  <conditionalFormatting sqref="AZ216:AZ217">
    <cfRule type="beginsWith" dxfId="4484" priority="5916" operator="beginsWith" text="TOPHYC">
      <formula>LEFT(AZ216,LEN("TOPHYC"))="TOPHYC"</formula>
    </cfRule>
    <cfRule type="beginsWith" dxfId="4483" priority="5917" operator="beginsWith" text="Global Exam">
      <formula>LEFT(AZ216,LEN("Global Exam"))="Global Exam"</formula>
    </cfRule>
    <cfRule type="beginsWith" dxfId="4482" priority="5920" operator="beginsWith" text="TOMIC">
      <formula>LEFT(AZ216,LEN("TOMIC"))="TOMIC"</formula>
    </cfRule>
  </conditionalFormatting>
  <conditionalFormatting sqref="BK207:BK210">
    <cfRule type="beginsWith" dxfId="4481" priority="5902" operator="beginsWith" text="Lancement Projet fil rouge">
      <formula>LEFT(BK207,LEN("Lancement Projet fil rouge"))="Lancement Projet fil rouge"</formula>
    </cfRule>
  </conditionalFormatting>
  <conditionalFormatting sqref="BK207:BK210">
    <cfRule type="beginsWith" dxfId="4480" priority="5903" operator="beginsWith" text="Vacances">
      <formula>LEFT(BK207,LEN("Vacances"))="Vacances"</formula>
    </cfRule>
  </conditionalFormatting>
  <conditionalFormatting sqref="BK207:BK210">
    <cfRule type="beginsWith" dxfId="4479" priority="5904" operator="beginsWith" text="Séminaire d'intégration">
      <formula>LEFT(BK207,LEN("Séminaire d'intégration"))="Séminaire d'intégration"</formula>
    </cfRule>
  </conditionalFormatting>
  <conditionalFormatting sqref="BK207:BK210">
    <cfRule type="beginsWith" dxfId="4478" priority="5905" operator="beginsWith" text="Accueil">
      <formula>LEFT(BK207,LEN("Accueil"))="Accueil"</formula>
    </cfRule>
  </conditionalFormatting>
  <conditionalFormatting sqref="BK207:BK210">
    <cfRule type="beginsWith" dxfId="4477" priority="5908" operator="beginsWith" text="Stage">
      <formula>LEFT(BK207,LEN("Stage"))="Stage"</formula>
    </cfRule>
    <cfRule type="beginsWith" dxfId="4476" priority="5909" operator="beginsWith" text="Entreprise">
      <formula>LEFT(BK207,LEN("Entreprise"))="Entreprise"</formula>
    </cfRule>
    <cfRule type="beginsWith" dxfId="4475" priority="5911" operator="beginsWith" text="Voltaire">
      <formula>LEFT(BK207,LEN("Voltaire"))="Voltaire"</formula>
    </cfRule>
  </conditionalFormatting>
  <conditionalFormatting sqref="BK207:BK210">
    <cfRule type="beginsWith" dxfId="4474" priority="5906" operator="beginsWith" text="TOPHYC">
      <formula>LEFT(BK207,LEN("TOPHYC"))="TOPHYC"</formula>
    </cfRule>
    <cfRule type="beginsWith" dxfId="4473" priority="5907" operator="beginsWith" text="Global Exam">
      <formula>LEFT(BK207,LEN("Global Exam"))="Global Exam"</formula>
    </cfRule>
    <cfRule type="beginsWith" dxfId="4472" priority="5910" operator="beginsWith" text="TOMIC">
      <formula>LEFT(BK207,LEN("TOMIC"))="TOMIC"</formula>
    </cfRule>
  </conditionalFormatting>
  <conditionalFormatting sqref="BK216:BL217">
    <cfRule type="beginsWith" dxfId="4471" priority="5892" operator="beginsWith" text="Lancement Projet fil rouge">
      <formula>LEFT(BK216,LEN("Lancement Projet fil rouge"))="Lancement Projet fil rouge"</formula>
    </cfRule>
  </conditionalFormatting>
  <conditionalFormatting sqref="BK216:BL217">
    <cfRule type="beginsWith" dxfId="4470" priority="5893" operator="beginsWith" text="Vacances">
      <formula>LEFT(BK216,LEN("Vacances"))="Vacances"</formula>
    </cfRule>
  </conditionalFormatting>
  <conditionalFormatting sqref="BK216:BL217">
    <cfRule type="beginsWith" dxfId="4469" priority="5894" operator="beginsWith" text="Séminaire d'intégration">
      <formula>LEFT(BK216,LEN("Séminaire d'intégration"))="Séminaire d'intégration"</formula>
    </cfRule>
  </conditionalFormatting>
  <conditionalFormatting sqref="BK216:BL217">
    <cfRule type="beginsWith" dxfId="4468" priority="5895" operator="beginsWith" text="Accueil">
      <formula>LEFT(BK216,LEN("Accueil"))="Accueil"</formula>
    </cfRule>
  </conditionalFormatting>
  <conditionalFormatting sqref="BK216:BL217">
    <cfRule type="beginsWith" dxfId="4467" priority="5898" operator="beginsWith" text="Stage">
      <formula>LEFT(BK216,LEN("Stage"))="Stage"</formula>
    </cfRule>
    <cfRule type="beginsWith" dxfId="4466" priority="5899" operator="beginsWith" text="Entreprise">
      <formula>LEFT(BK216,LEN("Entreprise"))="Entreprise"</formula>
    </cfRule>
    <cfRule type="beginsWith" dxfId="4465" priority="5901" operator="beginsWith" text="Voltaire">
      <formula>LEFT(BK216,LEN("Voltaire"))="Voltaire"</formula>
    </cfRule>
  </conditionalFormatting>
  <conditionalFormatting sqref="BK216:BL217">
    <cfRule type="beginsWith" dxfId="4464" priority="5896" operator="beginsWith" text="TOPHYC">
      <formula>LEFT(BK216,LEN("TOPHYC"))="TOPHYC"</formula>
    </cfRule>
    <cfRule type="beginsWith" dxfId="4463" priority="5897" operator="beginsWith" text="Global Exam">
      <formula>LEFT(BK216,LEN("Global Exam"))="Global Exam"</formula>
    </cfRule>
    <cfRule type="beginsWith" dxfId="4462" priority="5900" operator="beginsWith" text="TOMIC">
      <formula>LEFT(BK216,LEN("TOMIC"))="TOMIC"</formula>
    </cfRule>
  </conditionalFormatting>
  <conditionalFormatting sqref="BV91">
    <cfRule type="beginsWith" dxfId="4461" priority="5812" operator="beginsWith" text="Projet professionnel : Séminaire PFI">
      <formula>LEFT(BV91,LEN("Projet professionnel : Séminaire PFI"))="Projet professionnel : Séminaire PFI"</formula>
    </cfRule>
    <cfRule type="beginsWith" dxfId="4460" priority="5813" operator="beginsWith" text="Lancement Projet fil rouge">
      <formula>LEFT(BV91,LEN("Lancement Projet fil rouge"))="Lancement Projet fil rouge"</formula>
    </cfRule>
    <cfRule type="beginsWith" dxfId="4459" priority="5814" operator="beginsWith" text="Vacances">
      <formula>LEFT(BV91,LEN("Vacances"))="Vacances"</formula>
    </cfRule>
    <cfRule type="beginsWith" dxfId="4458" priority="5815" operator="beginsWith" text="Séminaire d'intégration">
      <formula>LEFT(BV91,LEN("Séminaire d'intégration"))="Séminaire d'intégration"</formula>
    </cfRule>
    <cfRule type="beginsWith" dxfId="4457" priority="5816" operator="beginsWith" text="Accueil">
      <formula>LEFT(BV91,LEN("Accueil"))="Accueil"</formula>
    </cfRule>
    <cfRule type="beginsWith" dxfId="4456" priority="5817" operator="beginsWith" text="Stage">
      <formula>LEFT(BV91,LEN("Stage"))="Stage"</formula>
    </cfRule>
    <cfRule type="beginsWith" dxfId="4455" priority="5818" operator="beginsWith" text="Entreprise">
      <formula>LEFT(BV91,LEN("Entreprise"))="Entreprise"</formula>
    </cfRule>
    <cfRule type="beginsWith" dxfId="4454" priority="5819" operator="beginsWith" text="Voltaire">
      <formula>LEFT(BV91,LEN("Voltaire"))="Voltaire"</formula>
    </cfRule>
  </conditionalFormatting>
  <conditionalFormatting sqref="BV105:BV112">
    <cfRule type="beginsWith" dxfId="4453" priority="5804" operator="beginsWith" text="Projet professionnel : Séminaire PFI">
      <formula>LEFT(BV105,LEN("Projet professionnel : Séminaire PFI"))="Projet professionnel : Séminaire PFI"</formula>
    </cfRule>
    <cfRule type="beginsWith" dxfId="4452" priority="5806" operator="beginsWith" text="Vacances">
      <formula>LEFT(BV105,LEN("Vacances"))="Vacances"</formula>
    </cfRule>
    <cfRule type="beginsWith" dxfId="4451" priority="5807" operator="beginsWith" text="Séminaire d'intégration">
      <formula>LEFT(BV105,LEN("Séminaire d'intégration"))="Séminaire d'intégration"</formula>
    </cfRule>
    <cfRule type="beginsWith" dxfId="4450" priority="5808" operator="beginsWith" text="Accueil">
      <formula>LEFT(BV105,LEN("Accueil"))="Accueil"</formula>
    </cfRule>
    <cfRule type="beginsWith" dxfId="4449" priority="5809" operator="beginsWith" text="Stage">
      <formula>LEFT(BV105,LEN("Stage"))="Stage"</formula>
    </cfRule>
    <cfRule type="beginsWith" dxfId="4448" priority="5810" operator="beginsWith" text="Entreprise">
      <formula>LEFT(BV105,LEN("Entreprise"))="Entreprise"</formula>
    </cfRule>
    <cfRule type="beginsWith" dxfId="4447" priority="5811" operator="beginsWith" text="Voltaire">
      <formula>LEFT(BV105,LEN("Voltaire"))="Voltaire"</formula>
    </cfRule>
  </conditionalFormatting>
  <conditionalFormatting sqref="BV105:BV112">
    <cfRule type="beginsWith" dxfId="4446" priority="5805" operator="beginsWith" text="Lancement Projet fil rouge">
      <formula>LEFT(BV105,LEN("Lancement Projet fil rouge"))="Lancement Projet fil rouge"</formula>
    </cfRule>
  </conditionalFormatting>
  <conditionalFormatting sqref="BV241">
    <cfRule type="beginsWith" dxfId="4445" priority="5796" operator="beginsWith" text="Projet professionnel : Séminaire PFI">
      <formula>LEFT(BV241,LEN("Projet professionnel : Séminaire PFI"))="Projet professionnel : Séminaire PFI"</formula>
    </cfRule>
    <cfRule type="beginsWith" dxfId="4444" priority="5797" operator="beginsWith" text="Lancement Projet fil rouge">
      <formula>LEFT(BV241,LEN("Lancement Projet fil rouge"))="Lancement Projet fil rouge"</formula>
    </cfRule>
    <cfRule type="beginsWith" dxfId="4443" priority="5798" operator="beginsWith" text="Vacances">
      <formula>LEFT(BV241,LEN("Vacances"))="Vacances"</formula>
    </cfRule>
    <cfRule type="beginsWith" dxfId="4442" priority="5799" operator="beginsWith" text="Séminaire d'intégration">
      <formula>LEFT(BV241,LEN("Séminaire d'intégration"))="Séminaire d'intégration"</formula>
    </cfRule>
    <cfRule type="beginsWith" dxfId="4441" priority="5800" operator="beginsWith" text="Accueil">
      <formula>LEFT(BV241,LEN("Accueil"))="Accueil"</formula>
    </cfRule>
    <cfRule type="beginsWith" dxfId="4440" priority="5801" operator="beginsWith" text="Stage">
      <formula>LEFT(BV241,LEN("Stage"))="Stage"</formula>
    </cfRule>
    <cfRule type="beginsWith" dxfId="4439" priority="5802" operator="beginsWith" text="Entreprise">
      <formula>LEFT(BV241,LEN("Entreprise"))="Entreprise"</formula>
    </cfRule>
    <cfRule type="beginsWith" dxfId="4438" priority="5803" operator="beginsWith" text="Voltaire">
      <formula>LEFT(BV241,LEN("Voltaire"))="Voltaire"</formula>
    </cfRule>
  </conditionalFormatting>
  <conditionalFormatting sqref="BV236">
    <cfRule type="beginsWith" dxfId="4437" priority="5780" operator="beginsWith" text="Projet professionnel : Séminaire PFI">
      <formula>LEFT(BV236,LEN("Projet professionnel : Séminaire PFI"))="Projet professionnel : Séminaire PFI"</formula>
    </cfRule>
    <cfRule type="beginsWith" dxfId="4436" priority="5781" operator="beginsWith" text="Lancement Projet fil rouge">
      <formula>LEFT(BV236,LEN("Lancement Projet fil rouge"))="Lancement Projet fil rouge"</formula>
    </cfRule>
    <cfRule type="beginsWith" dxfId="4435" priority="5782" operator="beginsWith" text="Vacances">
      <formula>LEFT(BV236,LEN("Vacances"))="Vacances"</formula>
    </cfRule>
    <cfRule type="beginsWith" dxfId="4434" priority="5783" operator="beginsWith" text="Séminaire d'intégration">
      <formula>LEFT(BV236,LEN("Séminaire d'intégration"))="Séminaire d'intégration"</formula>
    </cfRule>
    <cfRule type="beginsWith" dxfId="4433" priority="5784" operator="beginsWith" text="Accueil">
      <formula>LEFT(BV236,LEN("Accueil"))="Accueil"</formula>
    </cfRule>
    <cfRule type="beginsWith" dxfId="4432" priority="5785" operator="beginsWith" text="Stage">
      <formula>LEFT(BV236,LEN("Stage"))="Stage"</formula>
    </cfRule>
    <cfRule type="beginsWith" dxfId="4431" priority="5786" operator="beginsWith" text="Entreprise">
      <formula>LEFT(BV236,LEN("Entreprise"))="Entreprise"</formula>
    </cfRule>
    <cfRule type="beginsWith" dxfId="4430" priority="5787" operator="beginsWith" text="Voltaire">
      <formula>LEFT(BV236,LEN("Voltaire"))="Voltaire"</formula>
    </cfRule>
    <cfRule type="beginsWith" dxfId="4429" priority="5788" operator="beginsWith" text="Projet professionnel : Séminaire PFI">
      <formula>LEFT(BV236,LEN("Projet professionnel : Séminaire PFI"))="Projet professionnel : Séminaire PFI"</formula>
    </cfRule>
    <cfRule type="beginsWith" dxfId="4428" priority="5789" operator="beginsWith" text="Lancement Projet fil rouge">
      <formula>LEFT(BV236,LEN("Lancement Projet fil rouge"))="Lancement Projet fil rouge"</formula>
    </cfRule>
    <cfRule type="beginsWith" dxfId="4427" priority="5790" operator="beginsWith" text="Vacances">
      <formula>LEFT(BV236,LEN("Vacances"))="Vacances"</formula>
    </cfRule>
    <cfRule type="beginsWith" dxfId="4426" priority="5791" operator="beginsWith" text="Séminaire d'intégration">
      <formula>LEFT(BV236,LEN("Séminaire d'intégration"))="Séminaire d'intégration"</formula>
    </cfRule>
    <cfRule type="beginsWith" dxfId="4425" priority="5792" operator="beginsWith" text="Accueil">
      <formula>LEFT(BV236,LEN("Accueil"))="Accueil"</formula>
    </cfRule>
    <cfRule type="beginsWith" dxfId="4424" priority="5793" operator="beginsWith" text="Stage">
      <formula>LEFT(BV236,LEN("Stage"))="Stage"</formula>
    </cfRule>
    <cfRule type="beginsWith" dxfId="4423" priority="5794" operator="beginsWith" text="Entreprise">
      <formula>LEFT(BV236,LEN("Entreprise"))="Entreprise"</formula>
    </cfRule>
    <cfRule type="beginsWith" dxfId="4422" priority="5795" operator="beginsWith" text="Voltaire">
      <formula>LEFT(BV236,LEN("Voltaire"))="Voltaire"</formula>
    </cfRule>
  </conditionalFormatting>
  <conditionalFormatting sqref="CB16">
    <cfRule type="beginsWith" dxfId="4421" priority="5756" operator="beginsWith" text="Projet professionnel : Séminaire PFI">
      <formula>LEFT(CB16,LEN("Projet professionnel : Séminaire PFI"))="Projet professionnel : Séminaire PFI"</formula>
    </cfRule>
    <cfRule type="beginsWith" dxfId="4420" priority="5758" operator="beginsWith" text="Vacances">
      <formula>LEFT(CB16,LEN("Vacances"))="Vacances"</formula>
    </cfRule>
    <cfRule type="beginsWith" dxfId="4419" priority="5759" operator="beginsWith" text="Séminaire d'intégration">
      <formula>LEFT(CB16,LEN("Séminaire d'intégration"))="Séminaire d'intégration"</formula>
    </cfRule>
    <cfRule type="beginsWith" dxfId="4418" priority="5760" operator="beginsWith" text="Accueil">
      <formula>LEFT(CB16,LEN("Accueil"))="Accueil"</formula>
    </cfRule>
    <cfRule type="beginsWith" dxfId="4417" priority="5761" operator="beginsWith" text="Stage">
      <formula>LEFT(CB16,LEN("Stage"))="Stage"</formula>
    </cfRule>
    <cfRule type="beginsWith" dxfId="4416" priority="5762" operator="beginsWith" text="Entreprise">
      <formula>LEFT(CB16,LEN("Entreprise"))="Entreprise"</formula>
    </cfRule>
    <cfRule type="beginsWith" dxfId="4415" priority="5763" operator="beginsWith" text="Voltaire">
      <formula>LEFT(CB16,LEN("Voltaire"))="Voltaire"</formula>
    </cfRule>
  </conditionalFormatting>
  <conditionalFormatting sqref="CB16">
    <cfRule type="beginsWith" dxfId="4414" priority="5757" operator="beginsWith" text="Lancement Projet fil rouge">
      <formula>LEFT(CB16,LEN("Lancement Projet fil rouge"))="Lancement Projet fil rouge"</formula>
    </cfRule>
  </conditionalFormatting>
  <conditionalFormatting sqref="BE239:BE240">
    <cfRule type="beginsWith" dxfId="4413" priority="4257" operator="beginsWith" text="Lancement Projet fil rouge">
      <formula>LEFT(BE239,LEN("Lancement Projet fil rouge"))="Lancement Projet fil rouge"</formula>
    </cfRule>
  </conditionalFormatting>
  <conditionalFormatting sqref="CB36:CB41">
    <cfRule type="beginsWith" dxfId="4412" priority="5748" operator="beginsWith" text="Projet professionnel : Séminaire PFI">
      <formula>LEFT(CB36,LEN("Projet professionnel : Séminaire PFI"))="Projet professionnel : Séminaire PFI"</formula>
    </cfRule>
    <cfRule type="beginsWith" dxfId="4411" priority="5749" operator="beginsWith" text="Lancement Projet fil rouge">
      <formula>LEFT(CB36,LEN("Lancement Projet fil rouge"))="Lancement Projet fil rouge"</formula>
    </cfRule>
    <cfRule type="beginsWith" dxfId="4410" priority="5750" operator="beginsWith" text="Vacances">
      <formula>LEFT(CB36,LEN("Vacances"))="Vacances"</formula>
    </cfRule>
    <cfRule type="beginsWith" dxfId="4409" priority="5751" operator="beginsWith" text="Séminaire d'intégration">
      <formula>LEFT(CB36,LEN("Séminaire d'intégration"))="Séminaire d'intégration"</formula>
    </cfRule>
    <cfRule type="beginsWith" dxfId="4408" priority="5752" operator="beginsWith" text="Accueil">
      <formula>LEFT(CB36,LEN("Accueil"))="Accueil"</formula>
    </cfRule>
    <cfRule type="beginsWith" dxfId="4407" priority="5753" operator="beginsWith" text="Stage">
      <formula>LEFT(CB36,LEN("Stage"))="Stage"</formula>
    </cfRule>
    <cfRule type="beginsWith" dxfId="4406" priority="5754" operator="beginsWith" text="Entreprise">
      <formula>LEFT(CB36,LEN("Entreprise"))="Entreprise"</formula>
    </cfRule>
    <cfRule type="beginsWith" dxfId="4405" priority="5755" operator="beginsWith" text="Voltaire">
      <formula>LEFT(CB36,LEN("Voltaire"))="Voltaire"</formula>
    </cfRule>
  </conditionalFormatting>
  <conditionalFormatting sqref="CB26">
    <cfRule type="beginsWith" dxfId="4404" priority="5740" operator="beginsWith" text="Projet professionnel : Séminaire PFI">
      <formula>LEFT(CB26,LEN("Projet professionnel : Séminaire PFI"))="Projet professionnel : Séminaire PFI"</formula>
    </cfRule>
    <cfRule type="beginsWith" dxfId="4403" priority="5741" operator="beginsWith" text="Lancement Projet fil rouge">
      <formula>LEFT(CB26,LEN("Lancement Projet fil rouge"))="Lancement Projet fil rouge"</formula>
    </cfRule>
    <cfRule type="beginsWith" dxfId="4402" priority="5742" operator="beginsWith" text="Vacances">
      <formula>LEFT(CB26,LEN("Vacances"))="Vacances"</formula>
    </cfRule>
    <cfRule type="beginsWith" dxfId="4401" priority="5743" operator="beginsWith" text="Séminaire d'intégration">
      <formula>LEFT(CB26,LEN("Séminaire d'intégration"))="Séminaire d'intégration"</formula>
    </cfRule>
    <cfRule type="beginsWith" dxfId="4400" priority="5744" operator="beginsWith" text="Accueil">
      <formula>LEFT(CB26,LEN("Accueil"))="Accueil"</formula>
    </cfRule>
    <cfRule type="beginsWith" dxfId="4399" priority="5745" operator="beginsWith" text="Stage">
      <formula>LEFT(CB26,LEN("Stage"))="Stage"</formula>
    </cfRule>
    <cfRule type="beginsWith" dxfId="4398" priority="5746" operator="beginsWith" text="Entreprise">
      <formula>LEFT(CB26,LEN("Entreprise"))="Entreprise"</formula>
    </cfRule>
    <cfRule type="beginsWith" dxfId="4397" priority="5747" operator="beginsWith" text="Voltaire">
      <formula>LEFT(CB26,LEN("Voltaire"))="Voltaire"</formula>
    </cfRule>
  </conditionalFormatting>
  <conditionalFormatting sqref="BU1:BU5 BU61:BU1048576">
    <cfRule type="beginsWith" dxfId="4396" priority="5733" operator="beginsWith" text="Lancement Projet fil rouge">
      <formula>LEFT(BU1,LEN("Lancement Projet fil rouge"))="Lancement Projet fil rouge"</formula>
    </cfRule>
  </conditionalFormatting>
  <conditionalFormatting sqref="BU1:BU5 BU16:BU1048576">
    <cfRule type="beginsWith" dxfId="4395" priority="5734" operator="beginsWith" text="Vacances">
      <formula>LEFT(BU1,LEN("Vacances"))="Vacances"</formula>
    </cfRule>
  </conditionalFormatting>
  <conditionalFormatting sqref="BU1:BU5 BU16:BU1048576">
    <cfRule type="beginsWith" dxfId="4394" priority="5735" operator="beginsWith" text="Séminaire d'intégration">
      <formula>LEFT(BU1,LEN("Séminaire d'intégration"))="Séminaire d'intégration"</formula>
    </cfRule>
  </conditionalFormatting>
  <conditionalFormatting sqref="BU1:BU5 BU16:BU1048576">
    <cfRule type="beginsWith" dxfId="4393" priority="5736" operator="beginsWith" text="Accueil">
      <formula>LEFT(BU1,LEN("Accueil"))="Accueil"</formula>
    </cfRule>
  </conditionalFormatting>
  <conditionalFormatting sqref="BU6:BU10">
    <cfRule type="beginsWith" dxfId="4392" priority="5719" operator="beginsWith" text="Lancement Projet fil rouge">
      <formula>LEFT(BU6,LEN("Lancement Projet fil rouge"))="Lancement Projet fil rouge"</formula>
    </cfRule>
    <cfRule type="beginsWith" dxfId="4391" priority="5720" operator="beginsWith" text="Vacances">
      <formula>LEFT(BU6,LEN("Vacances"))="Vacances"</formula>
    </cfRule>
    <cfRule type="beginsWith" dxfId="4390" priority="5721" operator="beginsWith" text="Séminaire d'intégration">
      <formula>LEFT(BU6,LEN("Séminaire d'intégration"))="Séminaire d'intégration"</formula>
    </cfRule>
    <cfRule type="beginsWith" dxfId="4389" priority="5722" operator="beginsWith" text="Accueil">
      <formula>LEFT(BU6,LEN("Accueil"))="Accueil"</formula>
    </cfRule>
    <cfRule type="beginsWith" dxfId="4388" priority="5723" operator="beginsWith" text="Stage">
      <formula>LEFT(BU6,LEN("Stage"))="Stage"</formula>
    </cfRule>
    <cfRule type="beginsWith" dxfId="4387" priority="5724" operator="beginsWith" text="Entreprise">
      <formula>LEFT(BU6,LEN("Entreprise"))="Entreprise"</formula>
    </cfRule>
    <cfRule type="beginsWith" dxfId="4386" priority="5725" operator="beginsWith" text="Voltaire">
      <formula>LEFT(BU6,LEN("Voltaire"))="Voltaire"</formula>
    </cfRule>
  </conditionalFormatting>
  <conditionalFormatting sqref="BU11:BU15">
    <cfRule type="beginsWith" dxfId="4385" priority="5727" operator="beginsWith" text="Vacances">
      <formula>LEFT(BU11,LEN("Vacances"))="Vacances"</formula>
    </cfRule>
    <cfRule type="beginsWith" dxfId="4384" priority="5728" operator="beginsWith" text="Séminaire d'intégration">
      <formula>LEFT(BU11,LEN("Séminaire d'intégration"))="Séminaire d'intégration"</formula>
    </cfRule>
    <cfRule type="beginsWith" dxfId="4383" priority="5729" operator="beginsWith" text="Accueil">
      <formula>LEFT(BU11,LEN("Accueil"))="Accueil"</formula>
    </cfRule>
    <cfRule type="beginsWith" dxfId="4382" priority="5730" operator="beginsWith" text="Stage">
      <formula>LEFT(BU11,LEN("Stage"))="Stage"</formula>
    </cfRule>
    <cfRule type="beginsWith" dxfId="4381" priority="5731" operator="beginsWith" text="Entreprise">
      <formula>LEFT(BU11,LEN("Entreprise"))="Entreprise"</formula>
    </cfRule>
    <cfRule type="beginsWith" dxfId="4380" priority="5732" operator="beginsWith" text="Voltaire">
      <formula>LEFT(BU11,LEN("Voltaire"))="Voltaire"</formula>
    </cfRule>
  </conditionalFormatting>
  <conditionalFormatting sqref="BU1:BU5 BU16:BU1048576">
    <cfRule type="beginsWith" dxfId="4379" priority="5737" operator="beginsWith" text="Stage">
      <formula>LEFT(BU1,LEN("Stage"))="Stage"</formula>
    </cfRule>
    <cfRule type="beginsWith" dxfId="4378" priority="5738" operator="beginsWith" text="Entreprise">
      <formula>LEFT(BU1,LEN("Entreprise"))="Entreprise"</formula>
    </cfRule>
    <cfRule type="beginsWith" dxfId="4377" priority="5739" operator="beginsWith" text="Voltaire">
      <formula>LEFT(BU1,LEN("Voltaire"))="Voltaire"</formula>
    </cfRule>
  </conditionalFormatting>
  <conditionalFormatting sqref="BU11:BU60">
    <cfRule type="beginsWith" dxfId="4376" priority="5726" operator="beginsWith" text="Lancement Projet fil rouge">
      <formula>LEFT(BU11,LEN("Lancement Projet fil rouge"))="Lancement Projet fil rouge"</formula>
    </cfRule>
  </conditionalFormatting>
  <conditionalFormatting sqref="BB1:BB5 BB61:BB1048576">
    <cfRule type="beginsWith" dxfId="4375" priority="5117" operator="beginsWith" text="Lancement Projet fil rouge">
      <formula>LEFT(BB1,LEN("Lancement Projet fil rouge"))="Lancement Projet fil rouge"</formula>
    </cfRule>
  </conditionalFormatting>
  <conditionalFormatting sqref="BB1:BB5 BB16:BB1048576">
    <cfRule type="beginsWith" dxfId="4374" priority="5118" operator="beginsWith" text="Vacances">
      <formula>LEFT(BB1,LEN("Vacances"))="Vacances"</formula>
    </cfRule>
  </conditionalFormatting>
  <conditionalFormatting sqref="BB1:BB5 BB16:BB1048576">
    <cfRule type="beginsWith" dxfId="4373" priority="5119" operator="beginsWith" text="Séminaire d'intégration">
      <formula>LEFT(BB1,LEN("Séminaire d'intégration"))="Séminaire d'intégration"</formula>
    </cfRule>
  </conditionalFormatting>
  <conditionalFormatting sqref="BB1:BB5 BB16:BB1048576">
    <cfRule type="beginsWith" dxfId="4372" priority="5120" operator="beginsWith" text="Accueil">
      <formula>LEFT(BB1,LEN("Accueil"))="Accueil"</formula>
    </cfRule>
  </conditionalFormatting>
  <conditionalFormatting sqref="BB6:BB10">
    <cfRule type="beginsWith" dxfId="4371" priority="5103" operator="beginsWith" text="Lancement Projet fil rouge">
      <formula>LEFT(BB6,LEN("Lancement Projet fil rouge"))="Lancement Projet fil rouge"</formula>
    </cfRule>
    <cfRule type="beginsWith" dxfId="4370" priority="5104" operator="beginsWith" text="Vacances">
      <formula>LEFT(BB6,LEN("Vacances"))="Vacances"</formula>
    </cfRule>
    <cfRule type="beginsWith" dxfId="4369" priority="5105" operator="beginsWith" text="Séminaire d'intégration">
      <formula>LEFT(BB6,LEN("Séminaire d'intégration"))="Séminaire d'intégration"</formula>
    </cfRule>
    <cfRule type="beginsWith" dxfId="4368" priority="5106" operator="beginsWith" text="Accueil">
      <formula>LEFT(BB6,LEN("Accueil"))="Accueil"</formula>
    </cfRule>
    <cfRule type="beginsWith" dxfId="4367" priority="5107" operator="beginsWith" text="Stage">
      <formula>LEFT(BB6,LEN("Stage"))="Stage"</formula>
    </cfRule>
    <cfRule type="beginsWith" dxfId="4366" priority="5108" operator="beginsWith" text="Entreprise">
      <formula>LEFT(BB6,LEN("Entreprise"))="Entreprise"</formula>
    </cfRule>
    <cfRule type="beginsWith" dxfId="4365" priority="5109" operator="beginsWith" text="Voltaire">
      <formula>LEFT(BB6,LEN("Voltaire"))="Voltaire"</formula>
    </cfRule>
  </conditionalFormatting>
  <conditionalFormatting sqref="BB11:BB15">
    <cfRule type="beginsWith" dxfId="4364" priority="5111" operator="beginsWith" text="Vacances">
      <formula>LEFT(BB11,LEN("Vacances"))="Vacances"</formula>
    </cfRule>
    <cfRule type="beginsWith" dxfId="4363" priority="5112" operator="beginsWith" text="Séminaire d'intégration">
      <formula>LEFT(BB11,LEN("Séminaire d'intégration"))="Séminaire d'intégration"</formula>
    </cfRule>
    <cfRule type="beginsWith" dxfId="4362" priority="5113" operator="beginsWith" text="Accueil">
      <formula>LEFT(BB11,LEN("Accueil"))="Accueil"</formula>
    </cfRule>
    <cfRule type="beginsWith" dxfId="4361" priority="5114" operator="beginsWith" text="Stage">
      <formula>LEFT(BB11,LEN("Stage"))="Stage"</formula>
    </cfRule>
    <cfRule type="beginsWith" dxfId="4360" priority="5115" operator="beginsWith" text="Entreprise">
      <formula>LEFT(BB11,LEN("Entreprise"))="Entreprise"</formula>
    </cfRule>
    <cfRule type="beginsWith" dxfId="4359" priority="5116" operator="beginsWith" text="Voltaire">
      <formula>LEFT(BB11,LEN("Voltaire"))="Voltaire"</formula>
    </cfRule>
  </conditionalFormatting>
  <conditionalFormatting sqref="BB1:BB5 BB16:BB1048576">
    <cfRule type="beginsWith" dxfId="4358" priority="5121" operator="beginsWith" text="Stage">
      <formula>LEFT(BB1,LEN("Stage"))="Stage"</formula>
    </cfRule>
    <cfRule type="beginsWith" dxfId="4357" priority="5122" operator="beginsWith" text="Entreprise">
      <formula>LEFT(BB1,LEN("Entreprise"))="Entreprise"</formula>
    </cfRule>
    <cfRule type="beginsWith" dxfId="4356" priority="5123" operator="beginsWith" text="Voltaire">
      <formula>LEFT(BB1,LEN("Voltaire"))="Voltaire"</formula>
    </cfRule>
  </conditionalFormatting>
  <conditionalFormatting sqref="BB11:BB60">
    <cfRule type="beginsWith" dxfId="4355" priority="5110" operator="beginsWith" text="Lancement Projet fil rouge">
      <formula>LEFT(BB11,LEN("Lancement Projet fil rouge"))="Lancement Projet fil rouge"</formula>
    </cfRule>
  </conditionalFormatting>
  <conditionalFormatting sqref="BC3">
    <cfRule type="beginsWith" dxfId="4354" priority="4508" operator="beginsWith" text="Lancement Projet fil rouge">
      <formula>LEFT(BC3,LEN("Lancement Projet fil rouge"))="Lancement Projet fil rouge"</formula>
    </cfRule>
    <cfRule type="beginsWith" dxfId="4353" priority="4509" operator="beginsWith" text="Vacances">
      <formula>LEFT(BC3,LEN("Vacances"))="Vacances"</formula>
    </cfRule>
    <cfRule type="beginsWith" dxfId="4352" priority="4510" operator="beginsWith" text="Séminaire d'intégration">
      <formula>LEFT(BC3,LEN("Séminaire d'intégration"))="Séminaire d'intégration"</formula>
    </cfRule>
    <cfRule type="beginsWith" dxfId="4351" priority="4511" operator="beginsWith" text="Accueil">
      <formula>LEFT(BC3,LEN("Accueil"))="Accueil"</formula>
    </cfRule>
    <cfRule type="beginsWith" dxfId="4350" priority="4512" operator="beginsWith" text="Stage">
      <formula>LEFT(BC3,LEN("Stage"))="Stage"</formula>
    </cfRule>
    <cfRule type="beginsWith" dxfId="4349" priority="4513" operator="beginsWith" text="Entreprise">
      <formula>LEFT(BC3,LEN("Entreprise"))="Entreprise"</formula>
    </cfRule>
    <cfRule type="beginsWith" dxfId="4348" priority="4514" operator="beginsWith" text="Voltaire">
      <formula>LEFT(BC3,LEN("Voltaire"))="Voltaire"</formula>
    </cfRule>
  </conditionalFormatting>
  <conditionalFormatting sqref="BC6:BC10">
    <cfRule type="beginsWith" dxfId="4347" priority="4934" operator="beginsWith" text="Lancement Projet fil rouge">
      <formula>LEFT(BC6,LEN("Lancement Projet fil rouge"))="Lancement Projet fil rouge"</formula>
    </cfRule>
    <cfRule type="beginsWith" dxfId="4346" priority="4935" operator="beginsWith" text="Vacances">
      <formula>LEFT(BC6,LEN("Vacances"))="Vacances"</formula>
    </cfRule>
    <cfRule type="beginsWith" dxfId="4345" priority="4936" operator="beginsWith" text="Séminaire d'intégration">
      <formula>LEFT(BC6,LEN("Séminaire d'intégration"))="Séminaire d'intégration"</formula>
    </cfRule>
    <cfRule type="beginsWith" dxfId="4344" priority="4937" operator="beginsWith" text="Accueil">
      <formula>LEFT(BC6,LEN("Accueil"))="Accueil"</formula>
    </cfRule>
    <cfRule type="beginsWith" dxfId="4343" priority="4938" operator="beginsWith" text="Stage">
      <formula>LEFT(BC6,LEN("Stage"))="Stage"</formula>
    </cfRule>
    <cfRule type="beginsWith" dxfId="4342" priority="4939" operator="beginsWith" text="Entreprise">
      <formula>LEFT(BC6,LEN("Entreprise"))="Entreprise"</formula>
    </cfRule>
    <cfRule type="beginsWith" dxfId="4341" priority="4940" operator="beginsWith" text="Voltaire">
      <formula>LEFT(BC6,LEN("Voltaire"))="Voltaire"</formula>
    </cfRule>
  </conditionalFormatting>
  <conditionalFormatting sqref="BC16:BC20">
    <cfRule type="beginsWith" dxfId="4340" priority="4661" operator="beginsWith" text="Projet professionnel : Séminaire PFI">
      <formula>LEFT(BC16,LEN("Projet professionnel : Séminaire PFI"))="Projet professionnel : Séminaire PFI"</formula>
    </cfRule>
    <cfRule type="beginsWith" dxfId="4339" priority="4662" operator="beginsWith" text="Lancement Projet fil rouge">
      <formula>LEFT(BC16,LEN("Lancement Projet fil rouge"))="Lancement Projet fil rouge"</formula>
    </cfRule>
    <cfRule type="beginsWith" dxfId="4338" priority="4663" operator="beginsWith" text="Vacances">
      <formula>LEFT(BC16,LEN("Vacances"))="Vacances"</formula>
    </cfRule>
    <cfRule type="beginsWith" dxfId="4337" priority="4664" operator="beginsWith" text="Séminaire d'intégration">
      <formula>LEFT(BC16,LEN("Séminaire d'intégration"))="Séminaire d'intégration"</formula>
    </cfRule>
    <cfRule type="beginsWith" dxfId="4336" priority="4665" operator="beginsWith" text="Accueil">
      <formula>LEFT(BC16,LEN("Accueil"))="Accueil"</formula>
    </cfRule>
    <cfRule type="beginsWith" dxfId="4335" priority="4666" operator="beginsWith" text="Stage">
      <formula>LEFT(BC16,LEN("Stage"))="Stage"</formula>
    </cfRule>
    <cfRule type="beginsWith" dxfId="4334" priority="4667" operator="beginsWith" text="Entreprise">
      <formula>LEFT(BC16,LEN("Entreprise"))="Entreprise"</formula>
    </cfRule>
    <cfRule type="beginsWith" dxfId="4333" priority="4668" operator="beginsWith" text="Voltaire">
      <formula>LEFT(BC16,LEN("Voltaire"))="Voltaire"</formula>
    </cfRule>
  </conditionalFormatting>
  <conditionalFormatting sqref="BC41 BC26:BC31">
    <cfRule type="beginsWith" dxfId="4332" priority="4654" operator="beginsWith" text="Lancement Projet fil rouge">
      <formula>LEFT(BC26,LEN("Lancement Projet fil rouge"))="Lancement Projet fil rouge"</formula>
    </cfRule>
    <cfRule type="beginsWith" dxfId="4331" priority="4655" operator="beginsWith" text="Vacances">
      <formula>LEFT(BC26,LEN("Vacances"))="Vacances"</formula>
    </cfRule>
    <cfRule type="beginsWith" dxfId="4330" priority="4656" operator="beginsWith" text="Séminaire d'intégration">
      <formula>LEFT(BC26,LEN("Séminaire d'intégration"))="Séminaire d'intégration"</formula>
    </cfRule>
    <cfRule type="beginsWith" dxfId="4329" priority="4657" operator="beginsWith" text="Accueil">
      <formula>LEFT(BC26,LEN("Accueil"))="Accueil"</formula>
    </cfRule>
    <cfRule type="beginsWith" dxfId="4328" priority="4658" operator="beginsWith" text="Stage">
      <formula>LEFT(BC26,LEN("Stage"))="Stage"</formula>
    </cfRule>
    <cfRule type="beginsWith" dxfId="4327" priority="4659" operator="beginsWith" text="Entreprise">
      <formula>LEFT(BC26,LEN("Entreprise"))="Entreprise"</formula>
    </cfRule>
    <cfRule type="beginsWith" dxfId="4326" priority="4660" operator="beginsWith" text="Voltaire">
      <formula>LEFT(BC26,LEN("Voltaire"))="Voltaire"</formula>
    </cfRule>
  </conditionalFormatting>
  <conditionalFormatting sqref="BC56:BC61">
    <cfRule type="beginsWith" dxfId="4325" priority="4617" operator="beginsWith" text="Lancement Projet fil rouge">
      <formula>LEFT(BC56,LEN("Lancement Projet fil rouge"))="Lancement Projet fil rouge"</formula>
    </cfRule>
    <cfRule type="beginsWith" dxfId="4324" priority="4618" operator="beginsWith" text="Vacances">
      <formula>LEFT(BC56,LEN("Vacances"))="Vacances"</formula>
    </cfRule>
    <cfRule type="beginsWith" dxfId="4323" priority="4619" operator="beginsWith" text="Séminaire d'intégration">
      <formula>LEFT(BC56,LEN("Séminaire d'intégration"))="Séminaire d'intégration"</formula>
    </cfRule>
    <cfRule type="beginsWith" dxfId="4322" priority="4620" operator="beginsWith" text="Accueil">
      <formula>LEFT(BC56,LEN("Accueil"))="Accueil"</formula>
    </cfRule>
    <cfRule type="beginsWith" dxfId="4321" priority="4621" operator="beginsWith" text="Stage">
      <formula>LEFT(BC56,LEN("Stage"))="Stage"</formula>
    </cfRule>
    <cfRule type="beginsWith" dxfId="4320" priority="4622" operator="beginsWith" text="Entreprise">
      <formula>LEFT(BC56,LEN("Entreprise"))="Entreprise"</formula>
    </cfRule>
    <cfRule type="beginsWith" dxfId="4319" priority="4623" operator="beginsWith" text="Voltaire">
      <formula>LEFT(BC56,LEN("Voltaire"))="Voltaire"</formula>
    </cfRule>
  </conditionalFormatting>
  <conditionalFormatting sqref="BC68">
    <cfRule type="beginsWith" dxfId="4318" priority="4610" operator="beginsWith" text="Lancement Projet fil rouge">
      <formula>LEFT(BC68,LEN("Lancement Projet fil rouge"))="Lancement Projet fil rouge"</formula>
    </cfRule>
    <cfRule type="beginsWith" dxfId="4317" priority="4611" operator="beginsWith" text="Vacances">
      <formula>LEFT(BC68,LEN("Vacances"))="Vacances"</formula>
    </cfRule>
    <cfRule type="beginsWith" dxfId="4316" priority="4612" operator="beginsWith" text="Séminaire d'intégration">
      <formula>LEFT(BC68,LEN("Séminaire d'intégration"))="Séminaire d'intégration"</formula>
    </cfRule>
    <cfRule type="beginsWith" dxfId="4315" priority="4613" operator="beginsWith" text="Accueil">
      <formula>LEFT(BC68,LEN("Accueil"))="Accueil"</formula>
    </cfRule>
    <cfRule type="beginsWith" dxfId="4314" priority="4614" operator="beginsWith" text="Stage">
      <formula>LEFT(BC68,LEN("Stage"))="Stage"</formula>
    </cfRule>
    <cfRule type="beginsWith" dxfId="4313" priority="4615" operator="beginsWith" text="Entreprise">
      <formula>LEFT(BC68,LEN("Entreprise"))="Entreprise"</formula>
    </cfRule>
    <cfRule type="beginsWith" dxfId="4312" priority="4616" operator="beginsWith" text="Voltaire">
      <formula>LEFT(BC68,LEN("Voltaire"))="Voltaire"</formula>
    </cfRule>
  </conditionalFormatting>
  <conditionalFormatting sqref="BC96:BC110">
    <cfRule type="beginsWith" dxfId="4311" priority="4566" operator="beginsWith" text="Lancement Projet fil rouge">
      <formula>LEFT(BC96,LEN("Lancement Projet fil rouge"))="Lancement Projet fil rouge"</formula>
    </cfRule>
    <cfRule type="beginsWith" dxfId="4310" priority="4567" operator="beginsWith" text="Vacances">
      <formula>LEFT(BC96,LEN("Vacances"))="Vacances"</formula>
    </cfRule>
    <cfRule type="beginsWith" dxfId="4309" priority="4568" operator="beginsWith" text="Séminaire d'intégration">
      <formula>LEFT(BC96,LEN("Séminaire d'intégration"))="Séminaire d'intégration"</formula>
    </cfRule>
    <cfRule type="beginsWith" dxfId="4308" priority="4569" operator="beginsWith" text="Accueil">
      <formula>LEFT(BC96,LEN("Accueil"))="Accueil"</formula>
    </cfRule>
    <cfRule type="beginsWith" dxfId="4307" priority="4570" operator="beginsWith" text="Stage">
      <formula>LEFT(BC96,LEN("Stage"))="Stage"</formula>
    </cfRule>
    <cfRule type="beginsWith" dxfId="4306" priority="4571" operator="beginsWith" text="Entreprise">
      <formula>LEFT(BC96,LEN("Entreprise"))="Entreprise"</formula>
    </cfRule>
    <cfRule type="beginsWith" dxfId="4305" priority="4572" operator="beginsWith" text="Voltaire">
      <formula>LEFT(BC96,LEN("Voltaire"))="Voltaire"</formula>
    </cfRule>
  </conditionalFormatting>
  <conditionalFormatting sqref="BC111">
    <cfRule type="beginsWith" dxfId="4304" priority="4549" operator="beginsWith" text="Lancement Projet fil rouge">
      <formula>LEFT(BC111,LEN("Lancement Projet fil rouge"))="Lancement Projet fil rouge"</formula>
    </cfRule>
    <cfRule type="beginsWith" dxfId="4303" priority="4550" operator="beginsWith" text="Vacances">
      <formula>LEFT(BC111,LEN("Vacances"))="Vacances"</formula>
    </cfRule>
    <cfRule type="beginsWith" dxfId="4302" priority="4551" operator="beginsWith" text="Séminaire d'intégration">
      <formula>LEFT(BC111,LEN("Séminaire d'intégration"))="Séminaire d'intégration"</formula>
    </cfRule>
    <cfRule type="beginsWith" dxfId="4301" priority="4552" operator="beginsWith" text="Accueil">
      <formula>LEFT(BC111,LEN("Accueil"))="Accueil"</formula>
    </cfRule>
    <cfRule type="beginsWith" dxfId="4300" priority="4553" operator="beginsWith" text="Stage">
      <formula>LEFT(BC111,LEN("Stage"))="Stage"</formula>
    </cfRule>
    <cfRule type="beginsWith" dxfId="4299" priority="4554" operator="beginsWith" text="Entreprise">
      <formula>LEFT(BC111,LEN("Entreprise"))="Entreprise"</formula>
    </cfRule>
    <cfRule type="beginsWith" dxfId="4298" priority="4555" operator="beginsWith" text="Voltaire">
      <formula>LEFT(BC111,LEN("Voltaire"))="Voltaire"</formula>
    </cfRule>
  </conditionalFormatting>
  <conditionalFormatting sqref="BC126:BC130">
    <cfRule type="beginsWith" dxfId="4297" priority="4532" operator="beginsWith" text="Lancement Projet fil rouge">
      <formula>LEFT(BC126,LEN("Lancement Projet fil rouge"))="Lancement Projet fil rouge"</formula>
    </cfRule>
    <cfRule type="beginsWith" dxfId="4296" priority="4533" operator="beginsWith" text="Vacances">
      <formula>LEFT(BC126,LEN("Vacances"))="Vacances"</formula>
    </cfRule>
    <cfRule type="beginsWith" dxfId="4295" priority="4534" operator="beginsWith" text="Séminaire d'intégration">
      <formula>LEFT(BC126,LEN("Séminaire d'intégration"))="Séminaire d'intégration"</formula>
    </cfRule>
    <cfRule type="beginsWith" dxfId="4294" priority="4535" operator="beginsWith" text="Accueil">
      <formula>LEFT(BC126,LEN("Accueil"))="Accueil"</formula>
    </cfRule>
    <cfRule type="beginsWith" dxfId="4293" priority="4536" operator="beginsWith" text="Stage">
      <formula>LEFT(BC126,LEN("Stage"))="Stage"</formula>
    </cfRule>
    <cfRule type="beginsWith" dxfId="4292" priority="4537" operator="beginsWith" text="Entreprise">
      <formula>LEFT(BC126,LEN("Entreprise"))="Entreprise"</formula>
    </cfRule>
    <cfRule type="beginsWith" dxfId="4291" priority="4538" operator="beginsWith" text="Voltaire">
      <formula>LEFT(BC126,LEN("Voltaire"))="Voltaire"</formula>
    </cfRule>
  </conditionalFormatting>
  <conditionalFormatting sqref="BC131">
    <cfRule type="beginsWith" dxfId="4290" priority="4917" operator="beginsWith" text="Lancement Projet fil rouge">
      <formula>LEFT(BC131,LEN("Lancement Projet fil rouge"))="Lancement Projet fil rouge"</formula>
    </cfRule>
    <cfRule type="beginsWith" dxfId="4289" priority="4918" operator="beginsWith" text="Vacances">
      <formula>LEFT(BC131,LEN("Vacances"))="Vacances"</formula>
    </cfRule>
    <cfRule type="beginsWith" dxfId="4288" priority="4919" operator="beginsWith" text="Séminaire d'intégration">
      <formula>LEFT(BC131,LEN("Séminaire d'intégration"))="Séminaire d'intégration"</formula>
    </cfRule>
    <cfRule type="beginsWith" dxfId="4287" priority="4920" operator="beginsWith" text="Accueil">
      <formula>LEFT(BC131,LEN("Accueil"))="Accueil"</formula>
    </cfRule>
    <cfRule type="beginsWith" dxfId="4286" priority="4921" operator="beginsWith" text="Stage">
      <formula>LEFT(BC131,LEN("Stage"))="Stage"</formula>
    </cfRule>
    <cfRule type="beginsWith" dxfId="4285" priority="4922" operator="beginsWith" text="Entreprise">
      <formula>LEFT(BC131,LEN("Entreprise"))="Entreprise"</formula>
    </cfRule>
    <cfRule type="beginsWith" dxfId="4284" priority="4923" operator="beginsWith" text="Voltaire">
      <formula>LEFT(BC131,LEN("Voltaire"))="Voltaire"</formula>
    </cfRule>
  </conditionalFormatting>
  <conditionalFormatting sqref="BC132">
    <cfRule type="beginsWith" dxfId="4283" priority="4515" operator="beginsWith" text="Lancement Projet fil rouge">
      <formula>LEFT(BC132,LEN("Lancement Projet fil rouge"))="Lancement Projet fil rouge"</formula>
    </cfRule>
    <cfRule type="beginsWith" dxfId="4282" priority="4516" operator="beginsWith" text="Vacances">
      <formula>LEFT(BC132,LEN("Vacances"))="Vacances"</formula>
    </cfRule>
    <cfRule type="beginsWith" dxfId="4281" priority="4517" operator="beginsWith" text="Séminaire d'intégration">
      <formula>LEFT(BC132,LEN("Séminaire d'intégration"))="Séminaire d'intégration"</formula>
    </cfRule>
    <cfRule type="beginsWith" dxfId="4280" priority="4518" operator="beginsWith" text="Accueil">
      <formula>LEFT(BC132,LEN("Accueil"))="Accueil"</formula>
    </cfRule>
    <cfRule type="beginsWith" dxfId="4279" priority="4519" operator="beginsWith" text="Stage">
      <formula>LEFT(BC132,LEN("Stage"))="Stage"</formula>
    </cfRule>
    <cfRule type="beginsWith" dxfId="4278" priority="4520" operator="beginsWith" text="Entreprise">
      <formula>LEFT(BC132,LEN("Entreprise"))="Entreprise"</formula>
    </cfRule>
    <cfRule type="beginsWith" dxfId="4277" priority="4521" operator="beginsWith" text="Voltaire">
      <formula>LEFT(BC132,LEN("Voltaire"))="Voltaire"</formula>
    </cfRule>
  </conditionalFormatting>
  <conditionalFormatting sqref="BC136">
    <cfRule type="beginsWith" dxfId="4276" priority="4889" operator="beginsWith" text="Lancement Projet fil rouge">
      <formula>LEFT(BC136,LEN("Lancement Projet fil rouge"))="Lancement Projet fil rouge"</formula>
    </cfRule>
    <cfRule type="beginsWith" dxfId="4275" priority="4890" operator="beginsWith" text="Vacances">
      <formula>LEFT(BC136,LEN("Vacances"))="Vacances"</formula>
    </cfRule>
    <cfRule type="beginsWith" dxfId="4274" priority="4891" operator="beginsWith" text="Séminaire d'intégration">
      <formula>LEFT(BC136,LEN("Séminaire d'intégration"))="Séminaire d'intégration"</formula>
    </cfRule>
    <cfRule type="beginsWith" dxfId="4273" priority="4892" operator="beginsWith" text="Accueil">
      <formula>LEFT(BC136,LEN("Accueil"))="Accueil"</formula>
    </cfRule>
    <cfRule type="beginsWith" dxfId="4272" priority="4893" operator="beginsWith" text="Stage">
      <formula>LEFT(BC136,LEN("Stage"))="Stage"</formula>
    </cfRule>
    <cfRule type="beginsWith" dxfId="4271" priority="4894" operator="beginsWith" text="Entreprise">
      <formula>LEFT(BC136,LEN("Entreprise"))="Entreprise"</formula>
    </cfRule>
    <cfRule type="beginsWith" dxfId="4270" priority="4895" operator="beginsWith" text="Voltaire">
      <formula>LEFT(BC136,LEN("Voltaire"))="Voltaire"</formula>
    </cfRule>
  </conditionalFormatting>
  <conditionalFormatting sqref="BC186">
    <cfRule type="beginsWith" dxfId="4269" priority="4865" operator="beginsWith" text="Lancement Projet fil rouge">
      <formula>LEFT(BC186,LEN("Lancement Projet fil rouge"))="Lancement Projet fil rouge"</formula>
    </cfRule>
    <cfRule type="beginsWith" dxfId="4268" priority="4866" operator="beginsWith" text="Vacances">
      <formula>LEFT(BC186,LEN("Vacances"))="Vacances"</formula>
    </cfRule>
    <cfRule type="beginsWith" dxfId="4267" priority="4867" operator="beginsWith" text="Séminaire d'intégration">
      <formula>LEFT(BC186,LEN("Séminaire d'intégration"))="Séminaire d'intégration"</formula>
    </cfRule>
    <cfRule type="beginsWith" dxfId="4266" priority="4868" operator="beginsWith" text="Accueil">
      <formula>LEFT(BC186,LEN("Accueil"))="Accueil"</formula>
    </cfRule>
    <cfRule type="beginsWith" dxfId="4265" priority="4869" operator="beginsWith" text="Stage">
      <formula>LEFT(BC186,LEN("Stage"))="Stage"</formula>
    </cfRule>
    <cfRule type="beginsWith" dxfId="4264" priority="4870" operator="beginsWith" text="Entreprise">
      <formula>LEFT(BC186,LEN("Entreprise"))="Entreprise"</formula>
    </cfRule>
    <cfRule type="beginsWith" dxfId="4263" priority="4871" operator="beginsWith" text="Voltaire">
      <formula>LEFT(BC186,LEN("Voltaire"))="Voltaire"</formula>
    </cfRule>
  </conditionalFormatting>
  <conditionalFormatting sqref="BC206">
    <cfRule type="beginsWith" dxfId="4262" priority="5046" operator="beginsWith" text="Lancement Projet fil rouge">
      <formula>LEFT(BC206,LEN("Lancement Projet fil rouge"))="Lancement Projet fil rouge"</formula>
    </cfRule>
    <cfRule type="beginsWith" dxfId="4261" priority="5047" operator="beginsWith" text="Vacances">
      <formula>LEFT(BC206,LEN("Vacances"))="Vacances"</formula>
    </cfRule>
    <cfRule type="beginsWith" dxfId="4260" priority="5048" operator="beginsWith" text="Séminaire d'intégration">
      <formula>LEFT(BC206,LEN("Séminaire d'intégration"))="Séminaire d'intégration"</formula>
    </cfRule>
    <cfRule type="beginsWith" dxfId="4259" priority="5049" operator="beginsWith" text="Accueil">
      <formula>LEFT(BC206,LEN("Accueil"))="Accueil"</formula>
    </cfRule>
    <cfRule type="beginsWith" dxfId="4258" priority="5050" operator="beginsWith" text="Stage">
      <formula>LEFT(BC206,LEN("Stage"))="Stage"</formula>
    </cfRule>
    <cfRule type="beginsWith" dxfId="4257" priority="5051" operator="beginsWith" text="Entreprise">
      <formula>LEFT(BC206,LEN("Entreprise"))="Entreprise"</formula>
    </cfRule>
    <cfRule type="beginsWith" dxfId="4256" priority="5052" operator="beginsWith" text="Voltaire">
      <formula>LEFT(BC206,LEN("Voltaire"))="Voltaire"</formula>
    </cfRule>
  </conditionalFormatting>
  <conditionalFormatting sqref="BC221">
    <cfRule type="beginsWith" dxfId="4255" priority="4783" operator="beginsWith" text="Lancement Projet fil rouge">
      <formula>LEFT(BC221,LEN("Lancement Projet fil rouge"))="Lancement Projet fil rouge"</formula>
    </cfRule>
    <cfRule type="beginsWith" dxfId="4254" priority="4784" operator="beginsWith" text="Vacances">
      <formula>LEFT(BC221,LEN("Vacances"))="Vacances"</formula>
    </cfRule>
    <cfRule type="beginsWith" dxfId="4253" priority="4785" operator="beginsWith" text="Séminaire d'intégration">
      <formula>LEFT(BC221,LEN("Séminaire d'intégration"))="Séminaire d'intégration"</formula>
    </cfRule>
    <cfRule type="beginsWith" dxfId="4252" priority="4786" operator="beginsWith" text="Accueil">
      <formula>LEFT(BC221,LEN("Accueil"))="Accueil"</formula>
    </cfRule>
    <cfRule type="beginsWith" dxfId="4251" priority="4787" operator="beginsWith" text="Stage">
      <formula>LEFT(BC221,LEN("Stage"))="Stage"</formula>
    </cfRule>
    <cfRule type="beginsWith" dxfId="4250" priority="4788" operator="beginsWith" text="Entreprise">
      <formula>LEFT(BC221,LEN("Entreprise"))="Entreprise"</formula>
    </cfRule>
    <cfRule type="beginsWith" dxfId="4249" priority="4789" operator="beginsWith" text="Voltaire">
      <formula>LEFT(BC221,LEN("Voltaire"))="Voltaire"</formula>
    </cfRule>
  </conditionalFormatting>
  <conditionalFormatting sqref="BD151:BF153 BD155:BF155 BD154 BF154">
    <cfRule type="beginsWith" dxfId="4248" priority="4879" operator="beginsWith" text="Lancement Projet fil rouge">
      <formula>LEFT(BD151,LEN("Lancement Projet fil rouge"))="Lancement Projet fil rouge"</formula>
    </cfRule>
    <cfRule type="beginsWith" dxfId="4247" priority="4880" operator="beginsWith" text="Vacances">
      <formula>LEFT(BD151,LEN("Vacances"))="Vacances"</formula>
    </cfRule>
    <cfRule type="beginsWith" dxfId="4246" priority="4881" operator="beginsWith" text="Séminaire d'intégration">
      <formula>LEFT(BD151,LEN("Séminaire d'intégration"))="Séminaire d'intégration"</formula>
    </cfRule>
    <cfRule type="beginsWith" dxfId="4245" priority="4882" operator="beginsWith" text="Accueil">
      <formula>LEFT(BD151,LEN("Accueil"))="Accueil"</formula>
    </cfRule>
    <cfRule type="beginsWith" dxfId="4244" priority="4885" operator="beginsWith" text="Stage">
      <formula>LEFT(BD151,LEN("Stage"))="Stage"</formula>
    </cfRule>
    <cfRule type="beginsWith" dxfId="4243" priority="4886" operator="beginsWith" text="Entreprise">
      <formula>LEFT(BD151,LEN("Entreprise"))="Entreprise"</formula>
    </cfRule>
    <cfRule type="beginsWith" dxfId="4242" priority="4888" operator="beginsWith" text="Voltaire">
      <formula>LEFT(BD151,LEN("Voltaire"))="Voltaire"</formula>
    </cfRule>
  </conditionalFormatting>
  <conditionalFormatting sqref="BC181:BF185">
    <cfRule type="beginsWith" dxfId="4241" priority="5063" operator="beginsWith" text="Lancement Projet fil rouge">
      <formula>LEFT(BC181,LEN("Lancement Projet fil rouge"))="Lancement Projet fil rouge"</formula>
    </cfRule>
    <cfRule type="beginsWith" dxfId="4240" priority="5064" operator="beginsWith" text="Vacances">
      <formula>LEFT(BC181,LEN("Vacances"))="Vacances"</formula>
    </cfRule>
    <cfRule type="beginsWith" dxfId="4239" priority="5065" operator="beginsWith" text="Séminaire d'intégration">
      <formula>LEFT(BC181,LEN("Séminaire d'intégration"))="Séminaire d'intégration"</formula>
    </cfRule>
    <cfRule type="beginsWith" dxfId="4238" priority="5066" operator="beginsWith" text="Accueil">
      <formula>LEFT(BC181,LEN("Accueil"))="Accueil"</formula>
    </cfRule>
    <cfRule type="beginsWith" dxfId="4237" priority="5069" operator="beginsWith" text="Stage">
      <formula>LEFT(BC181,LEN("Stage"))="Stage"</formula>
    </cfRule>
    <cfRule type="beginsWith" dxfId="4236" priority="5070" operator="beginsWith" text="Entreprise">
      <formula>LEFT(BC181,LEN("Entreprise"))="Entreprise"</formula>
    </cfRule>
    <cfRule type="beginsWith" dxfId="4235" priority="5072" operator="beginsWith" text="Voltaire">
      <formula>LEFT(BC181,LEN("Voltaire"))="Voltaire"</formula>
    </cfRule>
  </conditionalFormatting>
  <conditionalFormatting sqref="BC261:BF369">
    <cfRule type="beginsWith" dxfId="4234" priority="5093" operator="beginsWith" text="Lancement Projet fil rouge">
      <formula>LEFT(BC261,LEN("Lancement Projet fil rouge"))="Lancement Projet fil rouge"</formula>
    </cfRule>
    <cfRule type="beginsWith" dxfId="4233" priority="5094" operator="beginsWith" text="Vacances">
      <formula>LEFT(BC261,LEN("Vacances"))="Vacances"</formula>
    </cfRule>
    <cfRule type="beginsWith" dxfId="4232" priority="5095" operator="beginsWith" text="Séminaire d'intégration">
      <formula>LEFT(BC261,LEN("Séminaire d'intégration"))="Séminaire d'intégration"</formula>
    </cfRule>
    <cfRule type="beginsWith" dxfId="4231" priority="5096" operator="beginsWith" text="Accueil">
      <formula>LEFT(BC261,LEN("Accueil"))="Accueil"</formula>
    </cfRule>
    <cfRule type="beginsWith" dxfId="4230" priority="5099" operator="beginsWith" text="Stage">
      <formula>LEFT(BC261,LEN("Stage"))="Stage"</formula>
    </cfRule>
    <cfRule type="beginsWith" dxfId="4229" priority="5100" operator="beginsWith" text="Entreprise">
      <formula>LEFT(BC261,LEN("Entreprise"))="Entreprise"</formula>
    </cfRule>
    <cfRule type="beginsWith" dxfId="4228" priority="5102" operator="beginsWith" text="Voltaire">
      <formula>LEFT(BC261,LEN("Voltaire"))="Voltaire"</formula>
    </cfRule>
  </conditionalFormatting>
  <conditionalFormatting sqref="BD68">
    <cfRule type="beginsWith" dxfId="4227" priority="4583" operator="beginsWith" text="Lancement Projet fil rouge">
      <formula>LEFT(BD68,LEN("Lancement Projet fil rouge"))="Lancement Projet fil rouge"</formula>
    </cfRule>
    <cfRule type="beginsWith" dxfId="4226" priority="4584" operator="beginsWith" text="Vacances">
      <formula>LEFT(BD68,LEN("Vacances"))="Vacances"</formula>
    </cfRule>
    <cfRule type="beginsWith" dxfId="4225" priority="4585" operator="beginsWith" text="Séminaire d'intégration">
      <formula>LEFT(BD68,LEN("Séminaire d'intégration"))="Séminaire d'intégration"</formula>
    </cfRule>
    <cfRule type="beginsWith" dxfId="4224" priority="4586" operator="beginsWith" text="Accueil">
      <formula>LEFT(BD68,LEN("Accueil"))="Accueil"</formula>
    </cfRule>
    <cfRule type="beginsWith" dxfId="4223" priority="4587" operator="beginsWith" text="Stage">
      <formula>LEFT(BD68,LEN("Stage"))="Stage"</formula>
    </cfRule>
    <cfRule type="beginsWith" dxfId="4222" priority="4588" operator="beginsWith" text="Entreprise">
      <formula>LEFT(BD68,LEN("Entreprise"))="Entreprise"</formula>
    </cfRule>
    <cfRule type="beginsWith" dxfId="4221" priority="4589" operator="beginsWith" text="Voltaire">
      <formula>LEFT(BD68,LEN("Voltaire"))="Voltaire"</formula>
    </cfRule>
  </conditionalFormatting>
  <conditionalFormatting sqref="BD136:BD140">
    <cfRule type="beginsWith" dxfId="4220" priority="4910" operator="beginsWith" text="Lancement Projet fil rouge">
      <formula>LEFT(BD136,LEN("Lancement Projet fil rouge"))="Lancement Projet fil rouge"</formula>
    </cfRule>
    <cfRule type="beginsWith" dxfId="4219" priority="4911" operator="beginsWith" text="Vacances">
      <formula>LEFT(BD136,LEN("Vacances"))="Vacances"</formula>
    </cfRule>
    <cfRule type="beginsWith" dxfId="4218" priority="4912" operator="beginsWith" text="Séminaire d'intégration">
      <formula>LEFT(BD136,LEN("Séminaire d'intégration"))="Séminaire d'intégration"</formula>
    </cfRule>
    <cfRule type="beginsWith" dxfId="4217" priority="4913" operator="beginsWith" text="Accueil">
      <formula>LEFT(BD136,LEN("Accueil"))="Accueil"</formula>
    </cfRule>
    <cfRule type="beginsWith" dxfId="4216" priority="4914" operator="beginsWith" text="Stage">
      <formula>LEFT(BD136,LEN("Stage"))="Stage"</formula>
    </cfRule>
    <cfRule type="beginsWith" dxfId="4215" priority="4915" operator="beginsWith" text="Entreprise">
      <formula>LEFT(BD136,LEN("Entreprise"))="Entreprise"</formula>
    </cfRule>
    <cfRule type="beginsWith" dxfId="4214" priority="4916" operator="beginsWith" text="Voltaire">
      <formula>LEFT(BD136,LEN("Voltaire"))="Voltaire"</formula>
    </cfRule>
  </conditionalFormatting>
  <conditionalFormatting sqref="BD141:BD145">
    <cfRule type="beginsWith" dxfId="4213" priority="4903" operator="beginsWith" text="Lancement Projet fil rouge">
      <formula>LEFT(BD141,LEN("Lancement Projet fil rouge"))="Lancement Projet fil rouge"</formula>
    </cfRule>
    <cfRule type="beginsWith" dxfId="4212" priority="4904" operator="beginsWith" text="Vacances">
      <formula>LEFT(BD141,LEN("Vacances"))="Vacances"</formula>
    </cfRule>
    <cfRule type="beginsWith" dxfId="4211" priority="4905" operator="beginsWith" text="Séminaire d'intégration">
      <formula>LEFT(BD141,LEN("Séminaire d'intégration"))="Séminaire d'intégration"</formula>
    </cfRule>
    <cfRule type="beginsWith" dxfId="4210" priority="4906" operator="beginsWith" text="Accueil">
      <formula>LEFT(BD141,LEN("Accueil"))="Accueil"</formula>
    </cfRule>
    <cfRule type="beginsWith" dxfId="4209" priority="4907" operator="beginsWith" text="Stage">
      <formula>LEFT(BD141,LEN("Stage"))="Stage"</formula>
    </cfRule>
    <cfRule type="beginsWith" dxfId="4208" priority="4908" operator="beginsWith" text="Entreprise">
      <formula>LEFT(BD141,LEN("Entreprise"))="Entreprise"</formula>
    </cfRule>
    <cfRule type="beginsWith" dxfId="4207" priority="4909" operator="beginsWith" text="Voltaire">
      <formula>LEFT(BD141,LEN("Voltaire"))="Voltaire"</formula>
    </cfRule>
  </conditionalFormatting>
  <conditionalFormatting sqref="BD156">
    <cfRule type="beginsWith" dxfId="4206" priority="4896" operator="beginsWith" text="Lancement Projet fil rouge">
      <formula>LEFT(BD156,LEN("Lancement Projet fil rouge"))="Lancement Projet fil rouge"</formula>
    </cfRule>
    <cfRule type="beginsWith" dxfId="4205" priority="4897" operator="beginsWith" text="Vacances">
      <formula>LEFT(BD156,LEN("Vacances"))="Vacances"</formula>
    </cfRule>
    <cfRule type="beginsWith" dxfId="4204" priority="4898" operator="beginsWith" text="Séminaire d'intégration">
      <formula>LEFT(BD156,LEN("Séminaire d'intégration"))="Séminaire d'intégration"</formula>
    </cfRule>
    <cfRule type="beginsWith" dxfId="4203" priority="4899" operator="beginsWith" text="Accueil">
      <formula>LEFT(BD156,LEN("Accueil"))="Accueil"</formula>
    </cfRule>
    <cfRule type="beginsWith" dxfId="4202" priority="4900" operator="beginsWith" text="Stage">
      <formula>LEFT(BD156,LEN("Stage"))="Stage"</formula>
    </cfRule>
    <cfRule type="beginsWith" dxfId="4201" priority="4901" operator="beginsWith" text="Entreprise">
      <formula>LEFT(BD156,LEN("Entreprise"))="Entreprise"</formula>
    </cfRule>
    <cfRule type="beginsWith" dxfId="4200" priority="4902" operator="beginsWith" text="Voltaire">
      <formula>LEFT(BD156,LEN("Voltaire"))="Voltaire"</formula>
    </cfRule>
  </conditionalFormatting>
  <conditionalFormatting sqref="BD161">
    <cfRule type="beginsWith" dxfId="4199" priority="4797" operator="beginsWith" text="Lancement Projet fil rouge">
      <formula>LEFT(BD161,LEN("Lancement Projet fil rouge"))="Lancement Projet fil rouge"</formula>
    </cfRule>
    <cfRule type="beginsWith" dxfId="4198" priority="4798" operator="beginsWith" text="Vacances">
      <formula>LEFT(BD161,LEN("Vacances"))="Vacances"</formula>
    </cfRule>
    <cfRule type="beginsWith" dxfId="4197" priority="4799" operator="beginsWith" text="Séminaire d'intégration">
      <formula>LEFT(BD161,LEN("Séminaire d'intégration"))="Séminaire d'intégration"</formula>
    </cfRule>
    <cfRule type="beginsWith" dxfId="4196" priority="4800" operator="beginsWith" text="Accueil">
      <formula>LEFT(BD161,LEN("Accueil"))="Accueil"</formula>
    </cfRule>
    <cfRule type="beginsWith" dxfId="4195" priority="4801" operator="beginsWith" text="Stage">
      <formula>LEFT(BD161,LEN("Stage"))="Stage"</formula>
    </cfRule>
    <cfRule type="beginsWith" dxfId="4194" priority="4802" operator="beginsWith" text="Entreprise">
      <formula>LEFT(BD161,LEN("Entreprise"))="Entreprise"</formula>
    </cfRule>
    <cfRule type="beginsWith" dxfId="4193" priority="4803" operator="beginsWith" text="Voltaire">
      <formula>LEFT(BD161,LEN("Voltaire"))="Voltaire"</formula>
    </cfRule>
  </conditionalFormatting>
  <conditionalFormatting sqref="BD166">
    <cfRule type="beginsWith" dxfId="4192" priority="4995" operator="beginsWith" text="Lancement Projet fil rouge">
      <formula>LEFT(BD166,LEN("Lancement Projet fil rouge"))="Lancement Projet fil rouge"</formula>
    </cfRule>
    <cfRule type="beginsWith" dxfId="4191" priority="4996" operator="beginsWith" text="Vacances">
      <formula>LEFT(BD166,LEN("Vacances"))="Vacances"</formula>
    </cfRule>
    <cfRule type="beginsWith" dxfId="4190" priority="4997" operator="beginsWith" text="Séminaire d'intégration">
      <formula>LEFT(BD166,LEN("Séminaire d'intégration"))="Séminaire d'intégration"</formula>
    </cfRule>
    <cfRule type="beginsWith" dxfId="4189" priority="4998" operator="beginsWith" text="Accueil">
      <formula>LEFT(BD166,LEN("Accueil"))="Accueil"</formula>
    </cfRule>
    <cfRule type="beginsWith" dxfId="4188" priority="4999" operator="beginsWith" text="Stage">
      <formula>LEFT(BD166,LEN("Stage"))="Stage"</formula>
    </cfRule>
    <cfRule type="beginsWith" dxfId="4187" priority="5000" operator="beginsWith" text="Entreprise">
      <formula>LEFT(BD166,LEN("Entreprise"))="Entreprise"</formula>
    </cfRule>
    <cfRule type="beginsWith" dxfId="4186" priority="5001" operator="beginsWith" text="Voltaire">
      <formula>LEFT(BD166,LEN("Voltaire"))="Voltaire"</formula>
    </cfRule>
  </conditionalFormatting>
  <conditionalFormatting sqref="BD191">
    <cfRule type="beginsWith" dxfId="4185" priority="5009" operator="beginsWith" text="Lancement Projet fil rouge">
      <formula>LEFT(BD191,LEN("Lancement Projet fil rouge"))="Lancement Projet fil rouge"</formula>
    </cfRule>
    <cfRule type="beginsWith" dxfId="4184" priority="5010" operator="beginsWith" text="Vacances">
      <formula>LEFT(BD191,LEN("Vacances"))="Vacances"</formula>
    </cfRule>
    <cfRule type="beginsWith" dxfId="4183" priority="5011" operator="beginsWith" text="Séminaire d'intégration">
      <formula>LEFT(BD191,LEN("Séminaire d'intégration"))="Séminaire d'intégration"</formula>
    </cfRule>
    <cfRule type="beginsWith" dxfId="4182" priority="5012" operator="beginsWith" text="Accueil">
      <formula>LEFT(BD191,LEN("Accueil"))="Accueil"</formula>
    </cfRule>
    <cfRule type="beginsWith" dxfId="4181" priority="5013" operator="beginsWith" text="Stage">
      <formula>LEFT(BD191,LEN("Stage"))="Stage"</formula>
    </cfRule>
    <cfRule type="beginsWith" dxfId="4180" priority="5014" operator="beginsWith" text="Entreprise">
      <formula>LEFT(BD191,LEN("Entreprise"))="Entreprise"</formula>
    </cfRule>
    <cfRule type="beginsWith" dxfId="4179" priority="5015" operator="beginsWith" text="Voltaire">
      <formula>LEFT(BD191,LEN("Voltaire"))="Voltaire"</formula>
    </cfRule>
  </conditionalFormatting>
  <conditionalFormatting sqref="BD196:BD198">
    <cfRule type="beginsWith" dxfId="4178" priority="4749" operator="beginsWith" text="Lancement Projet fil rouge">
      <formula>LEFT(BD196,LEN("Lancement Projet fil rouge"))="Lancement Projet fil rouge"</formula>
    </cfRule>
    <cfRule type="beginsWith" dxfId="4177" priority="4750" operator="beginsWith" text="Vacances">
      <formula>LEFT(BD196,LEN("Vacances"))="Vacances"</formula>
    </cfRule>
    <cfRule type="beginsWith" dxfId="4176" priority="4751" operator="beginsWith" text="Séminaire d'intégration">
      <formula>LEFT(BD196,LEN("Séminaire d'intégration"))="Séminaire d'intégration"</formula>
    </cfRule>
    <cfRule type="beginsWith" dxfId="4175" priority="4752" operator="beginsWith" text="Accueil">
      <formula>LEFT(BD196,LEN("Accueil"))="Accueil"</formula>
    </cfRule>
    <cfRule type="beginsWith" dxfId="4174" priority="4753" operator="beginsWith" text="Stage">
      <formula>LEFT(BD196,LEN("Stage"))="Stage"</formula>
    </cfRule>
    <cfRule type="beginsWith" dxfId="4173" priority="4754" operator="beginsWith" text="Entreprise">
      <formula>LEFT(BD196,LEN("Entreprise"))="Entreprise"</formula>
    </cfRule>
    <cfRule type="beginsWith" dxfId="4172" priority="4755" operator="beginsWith" text="Voltaire">
      <formula>LEFT(BD196,LEN("Voltaire"))="Voltaire"</formula>
    </cfRule>
  </conditionalFormatting>
  <conditionalFormatting sqref="BD6:BF10">
    <cfRule type="beginsWith" dxfId="4171" priority="4941" operator="beginsWith" text="Lancement Projet fil rouge">
      <formula>LEFT(BD6,LEN("Lancement Projet fil rouge"))="Lancement Projet fil rouge"</formula>
    </cfRule>
    <cfRule type="beginsWith" dxfId="4170" priority="4942" operator="beginsWith" text="Vacances">
      <formula>LEFT(BD6,LEN("Vacances"))="Vacances"</formula>
    </cfRule>
    <cfRule type="beginsWith" dxfId="4169" priority="4943" operator="beginsWith" text="Séminaire d'intégration">
      <formula>LEFT(BD6,LEN("Séminaire d'intégration"))="Séminaire d'intégration"</formula>
    </cfRule>
    <cfRule type="beginsWith" dxfId="4168" priority="4944" operator="beginsWith" text="Accueil">
      <formula>LEFT(BD6,LEN("Accueil"))="Accueil"</formula>
    </cfRule>
    <cfRule type="beginsWith" dxfId="4167" priority="4947" operator="beginsWith" text="Stage">
      <formula>LEFT(BD6,LEN("Stage"))="Stage"</formula>
    </cfRule>
    <cfRule type="beginsWith" dxfId="4166" priority="4948" operator="beginsWith" text="Entreprise">
      <formula>LEFT(BD6,LEN("Entreprise"))="Entreprise"</formula>
    </cfRule>
    <cfRule type="beginsWith" dxfId="4165" priority="4950" operator="beginsWith" text="Voltaire">
      <formula>LEFT(BD6,LEN("Voltaire"))="Voltaire"</formula>
    </cfRule>
  </conditionalFormatting>
  <conditionalFormatting sqref="BD11:BF15">
    <cfRule type="beginsWith" dxfId="4164" priority="5073" operator="beginsWith" text="Lancement Projet fil rouge">
      <formula>LEFT(BD11,LEN("Lancement Projet fil rouge"))="Lancement Projet fil rouge"</formula>
    </cfRule>
    <cfRule type="beginsWith" dxfId="4163" priority="5074" operator="beginsWith" text="Vacances">
      <formula>LEFT(BD11,LEN("Vacances"))="Vacances"</formula>
    </cfRule>
    <cfRule type="beginsWith" dxfId="4162" priority="5075" operator="beginsWith" text="Séminaire d'intégration">
      <formula>LEFT(BD11,LEN("Séminaire d'intégration"))="Séminaire d'intégration"</formula>
    </cfRule>
    <cfRule type="beginsWith" dxfId="4161" priority="5076" operator="beginsWith" text="Accueil">
      <formula>LEFT(BD11,LEN("Accueil"))="Accueil"</formula>
    </cfRule>
    <cfRule type="beginsWith" dxfId="4160" priority="5079" operator="beginsWith" text="Stage">
      <formula>LEFT(BD11,LEN("Stage"))="Stage"</formula>
    </cfRule>
    <cfRule type="beginsWith" dxfId="4159" priority="5080" operator="beginsWith" text="Entreprise">
      <formula>LEFT(BD11,LEN("Entreprise"))="Entreprise"</formula>
    </cfRule>
    <cfRule type="beginsWith" dxfId="4158" priority="5082" operator="beginsWith" text="Voltaire">
      <formula>LEFT(BD11,LEN("Voltaire"))="Voltaire"</formula>
    </cfRule>
  </conditionalFormatting>
  <conditionalFormatting sqref="BD16:BF20 BD206:BF206 BC1:BF2 BC5:BF5 BC190:BF190 BD201:BF201 BD186:BE187 BE166:BF168 BC385:BF1048576 BD31:BF35 BE170:BF173 BF169 BE196:BE200 BE207:BE210 BD131:BF135 BE141:BF145 BD146:BF148 BF180 BD188:BD189 BE202:BF205 BE211:BF218 BD241:BF260 BD231:BD240 BD150:BF150 BD149 BF149 BE175:BF179 BF174 BE156:BF160 BD116:BF118 BD124:BD125 BF124:BF125 BD26:BE30 BD120:BF123 BD119 BF119 BE220:BF220 BF219 BF231:BF240">
    <cfRule type="beginsWith" dxfId="4157" priority="5083" operator="beginsWith" text="Lancement Projet fil rouge">
      <formula>LEFT(BC1,LEN("Lancement Projet fil rouge"))="Lancement Projet fil rouge"</formula>
    </cfRule>
    <cfRule type="beginsWith" dxfId="4156" priority="5084" operator="beginsWith" text="Vacances">
      <formula>LEFT(BC1,LEN("Vacances"))="Vacances"</formula>
    </cfRule>
    <cfRule type="beginsWith" dxfId="4155" priority="5085" operator="beginsWith" text="Séminaire d'intégration">
      <formula>LEFT(BC1,LEN("Séminaire d'intégration"))="Séminaire d'intégration"</formula>
    </cfRule>
    <cfRule type="beginsWith" dxfId="4154" priority="5086" operator="beginsWith" text="Accueil">
      <formula>LEFT(BC1,LEN("Accueil"))="Accueil"</formula>
    </cfRule>
    <cfRule type="beginsWith" dxfId="4153" priority="5089" operator="beginsWith" text="Stage">
      <formula>LEFT(BC1,LEN("Stage"))="Stage"</formula>
    </cfRule>
    <cfRule type="beginsWith" dxfId="4152" priority="5090" operator="beginsWith" text="Entreprise">
      <formula>LEFT(BC1,LEN("Entreprise"))="Entreprise"</formula>
    </cfRule>
    <cfRule type="beginsWith" dxfId="4151" priority="5092" operator="beginsWith" text="Voltaire">
      <formula>LEFT(BC1,LEN("Voltaire"))="Voltaire"</formula>
    </cfRule>
  </conditionalFormatting>
  <conditionalFormatting sqref="BD21:BF25">
    <cfRule type="beginsWith" dxfId="4150" priority="4975" operator="beginsWith" text="Lancement Projet fil rouge">
      <formula>LEFT(BD21,LEN("Lancement Projet fil rouge"))="Lancement Projet fil rouge"</formula>
    </cfRule>
    <cfRule type="beginsWith" dxfId="4149" priority="4976" operator="beginsWith" text="Vacances">
      <formula>LEFT(BD21,LEN("Vacances"))="Vacances"</formula>
    </cfRule>
    <cfRule type="beginsWith" dxfId="4148" priority="4977" operator="beginsWith" text="Séminaire d'intégration">
      <formula>LEFT(BD21,LEN("Séminaire d'intégration"))="Séminaire d'intégration"</formula>
    </cfRule>
    <cfRule type="beginsWith" dxfId="4147" priority="4978" operator="beginsWith" text="Accueil">
      <formula>LEFT(BD21,LEN("Accueil"))="Accueil"</formula>
    </cfRule>
    <cfRule type="beginsWith" dxfId="4146" priority="4981" operator="beginsWith" text="Stage">
      <formula>LEFT(BD21,LEN("Stage"))="Stage"</formula>
    </cfRule>
    <cfRule type="beginsWith" dxfId="4145" priority="4982" operator="beginsWith" text="Entreprise">
      <formula>LEFT(BD21,LEN("Entreprise"))="Entreprise"</formula>
    </cfRule>
    <cfRule type="beginsWith" dxfId="4144" priority="4984" operator="beginsWith" text="Voltaire">
      <formula>LEFT(BD21,LEN("Voltaire"))="Voltaire"</formula>
    </cfRule>
  </conditionalFormatting>
  <conditionalFormatting sqref="BD36:BF50 BD51:BE55">
    <cfRule type="beginsWith" dxfId="4143" priority="4644" operator="beginsWith" text="Lancement Projet fil rouge">
      <formula>LEFT(BD36,LEN("Lancement Projet fil rouge"))="Lancement Projet fil rouge"</formula>
    </cfRule>
    <cfRule type="beginsWith" dxfId="4142" priority="4645" operator="beginsWith" text="Vacances">
      <formula>LEFT(BD36,LEN("Vacances"))="Vacances"</formula>
    </cfRule>
    <cfRule type="beginsWith" dxfId="4141" priority="4646" operator="beginsWith" text="Séminaire d'intégration">
      <formula>LEFT(BD36,LEN("Séminaire d'intégration"))="Séminaire d'intégration"</formula>
    </cfRule>
    <cfRule type="beginsWith" dxfId="4140" priority="4647" operator="beginsWith" text="Accueil">
      <formula>LEFT(BD36,LEN("Accueil"))="Accueil"</formula>
    </cfRule>
    <cfRule type="beginsWith" dxfId="4139" priority="4650" operator="beginsWith" text="Stage">
      <formula>LEFT(BD36,LEN("Stage"))="Stage"</formula>
    </cfRule>
    <cfRule type="beginsWith" dxfId="4138" priority="4651" operator="beginsWith" text="Entreprise">
      <formula>LEFT(BD36,LEN("Entreprise"))="Entreprise"</formula>
    </cfRule>
    <cfRule type="beginsWith" dxfId="4137" priority="4653" operator="beginsWith" text="Voltaire">
      <formula>LEFT(BD36,LEN("Voltaire"))="Voltaire"</formula>
    </cfRule>
  </conditionalFormatting>
  <conditionalFormatting sqref="BD56:BF60">
    <cfRule type="beginsWith" dxfId="4136" priority="4624" operator="beginsWith" text="Lancement Projet fil rouge">
      <formula>LEFT(BD56,LEN("Lancement Projet fil rouge"))="Lancement Projet fil rouge"</formula>
    </cfRule>
    <cfRule type="beginsWith" dxfId="4135" priority="4625" operator="beginsWith" text="Vacances">
      <formula>LEFT(BD56,LEN("Vacances"))="Vacances"</formula>
    </cfRule>
    <cfRule type="beginsWith" dxfId="4134" priority="4626" operator="beginsWith" text="Séminaire d'intégration">
      <formula>LEFT(BD56,LEN("Séminaire d'intégration"))="Séminaire d'intégration"</formula>
    </cfRule>
    <cfRule type="beginsWith" dxfId="4133" priority="4627" operator="beginsWith" text="Accueil">
      <formula>LEFT(BD56,LEN("Accueil"))="Accueil"</formula>
    </cfRule>
    <cfRule type="beginsWith" dxfId="4132" priority="4630" operator="beginsWith" text="Stage">
      <formula>LEFT(BD56,LEN("Stage"))="Stage"</formula>
    </cfRule>
    <cfRule type="beginsWith" dxfId="4131" priority="4631" operator="beginsWith" text="Entreprise">
      <formula>LEFT(BD56,LEN("Entreprise"))="Entreprise"</formula>
    </cfRule>
    <cfRule type="beginsWith" dxfId="4130" priority="4633" operator="beginsWith" text="Voltaire">
      <formula>LEFT(BD56,LEN("Voltaire"))="Voltaire"</formula>
    </cfRule>
  </conditionalFormatting>
  <conditionalFormatting sqref="BD76:BF83 BD71:BD75 BF71:BF75 BD85:BF88 BD84 BF84 BD90:BF95 BD89 BF89">
    <cfRule type="beginsWith" dxfId="4129" priority="4573" operator="beginsWith" text="Lancement Projet fil rouge">
      <formula>LEFT(BD71,LEN("Lancement Projet fil rouge"))="Lancement Projet fil rouge"</formula>
    </cfRule>
    <cfRule type="beginsWith" dxfId="4128" priority="4574" operator="beginsWith" text="Vacances">
      <formula>LEFT(BD71,LEN("Vacances"))="Vacances"</formula>
    </cfRule>
    <cfRule type="beginsWith" dxfId="4127" priority="4575" operator="beginsWith" text="Séminaire d'intégration">
      <formula>LEFT(BD71,LEN("Séminaire d'intégration"))="Séminaire d'intégration"</formula>
    </cfRule>
    <cfRule type="beginsWith" dxfId="4126" priority="4576" operator="beginsWith" text="Accueil">
      <formula>LEFT(BD71,LEN("Accueil"))="Accueil"</formula>
    </cfRule>
    <cfRule type="beginsWith" dxfId="4125" priority="4579" operator="beginsWith" text="Stage">
      <formula>LEFT(BD71,LEN("Stage"))="Stage"</formula>
    </cfRule>
    <cfRule type="beginsWith" dxfId="4124" priority="4580" operator="beginsWith" text="Entreprise">
      <formula>LEFT(BD71,LEN("Entreprise"))="Entreprise"</formula>
    </cfRule>
    <cfRule type="beginsWith" dxfId="4123" priority="4582" operator="beginsWith" text="Voltaire">
      <formula>LEFT(BD71,LEN("Voltaire"))="Voltaire"</formula>
    </cfRule>
  </conditionalFormatting>
  <conditionalFormatting sqref="BD96:BF113 BD115:BF115 BD114 BF114">
    <cfRule type="beginsWith" dxfId="4122" priority="4556" operator="beginsWith" text="Lancement Projet fil rouge">
      <formula>LEFT(BD96,LEN("Lancement Projet fil rouge"))="Lancement Projet fil rouge"</formula>
    </cfRule>
    <cfRule type="beginsWith" dxfId="4121" priority="4557" operator="beginsWith" text="Vacances">
      <formula>LEFT(BD96,LEN("Vacances"))="Vacances"</formula>
    </cfRule>
    <cfRule type="beginsWith" dxfId="4120" priority="4558" operator="beginsWith" text="Séminaire d'intégration">
      <formula>LEFT(BD96,LEN("Séminaire d'intégration"))="Séminaire d'intégration"</formula>
    </cfRule>
    <cfRule type="beginsWith" dxfId="4119" priority="4559" operator="beginsWith" text="Accueil">
      <formula>LEFT(BD96,LEN("Accueil"))="Accueil"</formula>
    </cfRule>
    <cfRule type="beginsWith" dxfId="4118" priority="4562" operator="beginsWith" text="Stage">
      <formula>LEFT(BD96,LEN("Stage"))="Stage"</formula>
    </cfRule>
    <cfRule type="beginsWith" dxfId="4117" priority="4563" operator="beginsWith" text="Entreprise">
      <formula>LEFT(BD96,LEN("Entreprise"))="Entreprise"</formula>
    </cfRule>
    <cfRule type="beginsWith" dxfId="4116" priority="4565" operator="beginsWith" text="Voltaire">
      <formula>LEFT(BD96,LEN("Voltaire"))="Voltaire"</formula>
    </cfRule>
  </conditionalFormatting>
  <conditionalFormatting sqref="BD126:BF130">
    <cfRule type="beginsWith" dxfId="4115" priority="4522" operator="beginsWith" text="Lancement Projet fil rouge">
      <formula>LEFT(BD126,LEN("Lancement Projet fil rouge"))="Lancement Projet fil rouge"</formula>
    </cfRule>
    <cfRule type="beginsWith" dxfId="4114" priority="4523" operator="beginsWith" text="Vacances">
      <formula>LEFT(BD126,LEN("Vacances"))="Vacances"</formula>
    </cfRule>
    <cfRule type="beginsWith" dxfId="4113" priority="4524" operator="beginsWith" text="Séminaire d'intégration">
      <formula>LEFT(BD126,LEN("Séminaire d'intégration"))="Séminaire d'intégration"</formula>
    </cfRule>
    <cfRule type="beginsWith" dxfId="4112" priority="4525" operator="beginsWith" text="Accueil">
      <formula>LEFT(BD126,LEN("Accueil"))="Accueil"</formula>
    </cfRule>
    <cfRule type="beginsWith" dxfId="4111" priority="4528" operator="beginsWith" text="Stage">
      <formula>LEFT(BD126,LEN("Stage"))="Stage"</formula>
    </cfRule>
    <cfRule type="beginsWith" dxfId="4110" priority="4529" operator="beginsWith" text="Entreprise">
      <formula>LEFT(BD126,LEN("Entreprise"))="Entreprise"</formula>
    </cfRule>
    <cfRule type="beginsWith" dxfId="4109" priority="4531" operator="beginsWith" text="Voltaire">
      <formula>LEFT(BD126,LEN("Voltaire"))="Voltaire"</formula>
    </cfRule>
  </conditionalFormatting>
  <conditionalFormatting sqref="BD221:BF223 BD224:BD225 BF224:BF225">
    <cfRule type="beginsWith" dxfId="4108" priority="4763" operator="beginsWith" text="Lancement Projet fil rouge">
      <formula>LEFT(BD221,LEN("Lancement Projet fil rouge"))="Lancement Projet fil rouge"</formula>
    </cfRule>
    <cfRule type="beginsWith" dxfId="4107" priority="4764" operator="beginsWith" text="Vacances">
      <formula>LEFT(BD221,LEN("Vacances"))="Vacances"</formula>
    </cfRule>
    <cfRule type="beginsWith" dxfId="4106" priority="4765" operator="beginsWith" text="Séminaire d'intégration">
      <formula>LEFT(BD221,LEN("Séminaire d'intégration"))="Séminaire d'intégration"</formula>
    </cfRule>
    <cfRule type="beginsWith" dxfId="4105" priority="4766" operator="beginsWith" text="Accueil">
      <formula>LEFT(BD221,LEN("Accueil"))="Accueil"</formula>
    </cfRule>
    <cfRule type="beginsWith" dxfId="4104" priority="4769" operator="beginsWith" text="Stage">
      <formula>LEFT(BD221,LEN("Stage"))="Stage"</formula>
    </cfRule>
    <cfRule type="beginsWith" dxfId="4103" priority="4770" operator="beginsWith" text="Entreprise">
      <formula>LEFT(BD221,LEN("Entreprise"))="Entreprise"</formula>
    </cfRule>
    <cfRule type="beginsWith" dxfId="4102" priority="4772" operator="beginsWith" text="Voltaire">
      <formula>LEFT(BD221,LEN("Voltaire"))="Voltaire"</formula>
    </cfRule>
  </conditionalFormatting>
  <conditionalFormatting sqref="BD226:BD230 BF226:BF230">
    <cfRule type="beginsWith" dxfId="4101" priority="4773" operator="beginsWith" text="Lancement Projet fil rouge">
      <formula>LEFT(BD226,LEN("Lancement Projet fil rouge"))="Lancement Projet fil rouge"</formula>
    </cfRule>
    <cfRule type="beginsWith" dxfId="4100" priority="4774" operator="beginsWith" text="Vacances">
      <formula>LEFT(BD226,LEN("Vacances"))="Vacances"</formula>
    </cfRule>
    <cfRule type="beginsWith" dxfId="4099" priority="4775" operator="beginsWith" text="Séminaire d'intégration">
      <formula>LEFT(BD226,LEN("Séminaire d'intégration"))="Séminaire d'intégration"</formula>
    </cfRule>
    <cfRule type="beginsWith" dxfId="4098" priority="4776" operator="beginsWith" text="Accueil">
      <formula>LEFT(BD226,LEN("Accueil"))="Accueil"</formula>
    </cfRule>
    <cfRule type="beginsWith" dxfId="4097" priority="4779" operator="beginsWith" text="Stage">
      <formula>LEFT(BD226,LEN("Stage"))="Stage"</formula>
    </cfRule>
    <cfRule type="beginsWith" dxfId="4096" priority="4780" operator="beginsWith" text="Entreprise">
      <formula>LEFT(BD226,LEN("Entreprise"))="Entreprise"</formula>
    </cfRule>
    <cfRule type="beginsWith" dxfId="4095" priority="4782" operator="beginsWith" text="Voltaire">
      <formula>LEFT(BD226,LEN("Voltaire"))="Voltaire"</formula>
    </cfRule>
  </conditionalFormatting>
  <conditionalFormatting sqref="BE61:BF63 BF64:BF66">
    <cfRule type="beginsWith" dxfId="4094" priority="4604" operator="beginsWith" text="TOPHYC">
      <formula>LEFT(BE61,LEN("TOPHYC"))="TOPHYC"</formula>
    </cfRule>
    <cfRule type="beginsWith" dxfId="4093" priority="4605" operator="beginsWith" text="Global Exam">
      <formula>LEFT(BE61,LEN("Global Exam"))="Global Exam"</formula>
    </cfRule>
    <cfRule type="beginsWith" dxfId="4092" priority="4608" operator="beginsWith" text="TOMIC">
      <formula>LEFT(BE61,LEN("TOMIC"))="TOMIC"</formula>
    </cfRule>
  </conditionalFormatting>
  <conditionalFormatting sqref="BD66:BD67 BD61:BF61 BE62:BF63 BF64:BF66">
    <cfRule type="beginsWith" dxfId="4091" priority="4600" operator="beginsWith" text="Lancement Projet fil rouge">
      <formula>LEFT(BD61,LEN("Lancement Projet fil rouge"))="Lancement Projet fil rouge"</formula>
    </cfRule>
    <cfRule type="beginsWith" dxfId="4090" priority="4601" operator="beginsWith" text="Vacances">
      <formula>LEFT(BD61,LEN("Vacances"))="Vacances"</formula>
    </cfRule>
    <cfRule type="beginsWith" dxfId="4089" priority="4602" operator="beginsWith" text="Séminaire d'intégration">
      <formula>LEFT(BD61,LEN("Séminaire d'intégration"))="Séminaire d'intégration"</formula>
    </cfRule>
    <cfRule type="beginsWith" dxfId="4088" priority="4603" operator="beginsWith" text="Accueil">
      <formula>LEFT(BD61,LEN("Accueil"))="Accueil"</formula>
    </cfRule>
    <cfRule type="beginsWith" dxfId="4087" priority="4606" operator="beginsWith" text="Stage">
      <formula>LEFT(BD61,LEN("Stage"))="Stage"</formula>
    </cfRule>
    <cfRule type="beginsWith" dxfId="4086" priority="4607" operator="beginsWith" text="Entreprise">
      <formula>LEFT(BD61,LEN("Entreprise"))="Entreprise"</formula>
    </cfRule>
    <cfRule type="beginsWith" dxfId="4085" priority="4609" operator="beginsWith" text="Voltaire">
      <formula>LEFT(BD61,LEN("Voltaire"))="Voltaire"</formula>
    </cfRule>
  </conditionalFormatting>
  <conditionalFormatting sqref="BE124:BE125">
    <cfRule type="beginsWith" dxfId="4084" priority="4539" operator="beginsWith" text="Lancement Projet fil rouge">
      <formula>LEFT(BE124,LEN("Lancement Projet fil rouge"))="Lancement Projet fil rouge"</formula>
    </cfRule>
    <cfRule type="beginsWith" dxfId="4083" priority="4540" operator="beginsWith" text="Vacances">
      <formula>LEFT(BE124,LEN("Vacances"))="Vacances"</formula>
    </cfRule>
    <cfRule type="beginsWith" dxfId="4082" priority="4541" operator="beginsWith" text="Séminaire d'intégration">
      <formula>LEFT(BE124,LEN("Séminaire d'intégration"))="Séminaire d'intégration"</formula>
    </cfRule>
    <cfRule type="beginsWith" dxfId="4081" priority="4542" operator="beginsWith" text="Accueil">
      <formula>LEFT(BE124,LEN("Accueil"))="Accueil"</formula>
    </cfRule>
    <cfRule type="beginsWith" dxfId="4080" priority="4543" operator="beginsWith" text="TOPHYC">
      <formula>LEFT(BE124,LEN("TOPHYC"))="TOPHYC"</formula>
    </cfRule>
    <cfRule type="beginsWith" dxfId="4079" priority="4544" operator="beginsWith" text="Global Exam">
      <formula>LEFT(BE124,LEN("Global Exam"))="Global Exam"</formula>
    </cfRule>
    <cfRule type="beginsWith" dxfId="4078" priority="4545" operator="beginsWith" text="Stage">
      <formula>LEFT(BE124,LEN("Stage"))="Stage"</formula>
    </cfRule>
    <cfRule type="beginsWith" dxfId="4077" priority="4546" operator="beginsWith" text="Entreprise">
      <formula>LEFT(BE124,LEN("Entreprise"))="Entreprise"</formula>
    </cfRule>
    <cfRule type="beginsWith" dxfId="4076" priority="4547" operator="beginsWith" text="TOMIC">
      <formula>LEFT(BE124,LEN("TOMIC"))="TOMIC"</formula>
    </cfRule>
    <cfRule type="beginsWith" dxfId="4075" priority="4548" operator="beginsWith" text="Voltaire">
      <formula>LEFT(BE124,LEN("Voltaire"))="Voltaire"</formula>
    </cfRule>
  </conditionalFormatting>
  <conditionalFormatting sqref="BE136:BE138 BE140">
    <cfRule type="beginsWith" dxfId="4074" priority="4924" operator="beginsWith" text="Lancement Projet fil rouge">
      <formula>LEFT(BE136,LEN("Lancement Projet fil rouge"))="Lancement Projet fil rouge"</formula>
    </cfRule>
    <cfRule type="beginsWith" dxfId="4073" priority="4925" operator="beginsWith" text="Vacances">
      <formula>LEFT(BE136,LEN("Vacances"))="Vacances"</formula>
    </cfRule>
    <cfRule type="beginsWith" dxfId="4072" priority="4926" operator="beginsWith" text="Séminaire d'intégration">
      <formula>LEFT(BE136,LEN("Séminaire d'intégration"))="Séminaire d'intégration"</formula>
    </cfRule>
    <cfRule type="beginsWith" dxfId="4071" priority="4927" operator="beginsWith" text="Accueil">
      <formula>LEFT(BE136,LEN("Accueil"))="Accueil"</formula>
    </cfRule>
    <cfRule type="beginsWith" dxfId="4070" priority="4928" operator="beginsWith" text="TOPHYC">
      <formula>LEFT(BE136,LEN("TOPHYC"))="TOPHYC"</formula>
    </cfRule>
    <cfRule type="beginsWith" dxfId="4069" priority="4929" operator="beginsWith" text="Global Exam">
      <formula>LEFT(BE136,LEN("Global Exam"))="Global Exam"</formula>
    </cfRule>
    <cfRule type="beginsWith" dxfId="4068" priority="4930" operator="beginsWith" text="Stage">
      <formula>LEFT(BE136,LEN("Stage"))="Stage"</formula>
    </cfRule>
    <cfRule type="beginsWith" dxfId="4067" priority="4931" operator="beginsWith" text="Entreprise">
      <formula>LEFT(BE136,LEN("Entreprise"))="Entreprise"</formula>
    </cfRule>
    <cfRule type="beginsWith" dxfId="4066" priority="4932" operator="beginsWith" text="TOMIC">
      <formula>LEFT(BE136,LEN("TOMIC"))="TOMIC"</formula>
    </cfRule>
    <cfRule type="beginsWith" dxfId="4065" priority="4933" operator="beginsWith" text="Voltaire">
      <formula>LEFT(BE136,LEN("Voltaire"))="Voltaire"</formula>
    </cfRule>
  </conditionalFormatting>
  <conditionalFormatting sqref="BE149">
    <cfRule type="beginsWith" dxfId="4064" priority="4719" operator="beginsWith" text="Lancement Projet fil rouge">
      <formula>LEFT(BE149,LEN("Lancement Projet fil rouge"))="Lancement Projet fil rouge"</formula>
    </cfRule>
    <cfRule type="beginsWith" dxfId="4063" priority="4720" operator="beginsWith" text="Vacances">
      <formula>LEFT(BE149,LEN("Vacances"))="Vacances"</formula>
    </cfRule>
    <cfRule type="beginsWith" dxfId="4062" priority="4721" operator="beginsWith" text="Séminaire d'intégration">
      <formula>LEFT(BE149,LEN("Séminaire d'intégration"))="Séminaire d'intégration"</formula>
    </cfRule>
    <cfRule type="beginsWith" dxfId="4061" priority="4722" operator="beginsWith" text="Accueil">
      <formula>LEFT(BE149,LEN("Accueil"))="Accueil"</formula>
    </cfRule>
    <cfRule type="beginsWith" dxfId="4060" priority="4723" operator="beginsWith" text="TOPHYC">
      <formula>LEFT(BE149,LEN("TOPHYC"))="TOPHYC"</formula>
    </cfRule>
    <cfRule type="beginsWith" dxfId="4059" priority="4724" operator="beginsWith" text="Global Exam">
      <formula>LEFT(BE149,LEN("Global Exam"))="Global Exam"</formula>
    </cfRule>
    <cfRule type="beginsWith" dxfId="4058" priority="4725" operator="beginsWith" text="Stage">
      <formula>LEFT(BE149,LEN("Stage"))="Stage"</formula>
    </cfRule>
    <cfRule type="beginsWith" dxfId="4057" priority="4726" operator="beginsWith" text="Entreprise">
      <formula>LEFT(BE149,LEN("Entreprise"))="Entreprise"</formula>
    </cfRule>
    <cfRule type="beginsWith" dxfId="4056" priority="4727" operator="beginsWith" text="TOMIC">
      <formula>LEFT(BE149,LEN("TOMIC"))="TOMIC"</formula>
    </cfRule>
    <cfRule type="beginsWith" dxfId="4055" priority="4728" operator="beginsWith" text="Voltaire">
      <formula>LEFT(BE149,LEN("Voltaire"))="Voltaire"</formula>
    </cfRule>
  </conditionalFormatting>
  <conditionalFormatting sqref="BE165">
    <cfRule type="beginsWith" dxfId="4054" priority="4689" operator="beginsWith" text="Lancement Projet fil rouge">
      <formula>LEFT(BE165,LEN("Lancement Projet fil rouge"))="Lancement Projet fil rouge"</formula>
    </cfRule>
    <cfRule type="beginsWith" dxfId="4053" priority="4690" operator="beginsWith" text="Vacances">
      <formula>LEFT(BE165,LEN("Vacances"))="Vacances"</formula>
    </cfRule>
    <cfRule type="beginsWith" dxfId="4052" priority="4691" operator="beginsWith" text="Séminaire d'intégration">
      <formula>LEFT(BE165,LEN("Séminaire d'intégration"))="Séminaire d'intégration"</formula>
    </cfRule>
    <cfRule type="beginsWith" dxfId="4051" priority="4692" operator="beginsWith" text="Accueil">
      <formula>LEFT(BE165,LEN("Accueil"))="Accueil"</formula>
    </cfRule>
    <cfRule type="beginsWith" dxfId="4050" priority="4693" operator="beginsWith" text="TOPHYC">
      <formula>LEFT(BE165,LEN("TOPHYC"))="TOPHYC"</formula>
    </cfRule>
    <cfRule type="beginsWith" dxfId="4049" priority="4694" operator="beginsWith" text="Global Exam">
      <formula>LEFT(BE165,LEN("Global Exam"))="Global Exam"</formula>
    </cfRule>
    <cfRule type="beginsWith" dxfId="4048" priority="4695" operator="beginsWith" text="Stage">
      <formula>LEFT(BE165,LEN("Stage"))="Stage"</formula>
    </cfRule>
    <cfRule type="beginsWith" dxfId="4047" priority="4696" operator="beginsWith" text="Entreprise">
      <formula>LEFT(BE165,LEN("Entreprise"))="Entreprise"</formula>
    </cfRule>
    <cfRule type="beginsWith" dxfId="4046" priority="4697" operator="beginsWith" text="TOMIC">
      <formula>LEFT(BE165,LEN("TOMIC"))="TOMIC"</formula>
    </cfRule>
    <cfRule type="beginsWith" dxfId="4045" priority="4698" operator="beginsWith" text="Voltaire">
      <formula>LEFT(BE165,LEN("Voltaire"))="Voltaire"</formula>
    </cfRule>
  </conditionalFormatting>
  <conditionalFormatting sqref="BE169">
    <cfRule type="beginsWith" dxfId="4044" priority="4709" operator="beginsWith" text="Lancement Projet fil rouge">
      <formula>LEFT(BE169,LEN("Lancement Projet fil rouge"))="Lancement Projet fil rouge"</formula>
    </cfRule>
    <cfRule type="beginsWith" dxfId="4043" priority="4710" operator="beginsWith" text="Vacances">
      <formula>LEFT(BE169,LEN("Vacances"))="Vacances"</formula>
    </cfRule>
    <cfRule type="beginsWith" dxfId="4042" priority="4711" operator="beginsWith" text="Séminaire d'intégration">
      <formula>LEFT(BE169,LEN("Séminaire d'intégration"))="Séminaire d'intégration"</formula>
    </cfRule>
    <cfRule type="beginsWith" dxfId="4041" priority="4712" operator="beginsWith" text="Accueil">
      <formula>LEFT(BE169,LEN("Accueil"))="Accueil"</formula>
    </cfRule>
    <cfRule type="beginsWith" dxfId="4040" priority="4713" operator="beginsWith" text="TOPHYC">
      <formula>LEFT(BE169,LEN("TOPHYC"))="TOPHYC"</formula>
    </cfRule>
    <cfRule type="beginsWith" dxfId="4039" priority="4714" operator="beginsWith" text="Global Exam">
      <formula>LEFT(BE169,LEN("Global Exam"))="Global Exam"</formula>
    </cfRule>
    <cfRule type="beginsWith" dxfId="4038" priority="4715" operator="beginsWith" text="Stage">
      <formula>LEFT(BE169,LEN("Stage"))="Stage"</formula>
    </cfRule>
    <cfRule type="beginsWith" dxfId="4037" priority="4716" operator="beginsWith" text="Entreprise">
      <formula>LEFT(BE169,LEN("Entreprise"))="Entreprise"</formula>
    </cfRule>
    <cfRule type="beginsWith" dxfId="4036" priority="4717" operator="beginsWith" text="TOMIC">
      <formula>LEFT(BE169,LEN("TOMIC"))="TOMIC"</formula>
    </cfRule>
    <cfRule type="beginsWith" dxfId="4035" priority="4718" operator="beginsWith" text="Voltaire">
      <formula>LEFT(BE169,LEN("Voltaire"))="Voltaire"</formula>
    </cfRule>
  </conditionalFormatting>
  <conditionalFormatting sqref="BE180">
    <cfRule type="beginsWith" dxfId="4034" priority="4845" operator="beginsWith" text="Lancement Projet fil rouge">
      <formula>LEFT(BE180,LEN("Lancement Projet fil rouge"))="Lancement Projet fil rouge"</formula>
    </cfRule>
    <cfRule type="beginsWith" dxfId="4033" priority="4846" operator="beginsWith" text="Vacances">
      <formula>LEFT(BE180,LEN("Vacances"))="Vacances"</formula>
    </cfRule>
    <cfRule type="beginsWith" dxfId="4032" priority="4847" operator="beginsWith" text="Séminaire d'intégration">
      <formula>LEFT(BE180,LEN("Séminaire d'intégration"))="Séminaire d'intégration"</formula>
    </cfRule>
    <cfRule type="beginsWith" dxfId="4031" priority="4848" operator="beginsWith" text="Accueil">
      <formula>LEFT(BE180,LEN("Accueil"))="Accueil"</formula>
    </cfRule>
    <cfRule type="beginsWith" dxfId="4030" priority="4849" operator="beginsWith" text="TOPHYC">
      <formula>LEFT(BE180,LEN("TOPHYC"))="TOPHYC"</formula>
    </cfRule>
    <cfRule type="beginsWith" dxfId="4029" priority="4850" operator="beginsWith" text="Global Exam">
      <formula>LEFT(BE180,LEN("Global Exam"))="Global Exam"</formula>
    </cfRule>
    <cfRule type="beginsWith" dxfId="4028" priority="4851" operator="beginsWith" text="Stage">
      <formula>LEFT(BE180,LEN("Stage"))="Stage"</formula>
    </cfRule>
    <cfRule type="beginsWith" dxfId="4027" priority="4852" operator="beginsWith" text="Entreprise">
      <formula>LEFT(BE180,LEN("Entreprise"))="Entreprise"</formula>
    </cfRule>
    <cfRule type="beginsWith" dxfId="4026" priority="4853" operator="beginsWith" text="TOMIC">
      <formula>LEFT(BE180,LEN("TOMIC"))="TOMIC"</formula>
    </cfRule>
    <cfRule type="beginsWith" dxfId="4025" priority="4854" operator="beginsWith" text="Voltaire">
      <formula>LEFT(BE180,LEN("Voltaire"))="Voltaire"</formula>
    </cfRule>
  </conditionalFormatting>
  <conditionalFormatting sqref="BE188">
    <cfRule type="beginsWith" dxfId="4024" priority="5016" operator="beginsWith" text="Lancement Projet fil rouge">
      <formula>LEFT(BE188,LEN("Lancement Projet fil rouge"))="Lancement Projet fil rouge"</formula>
    </cfRule>
    <cfRule type="beginsWith" dxfId="4023" priority="5017" operator="beginsWith" text="Vacances">
      <formula>LEFT(BE188,LEN("Vacances"))="Vacances"</formula>
    </cfRule>
    <cfRule type="beginsWith" dxfId="4022" priority="5018" operator="beginsWith" text="Séminaire d'intégration">
      <formula>LEFT(BE188,LEN("Séminaire d'intégration"))="Séminaire d'intégration"</formula>
    </cfRule>
    <cfRule type="beginsWith" dxfId="4021" priority="5019" operator="beginsWith" text="Accueil">
      <formula>LEFT(BE188,LEN("Accueil"))="Accueil"</formula>
    </cfRule>
    <cfRule type="beginsWith" dxfId="4020" priority="5020" operator="beginsWith" text="TOPHYC">
      <formula>LEFT(BE188,LEN("TOPHYC"))="TOPHYC"</formula>
    </cfRule>
    <cfRule type="beginsWith" dxfId="4019" priority="5021" operator="beginsWith" text="Global Exam">
      <formula>LEFT(BE188,LEN("Global Exam"))="Global Exam"</formula>
    </cfRule>
    <cfRule type="beginsWith" dxfId="4018" priority="5022" operator="beginsWith" text="Stage">
      <formula>LEFT(BE188,LEN("Stage"))="Stage"</formula>
    </cfRule>
    <cfRule type="beginsWith" dxfId="4017" priority="5023" operator="beginsWith" text="Entreprise">
      <formula>LEFT(BE188,LEN("Entreprise"))="Entreprise"</formula>
    </cfRule>
    <cfRule type="beginsWith" dxfId="4016" priority="5024" operator="beginsWith" text="TOMIC">
      <formula>LEFT(BE188,LEN("TOMIC"))="TOMIC"</formula>
    </cfRule>
    <cfRule type="beginsWith" dxfId="4015" priority="5025" operator="beginsWith" text="Voltaire">
      <formula>LEFT(BE188,LEN("Voltaire"))="Voltaire"</formula>
    </cfRule>
  </conditionalFormatting>
  <conditionalFormatting sqref="BE191:BE193 BC195:BD195 BF194:BF195">
    <cfRule type="beginsWith" dxfId="4014" priority="5053" operator="beginsWith" text="Lancement Projet fil rouge">
      <formula>LEFT(BC191,LEN("Lancement Projet fil rouge"))="Lancement Projet fil rouge"</formula>
    </cfRule>
    <cfRule type="beginsWith" dxfId="4013" priority="5054" operator="beginsWith" text="Vacances">
      <formula>LEFT(BC191,LEN("Vacances"))="Vacances"</formula>
    </cfRule>
    <cfRule type="beginsWith" dxfId="4012" priority="5055" operator="beginsWith" text="Séminaire d'intégration">
      <formula>LEFT(BC191,LEN("Séminaire d'intégration"))="Séminaire d'intégration"</formula>
    </cfRule>
    <cfRule type="beginsWith" dxfId="4011" priority="5056" operator="beginsWith" text="Accueil">
      <formula>LEFT(BC191,LEN("Accueil"))="Accueil"</formula>
    </cfRule>
    <cfRule type="beginsWith" dxfId="4010" priority="5059" operator="beginsWith" text="Stage">
      <formula>LEFT(BC191,LEN("Stage"))="Stage"</formula>
    </cfRule>
    <cfRule type="beginsWith" dxfId="4009" priority="5060" operator="beginsWith" text="Entreprise">
      <formula>LEFT(BC191,LEN("Entreprise"))="Entreprise"</formula>
    </cfRule>
    <cfRule type="beginsWith" dxfId="4008" priority="5062" operator="beginsWith" text="Voltaire">
      <formula>LEFT(BC191,LEN("Voltaire"))="Voltaire"</formula>
    </cfRule>
  </conditionalFormatting>
  <conditionalFormatting sqref="BE191:BE193 BF194:BF195">
    <cfRule type="beginsWith" dxfId="4007" priority="5057" operator="beginsWith" text="TOPHYC">
      <formula>LEFT(BE191,LEN("TOPHYC"))="TOPHYC"</formula>
    </cfRule>
    <cfRule type="beginsWith" dxfId="4006" priority="5058" operator="beginsWith" text="Global Exam">
      <formula>LEFT(BE191,LEN("Global Exam"))="Global Exam"</formula>
    </cfRule>
    <cfRule type="beginsWith" dxfId="4005" priority="5061" operator="beginsWith" text="TOMIC">
      <formula>LEFT(BE191,LEN("TOMIC"))="TOMIC"</formula>
    </cfRule>
  </conditionalFormatting>
  <conditionalFormatting sqref="BE194">
    <cfRule type="beginsWith" dxfId="4004" priority="4958" operator="beginsWith" text="Lancement Projet fil rouge">
      <formula>LEFT(BE194,LEN("Lancement Projet fil rouge"))="Lancement Projet fil rouge"</formula>
    </cfRule>
    <cfRule type="beginsWith" dxfId="4003" priority="4959" operator="beginsWith" text="Vacances">
      <formula>LEFT(BE194,LEN("Vacances"))="Vacances"</formula>
    </cfRule>
    <cfRule type="beginsWith" dxfId="4002" priority="4960" operator="beginsWith" text="Séminaire d'intégration">
      <formula>LEFT(BE194,LEN("Séminaire d'intégration"))="Séminaire d'intégration"</formula>
    </cfRule>
    <cfRule type="beginsWith" dxfId="4001" priority="4961" operator="beginsWith" text="Accueil">
      <formula>LEFT(BE194,LEN("Accueil"))="Accueil"</formula>
    </cfRule>
    <cfRule type="beginsWith" dxfId="4000" priority="4962" operator="beginsWith" text="TOPHYC">
      <formula>LEFT(BE194,LEN("TOPHYC"))="TOPHYC"</formula>
    </cfRule>
    <cfRule type="beginsWith" dxfId="3999" priority="4963" operator="beginsWith" text="Global Exam">
      <formula>LEFT(BE194,LEN("Global Exam"))="Global Exam"</formula>
    </cfRule>
    <cfRule type="beginsWith" dxfId="3998" priority="4964" operator="beginsWith" text="Stage">
      <formula>LEFT(BE194,LEN("Stage"))="Stage"</formula>
    </cfRule>
    <cfRule type="beginsWith" dxfId="3997" priority="4965" operator="beginsWith" text="Entreprise">
      <formula>LEFT(BE194,LEN("Entreprise"))="Entreprise"</formula>
    </cfRule>
    <cfRule type="beginsWith" dxfId="3996" priority="4966" operator="beginsWith" text="TOMIC">
      <formula>LEFT(BE194,LEN("TOMIC"))="TOMIC"</formula>
    </cfRule>
    <cfRule type="beginsWith" dxfId="3995" priority="4967" operator="beginsWith" text="Voltaire">
      <formula>LEFT(BE194,LEN("Voltaire"))="Voltaire"</formula>
    </cfRule>
  </conditionalFormatting>
  <conditionalFormatting sqref="BE195">
    <cfRule type="beginsWith" dxfId="3994" priority="5026" operator="beginsWith" text="Lancement Projet fil rouge">
      <formula>LEFT(BE195,LEN("Lancement Projet fil rouge"))="Lancement Projet fil rouge"</formula>
    </cfRule>
    <cfRule type="beginsWith" dxfId="3993" priority="5027" operator="beginsWith" text="Vacances">
      <formula>LEFT(BE195,LEN("Vacances"))="Vacances"</formula>
    </cfRule>
    <cfRule type="beginsWith" dxfId="3992" priority="5028" operator="beginsWith" text="Séminaire d'intégration">
      <formula>LEFT(BE195,LEN("Séminaire d'intégration"))="Séminaire d'intégration"</formula>
    </cfRule>
    <cfRule type="beginsWith" dxfId="3991" priority="5029" operator="beginsWith" text="Accueil">
      <formula>LEFT(BE195,LEN("Accueil"))="Accueil"</formula>
    </cfRule>
    <cfRule type="beginsWith" dxfId="3990" priority="5030" operator="beginsWith" text="TOPHYC">
      <formula>LEFT(BE195,LEN("TOPHYC"))="TOPHYC"</formula>
    </cfRule>
    <cfRule type="beginsWith" dxfId="3989" priority="5031" operator="beginsWith" text="Global Exam">
      <formula>LEFT(BE195,LEN("Global Exam"))="Global Exam"</formula>
    </cfRule>
    <cfRule type="beginsWith" dxfId="3988" priority="5032" operator="beginsWith" text="Stage">
      <formula>LEFT(BE195,LEN("Stage"))="Stage"</formula>
    </cfRule>
    <cfRule type="beginsWith" dxfId="3987" priority="5033" operator="beginsWith" text="Entreprise">
      <formula>LEFT(BE195,LEN("Entreprise"))="Entreprise"</formula>
    </cfRule>
    <cfRule type="beginsWith" dxfId="3986" priority="5034" operator="beginsWith" text="TOMIC">
      <formula>LEFT(BE195,LEN("TOMIC"))="TOMIC"</formula>
    </cfRule>
    <cfRule type="beginsWith" dxfId="3985" priority="5035" operator="beginsWith" text="Voltaire">
      <formula>LEFT(BE195,LEN("Voltaire"))="Voltaire"</formula>
    </cfRule>
  </conditionalFormatting>
  <conditionalFormatting sqref="BE1:BF2 BE5:BF5 BE190:BF190 BE186:BE187 BE166:BF168 BE385:BF1048576 BE16:BF20 BE31:BF35 BE170:BF173 BF169 BE196:BE200 BE207:BE210 BE131:BF135 BE141:BF148 BF180 BE201:BF206 BE211:BF218 BF231:BF240 BE150:BF150 BF149 BE175:BF179 BF174 BE156:BF160 BE116:BF118 BF124:BF125 BE26:BE30 BE120:BF123 BF119 BE220:BF220 BF219">
    <cfRule type="beginsWith" dxfId="3984" priority="5087" operator="beginsWith" text="TOPHYC">
      <formula>LEFT(BE1,LEN("TOPHYC"))="TOPHYC"</formula>
    </cfRule>
    <cfRule type="beginsWith" dxfId="3983" priority="5088" operator="beginsWith" text="Global Exam">
      <formula>LEFT(BE1,LEN("Global Exam"))="Global Exam"</formula>
    </cfRule>
    <cfRule type="beginsWith" dxfId="3982" priority="5091" operator="beginsWith" text="TOMIC">
      <formula>LEFT(BE1,LEN("TOMIC"))="TOMIC"</formula>
    </cfRule>
  </conditionalFormatting>
  <conditionalFormatting sqref="BE6:BF10">
    <cfRule type="beginsWith" dxfId="3981" priority="4945" operator="beginsWith" text="TOPHYC">
      <formula>LEFT(BE6,LEN("TOPHYC"))="TOPHYC"</formula>
    </cfRule>
    <cfRule type="beginsWith" dxfId="3980" priority="4946" operator="beginsWith" text="Global Exam">
      <formula>LEFT(BE6,LEN("Global Exam"))="Global Exam"</formula>
    </cfRule>
    <cfRule type="beginsWith" dxfId="3979" priority="4949" operator="beginsWith" text="TOMIC">
      <formula>LEFT(BE6,LEN("TOMIC"))="TOMIC"</formula>
    </cfRule>
  </conditionalFormatting>
  <conditionalFormatting sqref="BE11:BF15">
    <cfRule type="beginsWith" dxfId="3978" priority="5077" operator="beginsWith" text="TOPHYC">
      <formula>LEFT(BE11,LEN("TOPHYC"))="TOPHYC"</formula>
    </cfRule>
    <cfRule type="beginsWith" dxfId="3977" priority="5078" operator="beginsWith" text="Global Exam">
      <formula>LEFT(BE11,LEN("Global Exam"))="Global Exam"</formula>
    </cfRule>
    <cfRule type="beginsWith" dxfId="3976" priority="5081" operator="beginsWith" text="TOMIC">
      <formula>LEFT(BE11,LEN("TOMIC"))="TOMIC"</formula>
    </cfRule>
  </conditionalFormatting>
  <conditionalFormatting sqref="BE21:BF25">
    <cfRule type="beginsWith" dxfId="3975" priority="4979" operator="beginsWith" text="TOPHYC">
      <formula>LEFT(BE21,LEN("TOPHYC"))="TOPHYC"</formula>
    </cfRule>
    <cfRule type="beginsWith" dxfId="3974" priority="4980" operator="beginsWith" text="Global Exam">
      <formula>LEFT(BE21,LEN("Global Exam"))="Global Exam"</formula>
    </cfRule>
    <cfRule type="beginsWith" dxfId="3973" priority="4983" operator="beginsWith" text="TOMIC">
      <formula>LEFT(BE21,LEN("TOMIC"))="TOMIC"</formula>
    </cfRule>
  </conditionalFormatting>
  <conditionalFormatting sqref="BE36:BF50 BE51:BE55">
    <cfRule type="beginsWith" dxfId="3972" priority="4648" operator="beginsWith" text="TOPHYC">
      <formula>LEFT(BE36,LEN("TOPHYC"))="TOPHYC"</formula>
    </cfRule>
    <cfRule type="beginsWith" dxfId="3971" priority="4649" operator="beginsWith" text="Global Exam">
      <formula>LEFT(BE36,LEN("Global Exam"))="Global Exam"</formula>
    </cfRule>
    <cfRule type="beginsWith" dxfId="3970" priority="4652" operator="beginsWith" text="TOMIC">
      <formula>LEFT(BE36,LEN("TOMIC"))="TOMIC"</formula>
    </cfRule>
  </conditionalFormatting>
  <conditionalFormatting sqref="BE56:BF60">
    <cfRule type="beginsWith" dxfId="3969" priority="4628" operator="beginsWith" text="TOPHYC">
      <formula>LEFT(BE56,LEN("TOPHYC"))="TOPHYC"</formula>
    </cfRule>
    <cfRule type="beginsWith" dxfId="3968" priority="4629" operator="beginsWith" text="Global Exam">
      <formula>LEFT(BE56,LEN("Global Exam"))="Global Exam"</formula>
    </cfRule>
    <cfRule type="beginsWith" dxfId="3967" priority="4632" operator="beginsWith" text="TOMIC">
      <formula>LEFT(BE56,LEN("TOMIC"))="TOMIC"</formula>
    </cfRule>
  </conditionalFormatting>
  <conditionalFormatting sqref="BE76:BF83 BF71:BF75 BE85:BF88 BF84 BE90:BF95 BF89">
    <cfRule type="beginsWith" dxfId="3966" priority="4577" operator="beginsWith" text="TOPHYC">
      <formula>LEFT(BE71,LEN("TOPHYC"))="TOPHYC"</formula>
    </cfRule>
    <cfRule type="beginsWith" dxfId="3965" priority="4578" operator="beginsWith" text="Global Exam">
      <formula>LEFT(BE71,LEN("Global Exam"))="Global Exam"</formula>
    </cfRule>
    <cfRule type="beginsWith" dxfId="3964" priority="4581" operator="beginsWith" text="TOMIC">
      <formula>LEFT(BE71,LEN("TOMIC"))="TOMIC"</formula>
    </cfRule>
  </conditionalFormatting>
  <conditionalFormatting sqref="BE96:BF113 BE115:BF115 BF114">
    <cfRule type="beginsWith" dxfId="3963" priority="4560" operator="beginsWith" text="TOPHYC">
      <formula>LEFT(BE96,LEN("TOPHYC"))="TOPHYC"</formula>
    </cfRule>
    <cfRule type="beginsWith" dxfId="3962" priority="4561" operator="beginsWith" text="Global Exam">
      <formula>LEFT(BE96,LEN("Global Exam"))="Global Exam"</formula>
    </cfRule>
    <cfRule type="beginsWith" dxfId="3961" priority="4564" operator="beginsWith" text="TOMIC">
      <formula>LEFT(BE96,LEN("TOMIC"))="TOMIC"</formula>
    </cfRule>
  </conditionalFormatting>
  <conditionalFormatting sqref="BE126:BF130">
    <cfRule type="beginsWith" dxfId="3960" priority="4526" operator="beginsWith" text="TOPHYC">
      <formula>LEFT(BE126,LEN("TOPHYC"))="TOPHYC"</formula>
    </cfRule>
    <cfRule type="beginsWith" dxfId="3959" priority="4527" operator="beginsWith" text="Global Exam">
      <formula>LEFT(BE126,LEN("Global Exam"))="Global Exam"</formula>
    </cfRule>
    <cfRule type="beginsWith" dxfId="3958" priority="4530" operator="beginsWith" text="TOMIC">
      <formula>LEFT(BE126,LEN("TOMIC"))="TOMIC"</formula>
    </cfRule>
  </conditionalFormatting>
  <conditionalFormatting sqref="BE151:BF153 BE155:BF155 BF154">
    <cfRule type="beginsWith" dxfId="3957" priority="4883" operator="beginsWith" text="TOPHYC">
      <formula>LEFT(BE151,LEN("TOPHYC"))="TOPHYC"</formula>
    </cfRule>
    <cfRule type="beginsWith" dxfId="3956" priority="4884" operator="beginsWith" text="Global Exam">
      <formula>LEFT(BE151,LEN("Global Exam"))="Global Exam"</formula>
    </cfRule>
    <cfRule type="beginsWith" dxfId="3955" priority="4887" operator="beginsWith" text="TOMIC">
      <formula>LEFT(BE151,LEN("TOMIC"))="TOMIC"</formula>
    </cfRule>
  </conditionalFormatting>
  <conditionalFormatting sqref="BE161:BF164 BF165">
    <cfRule type="beginsWith" dxfId="3954" priority="4985" operator="beginsWith" text="Lancement Projet fil rouge">
      <formula>LEFT(BE161,LEN("Lancement Projet fil rouge"))="Lancement Projet fil rouge"</formula>
    </cfRule>
    <cfRule type="beginsWith" dxfId="3953" priority="4986" operator="beginsWith" text="Vacances">
      <formula>LEFT(BE161,LEN("Vacances"))="Vacances"</formula>
    </cfRule>
    <cfRule type="beginsWith" dxfId="3952" priority="4987" operator="beginsWith" text="Séminaire d'intégration">
      <formula>LEFT(BE161,LEN("Séminaire d'intégration"))="Séminaire d'intégration"</formula>
    </cfRule>
    <cfRule type="beginsWith" dxfId="3951" priority="4988" operator="beginsWith" text="Accueil">
      <formula>LEFT(BE161,LEN("Accueil"))="Accueil"</formula>
    </cfRule>
    <cfRule type="beginsWith" dxfId="3950" priority="4989" operator="beginsWith" text="TOPHYC">
      <formula>LEFT(BE161,LEN("TOPHYC"))="TOPHYC"</formula>
    </cfRule>
    <cfRule type="beginsWith" dxfId="3949" priority="4990" operator="beginsWith" text="Global Exam">
      <formula>LEFT(BE161,LEN("Global Exam"))="Global Exam"</formula>
    </cfRule>
    <cfRule type="beginsWith" dxfId="3948" priority="4991" operator="beginsWith" text="Stage">
      <formula>LEFT(BE161,LEN("Stage"))="Stage"</formula>
    </cfRule>
    <cfRule type="beginsWith" dxfId="3947" priority="4992" operator="beginsWith" text="Entreprise">
      <formula>LEFT(BE161,LEN("Entreprise"))="Entreprise"</formula>
    </cfRule>
    <cfRule type="beginsWith" dxfId="3946" priority="4993" operator="beginsWith" text="TOMIC">
      <formula>LEFT(BE161,LEN("TOMIC"))="TOMIC"</formula>
    </cfRule>
    <cfRule type="beginsWith" dxfId="3945" priority="4994" operator="beginsWith" text="Voltaire">
      <formula>LEFT(BE161,LEN("Voltaire"))="Voltaire"</formula>
    </cfRule>
  </conditionalFormatting>
  <conditionalFormatting sqref="BE181:BF185">
    <cfRule type="beginsWith" dxfId="3944" priority="5067" operator="beginsWith" text="TOPHYC">
      <formula>LEFT(BE181,LEN("TOPHYC"))="TOPHYC"</formula>
    </cfRule>
    <cfRule type="beginsWith" dxfId="3943" priority="5068" operator="beginsWith" text="Global Exam">
      <formula>LEFT(BE181,LEN("Global Exam"))="Global Exam"</formula>
    </cfRule>
    <cfRule type="beginsWith" dxfId="3942" priority="5071" operator="beginsWith" text="TOMIC">
      <formula>LEFT(BE181,LEN("TOMIC"))="TOMIC"</formula>
    </cfRule>
  </conditionalFormatting>
  <conditionalFormatting sqref="BE221:BF223 BF224:BF225">
    <cfRule type="beginsWith" dxfId="3941" priority="4767" operator="beginsWith" text="TOPHYC">
      <formula>LEFT(BE221,LEN("TOPHYC"))="TOPHYC"</formula>
    </cfRule>
    <cfRule type="beginsWith" dxfId="3940" priority="4768" operator="beginsWith" text="Global Exam">
      <formula>LEFT(BE221,LEN("Global Exam"))="Global Exam"</formula>
    </cfRule>
    <cfRule type="beginsWith" dxfId="3939" priority="4771" operator="beginsWith" text="TOMIC">
      <formula>LEFT(BE221,LEN("TOMIC"))="TOMIC"</formula>
    </cfRule>
  </conditionalFormatting>
  <conditionalFormatting sqref="BF226:BF230">
    <cfRule type="beginsWith" dxfId="3938" priority="4777" operator="beginsWith" text="TOPHYC">
      <formula>LEFT(BF226,LEN("TOPHYC"))="TOPHYC"</formula>
    </cfRule>
    <cfRule type="beginsWith" dxfId="3937" priority="4778" operator="beginsWith" text="Global Exam">
      <formula>LEFT(BF226,LEN("Global Exam"))="Global Exam"</formula>
    </cfRule>
    <cfRule type="beginsWith" dxfId="3936" priority="4781" operator="beginsWith" text="TOMIC">
      <formula>LEFT(BF226,LEN("TOMIC"))="TOMIC"</formula>
    </cfRule>
  </conditionalFormatting>
  <conditionalFormatting sqref="BE241:BF369">
    <cfRule type="beginsWith" dxfId="3935" priority="5097" operator="beginsWith" text="TOPHYC">
      <formula>LEFT(BE241,LEN("TOPHYC"))="TOPHYC"</formula>
    </cfRule>
    <cfRule type="beginsWith" dxfId="3934" priority="5098" operator="beginsWith" text="Global Exam">
      <formula>LEFT(BE241,LEN("Global Exam"))="Global Exam"</formula>
    </cfRule>
    <cfRule type="beginsWith" dxfId="3933" priority="5101" operator="beginsWith" text="TOMIC">
      <formula>LEFT(BE241,LEN("TOMIC"))="TOMIC"</formula>
    </cfRule>
  </conditionalFormatting>
  <conditionalFormatting sqref="BF67:BF70">
    <cfRule type="beginsWith" dxfId="3932" priority="4590" operator="beginsWith" text="Lancement Projet fil rouge">
      <formula>LEFT(BF67,LEN("Lancement Projet fil rouge"))="Lancement Projet fil rouge"</formula>
    </cfRule>
    <cfRule type="beginsWith" dxfId="3931" priority="4591" operator="beginsWith" text="Vacances">
      <formula>LEFT(BF67,LEN("Vacances"))="Vacances"</formula>
    </cfRule>
    <cfRule type="beginsWith" dxfId="3930" priority="4592" operator="beginsWith" text="Séminaire d'intégration">
      <formula>LEFT(BF67,LEN("Séminaire d'intégration"))="Séminaire d'intégration"</formula>
    </cfRule>
    <cfRule type="beginsWith" dxfId="3929" priority="4593" operator="beginsWith" text="Accueil">
      <formula>LEFT(BF67,LEN("Accueil"))="Accueil"</formula>
    </cfRule>
    <cfRule type="beginsWith" dxfId="3928" priority="4594" operator="beginsWith" text="TOPHYC">
      <formula>LEFT(BF67,LEN("TOPHYC"))="TOPHYC"</formula>
    </cfRule>
    <cfRule type="beginsWith" dxfId="3927" priority="4595" operator="beginsWith" text="Global Exam">
      <formula>LEFT(BF67,LEN("Global Exam"))="Global Exam"</formula>
    </cfRule>
    <cfRule type="beginsWith" dxfId="3926" priority="4596" operator="beginsWith" text="Stage">
      <formula>LEFT(BF67,LEN("Stage"))="Stage"</formula>
    </cfRule>
    <cfRule type="beginsWith" dxfId="3925" priority="4597" operator="beginsWith" text="Entreprise">
      <formula>LEFT(BF67,LEN("Entreprise"))="Entreprise"</formula>
    </cfRule>
    <cfRule type="beginsWith" dxfId="3924" priority="4598" operator="beginsWith" text="TOMIC">
      <formula>LEFT(BF67,LEN("TOMIC"))="TOMIC"</formula>
    </cfRule>
    <cfRule type="beginsWith" dxfId="3923" priority="4599" operator="beginsWith" text="Voltaire">
      <formula>LEFT(BF67,LEN("Voltaire"))="Voltaire"</formula>
    </cfRule>
  </conditionalFormatting>
  <conditionalFormatting sqref="BF136:BF140">
    <cfRule type="beginsWith" dxfId="3922" priority="4669" operator="beginsWith" text="Lancement Projet fil rouge">
      <formula>LEFT(BF136,LEN("Lancement Projet fil rouge"))="Lancement Projet fil rouge"</formula>
    </cfRule>
    <cfRule type="beginsWith" dxfId="3921" priority="4670" operator="beginsWith" text="Vacances">
      <formula>LEFT(BF136,LEN("Vacances"))="Vacances"</formula>
    </cfRule>
    <cfRule type="beginsWith" dxfId="3920" priority="4671" operator="beginsWith" text="Séminaire d'intégration">
      <formula>LEFT(BF136,LEN("Séminaire d'intégration"))="Séminaire d'intégration"</formula>
    </cfRule>
    <cfRule type="beginsWith" dxfId="3919" priority="4672" operator="beginsWith" text="Accueil">
      <formula>LEFT(BF136,LEN("Accueil"))="Accueil"</formula>
    </cfRule>
    <cfRule type="beginsWith" dxfId="3918" priority="4673" operator="beginsWith" text="TOPHYC">
      <formula>LEFT(BF136,LEN("TOPHYC"))="TOPHYC"</formula>
    </cfRule>
    <cfRule type="beginsWith" dxfId="3917" priority="4674" operator="beginsWith" text="Global Exam">
      <formula>LEFT(BF136,LEN("Global Exam"))="Global Exam"</formula>
    </cfRule>
    <cfRule type="beginsWith" dxfId="3916" priority="4675" operator="beginsWith" text="Stage">
      <formula>LEFT(BF136,LEN("Stage"))="Stage"</formula>
    </cfRule>
    <cfRule type="beginsWith" dxfId="3915" priority="4676" operator="beginsWith" text="Entreprise">
      <formula>LEFT(BF136,LEN("Entreprise"))="Entreprise"</formula>
    </cfRule>
    <cfRule type="beginsWith" dxfId="3914" priority="4677" operator="beginsWith" text="TOMIC">
      <formula>LEFT(BF136,LEN("TOMIC"))="TOMIC"</formula>
    </cfRule>
    <cfRule type="beginsWith" dxfId="3913" priority="4678" operator="beginsWith" text="Voltaire">
      <formula>LEFT(BF136,LEN("Voltaire"))="Voltaire"</formula>
    </cfRule>
  </conditionalFormatting>
  <conditionalFormatting sqref="BF186">
    <cfRule type="beginsWith" dxfId="3912" priority="4855" operator="beginsWith" text="Lancement Projet fil rouge">
      <formula>LEFT(BF186,LEN("Lancement Projet fil rouge"))="Lancement Projet fil rouge"</formula>
    </cfRule>
    <cfRule type="beginsWith" dxfId="3911" priority="4856" operator="beginsWith" text="Vacances">
      <formula>LEFT(BF186,LEN("Vacances"))="Vacances"</formula>
    </cfRule>
    <cfRule type="beginsWith" dxfId="3910" priority="4857" operator="beginsWith" text="Séminaire d'intégration">
      <formula>LEFT(BF186,LEN("Séminaire d'intégration"))="Séminaire d'intégration"</formula>
    </cfRule>
    <cfRule type="beginsWith" dxfId="3909" priority="4858" operator="beginsWith" text="Accueil">
      <formula>LEFT(BF186,LEN("Accueil"))="Accueil"</formula>
    </cfRule>
    <cfRule type="beginsWith" dxfId="3908" priority="4859" operator="beginsWith" text="TOPHYC">
      <formula>LEFT(BF186,LEN("TOPHYC"))="TOPHYC"</formula>
    </cfRule>
    <cfRule type="beginsWith" dxfId="3907" priority="4860" operator="beginsWith" text="Global Exam">
      <formula>LEFT(BF186,LEN("Global Exam"))="Global Exam"</formula>
    </cfRule>
    <cfRule type="beginsWith" dxfId="3906" priority="4861" operator="beginsWith" text="Stage">
      <formula>LEFT(BF186,LEN("Stage"))="Stage"</formula>
    </cfRule>
    <cfRule type="beginsWith" dxfId="3905" priority="4862" operator="beginsWith" text="Entreprise">
      <formula>LEFT(BF186,LEN("Entreprise"))="Entreprise"</formula>
    </cfRule>
    <cfRule type="beginsWith" dxfId="3904" priority="4863" operator="beginsWith" text="TOMIC">
      <formula>LEFT(BF186,LEN("TOMIC"))="TOMIC"</formula>
    </cfRule>
    <cfRule type="beginsWith" dxfId="3903" priority="4864" operator="beginsWith" text="Voltaire">
      <formula>LEFT(BF186,LEN("Voltaire"))="Voltaire"</formula>
    </cfRule>
  </conditionalFormatting>
  <conditionalFormatting sqref="BF191:BF193">
    <cfRule type="beginsWith" dxfId="3902" priority="5036" operator="beginsWith" text="Lancement Projet fil rouge">
      <formula>LEFT(BF191,LEN("Lancement Projet fil rouge"))="Lancement Projet fil rouge"</formula>
    </cfRule>
    <cfRule type="beginsWith" dxfId="3901" priority="5037" operator="beginsWith" text="Vacances">
      <formula>LEFT(BF191,LEN("Vacances"))="Vacances"</formula>
    </cfRule>
    <cfRule type="beginsWith" dxfId="3900" priority="5038" operator="beginsWith" text="Séminaire d'intégration">
      <formula>LEFT(BF191,LEN("Séminaire d'intégration"))="Séminaire d'intégration"</formula>
    </cfRule>
    <cfRule type="beginsWith" dxfId="3899" priority="5039" operator="beginsWith" text="Accueil">
      <formula>LEFT(BF191,LEN("Accueil"))="Accueil"</formula>
    </cfRule>
    <cfRule type="beginsWith" dxfId="3898" priority="5040" operator="beginsWith" text="TOPHYC">
      <formula>LEFT(BF191,LEN("TOPHYC"))="TOPHYC"</formula>
    </cfRule>
    <cfRule type="beginsWith" dxfId="3897" priority="5041" operator="beginsWith" text="Global Exam">
      <formula>LEFT(BF191,LEN("Global Exam"))="Global Exam"</formula>
    </cfRule>
    <cfRule type="beginsWith" dxfId="3896" priority="5042" operator="beginsWith" text="Stage">
      <formula>LEFT(BF191,LEN("Stage"))="Stage"</formula>
    </cfRule>
    <cfRule type="beginsWith" dxfId="3895" priority="5043" operator="beginsWith" text="Entreprise">
      <formula>LEFT(BF191,LEN("Entreprise"))="Entreprise"</formula>
    </cfRule>
    <cfRule type="beginsWith" dxfId="3894" priority="5044" operator="beginsWith" text="TOMIC">
      <formula>LEFT(BF191,LEN("TOMIC"))="TOMIC"</formula>
    </cfRule>
    <cfRule type="beginsWith" dxfId="3893" priority="5045" operator="beginsWith" text="Voltaire">
      <formula>LEFT(BF191,LEN("Voltaire"))="Voltaire"</formula>
    </cfRule>
  </conditionalFormatting>
  <conditionalFormatting sqref="BF196">
    <cfRule type="beginsWith" dxfId="3892" priority="4679" operator="beginsWith" text="Lancement Projet fil rouge">
      <formula>LEFT(BF196,LEN("Lancement Projet fil rouge"))="Lancement Projet fil rouge"</formula>
    </cfRule>
    <cfRule type="beginsWith" dxfId="3891" priority="4680" operator="beginsWith" text="Vacances">
      <formula>LEFT(BF196,LEN("Vacances"))="Vacances"</formula>
    </cfRule>
    <cfRule type="beginsWith" dxfId="3890" priority="4681" operator="beginsWith" text="Séminaire d'intégration">
      <formula>LEFT(BF196,LEN("Séminaire d'intégration"))="Séminaire d'intégration"</formula>
    </cfRule>
    <cfRule type="beginsWith" dxfId="3889" priority="4682" operator="beginsWith" text="Accueil">
      <formula>LEFT(BF196,LEN("Accueil"))="Accueil"</formula>
    </cfRule>
    <cfRule type="beginsWith" dxfId="3888" priority="4683" operator="beginsWith" text="TOPHYC">
      <formula>LEFT(BF196,LEN("TOPHYC"))="TOPHYC"</formula>
    </cfRule>
    <cfRule type="beginsWith" dxfId="3887" priority="4684" operator="beginsWith" text="Global Exam">
      <formula>LEFT(BF196,LEN("Global Exam"))="Global Exam"</formula>
    </cfRule>
    <cfRule type="beginsWith" dxfId="3886" priority="4685" operator="beginsWith" text="Stage">
      <formula>LEFT(BF196,LEN("Stage"))="Stage"</formula>
    </cfRule>
    <cfRule type="beginsWith" dxfId="3885" priority="4686" operator="beginsWith" text="Entreprise">
      <formula>LEFT(BF196,LEN("Entreprise"))="Entreprise"</formula>
    </cfRule>
    <cfRule type="beginsWith" dxfId="3884" priority="4687" operator="beginsWith" text="TOMIC">
      <formula>LEFT(BF196,LEN("TOMIC"))="TOMIC"</formula>
    </cfRule>
    <cfRule type="beginsWith" dxfId="3883" priority="4688" operator="beginsWith" text="Voltaire">
      <formula>LEFT(BF196,LEN("Voltaire"))="Voltaire"</formula>
    </cfRule>
  </conditionalFormatting>
  <conditionalFormatting sqref="BF207">
    <cfRule type="beginsWith" dxfId="3882" priority="4828" operator="beginsWith" text="Lancement Projet fil rouge">
      <formula>LEFT(BF207,LEN("Lancement Projet fil rouge"))="Lancement Projet fil rouge"</formula>
    </cfRule>
    <cfRule type="beginsWith" dxfId="3881" priority="4829" operator="beginsWith" text="Vacances">
      <formula>LEFT(BF207,LEN("Vacances"))="Vacances"</formula>
    </cfRule>
    <cfRule type="beginsWith" dxfId="3880" priority="4830" operator="beginsWith" text="Séminaire d'intégration">
      <formula>LEFT(BF207,LEN("Séminaire d'intégration"))="Séminaire d'intégration"</formula>
    </cfRule>
    <cfRule type="beginsWith" dxfId="3879" priority="4831" operator="beginsWith" text="Accueil">
      <formula>LEFT(BF207,LEN("Accueil"))="Accueil"</formula>
    </cfRule>
    <cfRule type="beginsWith" dxfId="3878" priority="4832" operator="beginsWith" text="TOPHYC">
      <formula>LEFT(BF207,LEN("TOPHYC"))="TOPHYC"</formula>
    </cfRule>
    <cfRule type="beginsWith" dxfId="3877" priority="4833" operator="beginsWith" text="Global Exam">
      <formula>LEFT(BF207,LEN("Global Exam"))="Global Exam"</formula>
    </cfRule>
    <cfRule type="beginsWith" dxfId="3876" priority="4834" operator="beginsWith" text="Stage">
      <formula>LEFT(BF207,LEN("Stage"))="Stage"</formula>
    </cfRule>
    <cfRule type="beginsWith" dxfId="3875" priority="4835" operator="beginsWith" text="Entreprise">
      <formula>LEFT(BF207,LEN("Entreprise"))="Entreprise"</formula>
    </cfRule>
    <cfRule type="beginsWith" dxfId="3874" priority="4836" operator="beginsWith" text="TOMIC">
      <formula>LEFT(BF207,LEN("TOMIC"))="TOMIC"</formula>
    </cfRule>
    <cfRule type="beginsWith" dxfId="3873" priority="4837" operator="beginsWith" text="Voltaire">
      <formula>LEFT(BF207,LEN("Voltaire"))="Voltaire"</formula>
    </cfRule>
  </conditionalFormatting>
  <conditionalFormatting sqref="BF208:BF210">
    <cfRule type="beginsWith" dxfId="3872" priority="4818" operator="beginsWith" text="Lancement Projet fil rouge">
      <formula>LEFT(BF208,LEN("Lancement Projet fil rouge"))="Lancement Projet fil rouge"</formula>
    </cfRule>
    <cfRule type="beginsWith" dxfId="3871" priority="4819" operator="beginsWith" text="Vacances">
      <formula>LEFT(BF208,LEN("Vacances"))="Vacances"</formula>
    </cfRule>
    <cfRule type="beginsWith" dxfId="3870" priority="4820" operator="beginsWith" text="Séminaire d'intégration">
      <formula>LEFT(BF208,LEN("Séminaire d'intégration"))="Séminaire d'intégration"</formula>
    </cfRule>
    <cfRule type="beginsWith" dxfId="3869" priority="4821" operator="beginsWith" text="Accueil">
      <formula>LEFT(BF208,LEN("Accueil"))="Accueil"</formula>
    </cfRule>
    <cfRule type="beginsWith" dxfId="3868" priority="4822" operator="beginsWith" text="TOPHYC">
      <formula>LEFT(BF208,LEN("TOPHYC"))="TOPHYC"</formula>
    </cfRule>
    <cfRule type="beginsWith" dxfId="3867" priority="4823" operator="beginsWith" text="Global Exam">
      <formula>LEFT(BF208,LEN("Global Exam"))="Global Exam"</formula>
    </cfRule>
    <cfRule type="beginsWith" dxfId="3866" priority="4824" operator="beginsWith" text="Stage">
      <formula>LEFT(BF208,LEN("Stage"))="Stage"</formula>
    </cfRule>
    <cfRule type="beginsWith" dxfId="3865" priority="4825" operator="beginsWith" text="Entreprise">
      <formula>LEFT(BF208,LEN("Entreprise"))="Entreprise"</formula>
    </cfRule>
    <cfRule type="beginsWith" dxfId="3864" priority="4826" operator="beginsWith" text="TOMIC">
      <formula>LEFT(BF208,LEN("TOMIC"))="TOMIC"</formula>
    </cfRule>
    <cfRule type="beginsWith" dxfId="3863" priority="4827" operator="beginsWith" text="Voltaire">
      <formula>LEFT(BF208,LEN("Voltaire"))="Voltaire"</formula>
    </cfRule>
  </conditionalFormatting>
  <conditionalFormatting sqref="BF26:BF30">
    <cfRule type="beginsWith" dxfId="3862" priority="4498" operator="beginsWith" text="Lancement Projet fil rouge">
      <formula>LEFT(BF26,LEN("Lancement Projet fil rouge"))="Lancement Projet fil rouge"</formula>
    </cfRule>
    <cfRule type="beginsWith" dxfId="3861" priority="4499" operator="beginsWith" text="Vacances">
      <formula>LEFT(BF26,LEN("Vacances"))="Vacances"</formula>
    </cfRule>
    <cfRule type="beginsWith" dxfId="3860" priority="4500" operator="beginsWith" text="Séminaire d'intégration">
      <formula>LEFT(BF26,LEN("Séminaire d'intégration"))="Séminaire d'intégration"</formula>
    </cfRule>
    <cfRule type="beginsWith" dxfId="3859" priority="4501" operator="beginsWith" text="Accueil">
      <formula>LEFT(BF26,LEN("Accueil"))="Accueil"</formula>
    </cfRule>
    <cfRule type="beginsWith" dxfId="3858" priority="4502" operator="beginsWith" text="TOPHYC">
      <formula>LEFT(BF26,LEN("TOPHYC"))="TOPHYC"</formula>
    </cfRule>
    <cfRule type="beginsWith" dxfId="3857" priority="4503" operator="beginsWith" text="Global Exam">
      <formula>LEFT(BF26,LEN("Global Exam"))="Global Exam"</formula>
    </cfRule>
    <cfRule type="beginsWith" dxfId="3856" priority="4504" operator="beginsWith" text="Stage">
      <formula>LEFT(BF26,LEN("Stage"))="Stage"</formula>
    </cfRule>
    <cfRule type="beginsWith" dxfId="3855" priority="4505" operator="beginsWith" text="Entreprise">
      <formula>LEFT(BF26,LEN("Entreprise"))="Entreprise"</formula>
    </cfRule>
    <cfRule type="beginsWith" dxfId="3854" priority="4506" operator="beginsWith" text="TOMIC">
      <formula>LEFT(BF26,LEN("TOMIC"))="TOMIC"</formula>
    </cfRule>
    <cfRule type="beginsWith" dxfId="3853" priority="4507" operator="beginsWith" text="Voltaire">
      <formula>LEFT(BF26,LEN("Voltaire"))="Voltaire"</formula>
    </cfRule>
  </conditionalFormatting>
  <conditionalFormatting sqref="BF51:BF55">
    <cfRule type="beginsWith" dxfId="3852" priority="4488" operator="beginsWith" text="Lancement Projet fil rouge">
      <formula>LEFT(BF51,LEN("Lancement Projet fil rouge"))="Lancement Projet fil rouge"</formula>
    </cfRule>
    <cfRule type="beginsWith" dxfId="3851" priority="4489" operator="beginsWith" text="Vacances">
      <formula>LEFT(BF51,LEN("Vacances"))="Vacances"</formula>
    </cfRule>
    <cfRule type="beginsWith" dxfId="3850" priority="4490" operator="beginsWith" text="Séminaire d'intégration">
      <formula>LEFT(BF51,LEN("Séminaire d'intégration"))="Séminaire d'intégration"</formula>
    </cfRule>
    <cfRule type="beginsWith" dxfId="3849" priority="4491" operator="beginsWith" text="Accueil">
      <formula>LEFT(BF51,LEN("Accueil"))="Accueil"</formula>
    </cfRule>
    <cfRule type="beginsWith" dxfId="3848" priority="4494" operator="beginsWith" text="Stage">
      <formula>LEFT(BF51,LEN("Stage"))="Stage"</formula>
    </cfRule>
    <cfRule type="beginsWith" dxfId="3847" priority="4495" operator="beginsWith" text="Entreprise">
      <formula>LEFT(BF51,LEN("Entreprise"))="Entreprise"</formula>
    </cfRule>
    <cfRule type="beginsWith" dxfId="3846" priority="4497" operator="beginsWith" text="Voltaire">
      <formula>LEFT(BF51,LEN("Voltaire"))="Voltaire"</formula>
    </cfRule>
  </conditionalFormatting>
  <conditionalFormatting sqref="BF51:BF55">
    <cfRule type="beginsWith" dxfId="3845" priority="4492" operator="beginsWith" text="TOPHYC">
      <formula>LEFT(BF51,LEN("TOPHYC"))="TOPHYC"</formula>
    </cfRule>
    <cfRule type="beginsWith" dxfId="3844" priority="4493" operator="beginsWith" text="Global Exam">
      <formula>LEFT(BF51,LEN("Global Exam"))="Global Exam"</formula>
    </cfRule>
    <cfRule type="beginsWith" dxfId="3843" priority="4496" operator="beginsWith" text="TOMIC">
      <formula>LEFT(BF51,LEN("TOMIC"))="TOMIC"</formula>
    </cfRule>
  </conditionalFormatting>
  <conditionalFormatting sqref="BE64:BE75">
    <cfRule type="beginsWith" dxfId="3842" priority="4478" operator="beginsWith" text="Lancement Projet fil rouge">
      <formula>LEFT(BE64,LEN("Lancement Projet fil rouge"))="Lancement Projet fil rouge"</formula>
    </cfRule>
  </conditionalFormatting>
  <conditionalFormatting sqref="BE64:BE75">
    <cfRule type="beginsWith" dxfId="3841" priority="4479" operator="beginsWith" text="Vacances">
      <formula>LEFT(BE64,LEN("Vacances"))="Vacances"</formula>
    </cfRule>
  </conditionalFormatting>
  <conditionalFormatting sqref="BE64:BE75">
    <cfRule type="beginsWith" dxfId="3840" priority="4480" operator="beginsWith" text="Séminaire d'intégration">
      <formula>LEFT(BE64,LEN("Séminaire d'intégration"))="Séminaire d'intégration"</formula>
    </cfRule>
  </conditionalFormatting>
  <conditionalFormatting sqref="BE64:BE75">
    <cfRule type="beginsWith" dxfId="3839" priority="4481" operator="beginsWith" text="Accueil">
      <formula>LEFT(BE64,LEN("Accueil"))="Accueil"</formula>
    </cfRule>
  </conditionalFormatting>
  <conditionalFormatting sqref="BE64:BE75">
    <cfRule type="beginsWith" dxfId="3838" priority="4484" operator="beginsWith" text="Stage">
      <formula>LEFT(BE64,LEN("Stage"))="Stage"</formula>
    </cfRule>
    <cfRule type="beginsWith" dxfId="3837" priority="4485" operator="beginsWith" text="Entreprise">
      <formula>LEFT(BE64,LEN("Entreprise"))="Entreprise"</formula>
    </cfRule>
    <cfRule type="beginsWith" dxfId="3836" priority="4487" operator="beginsWith" text="Voltaire">
      <formula>LEFT(BE64,LEN("Voltaire"))="Voltaire"</formula>
    </cfRule>
  </conditionalFormatting>
  <conditionalFormatting sqref="BE64:BE75">
    <cfRule type="beginsWith" dxfId="3835" priority="4482" operator="beginsWith" text="TOPHYC">
      <formula>LEFT(BE64,LEN("TOPHYC"))="TOPHYC"</formula>
    </cfRule>
    <cfRule type="beginsWith" dxfId="3834" priority="4483" operator="beginsWith" text="Global Exam">
      <formula>LEFT(BE64,LEN("Global Exam"))="Global Exam"</formula>
    </cfRule>
    <cfRule type="beginsWith" dxfId="3833" priority="4486" operator="beginsWith" text="TOMIC">
      <formula>LEFT(BE64,LEN("TOMIC"))="TOMIC"</formula>
    </cfRule>
  </conditionalFormatting>
  <conditionalFormatting sqref="BE84">
    <cfRule type="beginsWith" dxfId="3832" priority="4468" operator="beginsWith" text="Lancement Projet fil rouge">
      <formula>LEFT(BE84,LEN("Lancement Projet fil rouge"))="Lancement Projet fil rouge"</formula>
    </cfRule>
  </conditionalFormatting>
  <conditionalFormatting sqref="BE84">
    <cfRule type="beginsWith" dxfId="3831" priority="4469" operator="beginsWith" text="Vacances">
      <formula>LEFT(BE84,LEN("Vacances"))="Vacances"</formula>
    </cfRule>
  </conditionalFormatting>
  <conditionalFormatting sqref="BE84">
    <cfRule type="beginsWith" dxfId="3830" priority="4470" operator="beginsWith" text="Séminaire d'intégration">
      <formula>LEFT(BE84,LEN("Séminaire d'intégration"))="Séminaire d'intégration"</formula>
    </cfRule>
  </conditionalFormatting>
  <conditionalFormatting sqref="BE84">
    <cfRule type="beginsWith" dxfId="3829" priority="4471" operator="beginsWith" text="Accueil">
      <formula>LEFT(BE84,LEN("Accueil"))="Accueil"</formula>
    </cfRule>
  </conditionalFormatting>
  <conditionalFormatting sqref="BE84">
    <cfRule type="beginsWith" dxfId="3828" priority="4474" operator="beginsWith" text="Stage">
      <formula>LEFT(BE84,LEN("Stage"))="Stage"</formula>
    </cfRule>
    <cfRule type="beginsWith" dxfId="3827" priority="4475" operator="beginsWith" text="Entreprise">
      <formula>LEFT(BE84,LEN("Entreprise"))="Entreprise"</formula>
    </cfRule>
    <cfRule type="beginsWith" dxfId="3826" priority="4477" operator="beginsWith" text="Voltaire">
      <formula>LEFT(BE84,LEN("Voltaire"))="Voltaire"</formula>
    </cfRule>
  </conditionalFormatting>
  <conditionalFormatting sqref="BE84">
    <cfRule type="beginsWith" dxfId="3825" priority="4472" operator="beginsWith" text="TOPHYC">
      <formula>LEFT(BE84,LEN("TOPHYC"))="TOPHYC"</formula>
    </cfRule>
    <cfRule type="beginsWith" dxfId="3824" priority="4473" operator="beginsWith" text="Global Exam">
      <formula>LEFT(BE84,LEN("Global Exam"))="Global Exam"</formula>
    </cfRule>
    <cfRule type="beginsWith" dxfId="3823" priority="4476" operator="beginsWith" text="TOMIC">
      <formula>LEFT(BE84,LEN("TOMIC"))="TOMIC"</formula>
    </cfRule>
  </conditionalFormatting>
  <conditionalFormatting sqref="BE119">
    <cfRule type="beginsWith" dxfId="3822" priority="4458" operator="beginsWith" text="Lancement Projet fil rouge">
      <formula>LEFT(BE119,LEN("Lancement Projet fil rouge"))="Lancement Projet fil rouge"</formula>
    </cfRule>
  </conditionalFormatting>
  <conditionalFormatting sqref="BE119">
    <cfRule type="beginsWith" dxfId="3821" priority="4459" operator="beginsWith" text="Vacances">
      <formula>LEFT(BE119,LEN("Vacances"))="Vacances"</formula>
    </cfRule>
  </conditionalFormatting>
  <conditionalFormatting sqref="BE119">
    <cfRule type="beginsWith" dxfId="3820" priority="4460" operator="beginsWith" text="Séminaire d'intégration">
      <formula>LEFT(BE119,LEN("Séminaire d'intégration"))="Séminaire d'intégration"</formula>
    </cfRule>
  </conditionalFormatting>
  <conditionalFormatting sqref="BE119">
    <cfRule type="beginsWith" dxfId="3819" priority="4461" operator="beginsWith" text="Accueil">
      <formula>LEFT(BE119,LEN("Accueil"))="Accueil"</formula>
    </cfRule>
  </conditionalFormatting>
  <conditionalFormatting sqref="BE119">
    <cfRule type="beginsWith" dxfId="3818" priority="4464" operator="beginsWith" text="Stage">
      <formula>LEFT(BE119,LEN("Stage"))="Stage"</formula>
    </cfRule>
    <cfRule type="beginsWith" dxfId="3817" priority="4465" operator="beginsWith" text="Entreprise">
      <formula>LEFT(BE119,LEN("Entreprise"))="Entreprise"</formula>
    </cfRule>
    <cfRule type="beginsWith" dxfId="3816" priority="4467" operator="beginsWith" text="Voltaire">
      <formula>LEFT(BE119,LEN("Voltaire"))="Voltaire"</formula>
    </cfRule>
  </conditionalFormatting>
  <conditionalFormatting sqref="BE119">
    <cfRule type="beginsWith" dxfId="3815" priority="4462" operator="beginsWith" text="TOPHYC">
      <formula>LEFT(BE119,LEN("TOPHYC"))="TOPHYC"</formula>
    </cfRule>
    <cfRule type="beginsWith" dxfId="3814" priority="4463" operator="beginsWith" text="Global Exam">
      <formula>LEFT(BE119,LEN("Global Exam"))="Global Exam"</formula>
    </cfRule>
    <cfRule type="beginsWith" dxfId="3813" priority="4466" operator="beginsWith" text="TOMIC">
      <formula>LEFT(BE119,LEN("TOMIC"))="TOMIC"</formula>
    </cfRule>
  </conditionalFormatting>
  <conditionalFormatting sqref="BE114">
    <cfRule type="beginsWith" dxfId="3812" priority="4448" operator="beginsWith" text="Lancement Projet fil rouge">
      <formula>LEFT(BE114,LEN("Lancement Projet fil rouge"))="Lancement Projet fil rouge"</formula>
    </cfRule>
  </conditionalFormatting>
  <conditionalFormatting sqref="BE114">
    <cfRule type="beginsWith" dxfId="3811" priority="4449" operator="beginsWith" text="Vacances">
      <formula>LEFT(BE114,LEN("Vacances"))="Vacances"</formula>
    </cfRule>
  </conditionalFormatting>
  <conditionalFormatting sqref="BE114">
    <cfRule type="beginsWith" dxfId="3810" priority="4450" operator="beginsWith" text="Séminaire d'intégration">
      <formula>LEFT(BE114,LEN("Séminaire d'intégration"))="Séminaire d'intégration"</formula>
    </cfRule>
  </conditionalFormatting>
  <conditionalFormatting sqref="BE114">
    <cfRule type="beginsWith" dxfId="3809" priority="4451" operator="beginsWith" text="Accueil">
      <formula>LEFT(BE114,LEN("Accueil"))="Accueil"</formula>
    </cfRule>
  </conditionalFormatting>
  <conditionalFormatting sqref="BE114">
    <cfRule type="beginsWith" dxfId="3808" priority="4454" operator="beginsWith" text="Stage">
      <formula>LEFT(BE114,LEN("Stage"))="Stage"</formula>
    </cfRule>
    <cfRule type="beginsWith" dxfId="3807" priority="4455" operator="beginsWith" text="Entreprise">
      <formula>LEFT(BE114,LEN("Entreprise"))="Entreprise"</formula>
    </cfRule>
    <cfRule type="beginsWith" dxfId="3806" priority="4457" operator="beginsWith" text="Voltaire">
      <formula>LEFT(BE114,LEN("Voltaire"))="Voltaire"</formula>
    </cfRule>
  </conditionalFormatting>
  <conditionalFormatting sqref="BE114">
    <cfRule type="beginsWith" dxfId="3805" priority="4452" operator="beginsWith" text="TOPHYC">
      <formula>LEFT(BE114,LEN("TOPHYC"))="TOPHYC"</formula>
    </cfRule>
    <cfRule type="beginsWith" dxfId="3804" priority="4453" operator="beginsWith" text="Global Exam">
      <formula>LEFT(BE114,LEN("Global Exam"))="Global Exam"</formula>
    </cfRule>
    <cfRule type="beginsWith" dxfId="3803" priority="4456" operator="beginsWith" text="TOMIC">
      <formula>LEFT(BE114,LEN("TOMIC"))="TOMIC"</formula>
    </cfRule>
  </conditionalFormatting>
  <conditionalFormatting sqref="BE89">
    <cfRule type="beginsWith" dxfId="3802" priority="4438" operator="beginsWith" text="Lancement Projet fil rouge">
      <formula>LEFT(BE89,LEN("Lancement Projet fil rouge"))="Lancement Projet fil rouge"</formula>
    </cfRule>
  </conditionalFormatting>
  <conditionalFormatting sqref="BE89">
    <cfRule type="beginsWith" dxfId="3801" priority="4439" operator="beginsWith" text="Vacances">
      <formula>LEFT(BE89,LEN("Vacances"))="Vacances"</formula>
    </cfRule>
  </conditionalFormatting>
  <conditionalFormatting sqref="BE89">
    <cfRule type="beginsWith" dxfId="3800" priority="4440" operator="beginsWith" text="Séminaire d'intégration">
      <formula>LEFT(BE89,LEN("Séminaire d'intégration"))="Séminaire d'intégration"</formula>
    </cfRule>
  </conditionalFormatting>
  <conditionalFormatting sqref="BE89">
    <cfRule type="beginsWith" dxfId="3799" priority="4441" operator="beginsWith" text="Accueil">
      <formula>LEFT(BE89,LEN("Accueil"))="Accueil"</formula>
    </cfRule>
  </conditionalFormatting>
  <conditionalFormatting sqref="BE89">
    <cfRule type="beginsWith" dxfId="3798" priority="4444" operator="beginsWith" text="Stage">
      <formula>LEFT(BE89,LEN("Stage"))="Stage"</formula>
    </cfRule>
    <cfRule type="beginsWith" dxfId="3797" priority="4445" operator="beginsWith" text="Entreprise">
      <formula>LEFT(BE89,LEN("Entreprise"))="Entreprise"</formula>
    </cfRule>
    <cfRule type="beginsWith" dxfId="3796" priority="4447" operator="beginsWith" text="Voltaire">
      <formula>LEFT(BE89,LEN("Voltaire"))="Voltaire"</formula>
    </cfRule>
  </conditionalFormatting>
  <conditionalFormatting sqref="BE89">
    <cfRule type="beginsWith" dxfId="3795" priority="4442" operator="beginsWith" text="TOPHYC">
      <formula>LEFT(BE89,LEN("TOPHYC"))="TOPHYC"</formula>
    </cfRule>
    <cfRule type="beginsWith" dxfId="3794" priority="4443" operator="beginsWith" text="Global Exam">
      <formula>LEFT(BE89,LEN("Global Exam"))="Global Exam"</formula>
    </cfRule>
    <cfRule type="beginsWith" dxfId="3793" priority="4446" operator="beginsWith" text="TOMIC">
      <formula>LEFT(BE89,LEN("TOMIC"))="TOMIC"</formula>
    </cfRule>
  </conditionalFormatting>
  <conditionalFormatting sqref="BE139">
    <cfRule type="beginsWith" dxfId="3792" priority="4428" operator="beginsWith" text="Lancement Projet fil rouge">
      <formula>LEFT(BE139,LEN("Lancement Projet fil rouge"))="Lancement Projet fil rouge"</formula>
    </cfRule>
  </conditionalFormatting>
  <conditionalFormatting sqref="BE139">
    <cfRule type="beginsWith" dxfId="3791" priority="4429" operator="beginsWith" text="Vacances">
      <formula>LEFT(BE139,LEN("Vacances"))="Vacances"</formula>
    </cfRule>
  </conditionalFormatting>
  <conditionalFormatting sqref="BE139">
    <cfRule type="beginsWith" dxfId="3790" priority="4430" operator="beginsWith" text="Séminaire d'intégration">
      <formula>LEFT(BE139,LEN("Séminaire d'intégration"))="Séminaire d'intégration"</formula>
    </cfRule>
  </conditionalFormatting>
  <conditionalFormatting sqref="BE139">
    <cfRule type="beginsWith" dxfId="3789" priority="4431" operator="beginsWith" text="Accueil">
      <formula>LEFT(BE139,LEN("Accueil"))="Accueil"</formula>
    </cfRule>
  </conditionalFormatting>
  <conditionalFormatting sqref="BE139">
    <cfRule type="beginsWith" dxfId="3788" priority="4434" operator="beginsWith" text="Stage">
      <formula>LEFT(BE139,LEN("Stage"))="Stage"</formula>
    </cfRule>
    <cfRule type="beginsWith" dxfId="3787" priority="4435" operator="beginsWith" text="Entreprise">
      <formula>LEFT(BE139,LEN("Entreprise"))="Entreprise"</formula>
    </cfRule>
    <cfRule type="beginsWith" dxfId="3786" priority="4437" operator="beginsWith" text="Voltaire">
      <formula>LEFT(BE139,LEN("Voltaire"))="Voltaire"</formula>
    </cfRule>
  </conditionalFormatting>
  <conditionalFormatting sqref="BE139">
    <cfRule type="beginsWith" dxfId="3785" priority="4432" operator="beginsWith" text="TOPHYC">
      <formula>LEFT(BE139,LEN("TOPHYC"))="TOPHYC"</formula>
    </cfRule>
    <cfRule type="beginsWith" dxfId="3784" priority="4433" operator="beginsWith" text="Global Exam">
      <formula>LEFT(BE139,LEN("Global Exam"))="Global Exam"</formula>
    </cfRule>
    <cfRule type="beginsWith" dxfId="3783" priority="4436" operator="beginsWith" text="TOMIC">
      <formula>LEFT(BE139,LEN("TOMIC"))="TOMIC"</formula>
    </cfRule>
  </conditionalFormatting>
  <conditionalFormatting sqref="BE154">
    <cfRule type="beginsWith" dxfId="3782" priority="4418" operator="beginsWith" text="Lancement Projet fil rouge">
      <formula>LEFT(BE154,LEN("Lancement Projet fil rouge"))="Lancement Projet fil rouge"</formula>
    </cfRule>
    <cfRule type="beginsWith" dxfId="3781" priority="4419" operator="beginsWith" text="Vacances">
      <formula>LEFT(BE154,LEN("Vacances"))="Vacances"</formula>
    </cfRule>
    <cfRule type="beginsWith" dxfId="3780" priority="4420" operator="beginsWith" text="Séminaire d'intégration">
      <formula>LEFT(BE154,LEN("Séminaire d'intégration"))="Séminaire d'intégration"</formula>
    </cfRule>
    <cfRule type="beginsWith" dxfId="3779" priority="4421" operator="beginsWith" text="Accueil">
      <formula>LEFT(BE154,LEN("Accueil"))="Accueil"</formula>
    </cfRule>
    <cfRule type="beginsWith" dxfId="3778" priority="4424" operator="beginsWith" text="Stage">
      <formula>LEFT(BE154,LEN("Stage"))="Stage"</formula>
    </cfRule>
    <cfRule type="beginsWith" dxfId="3777" priority="4425" operator="beginsWith" text="Entreprise">
      <formula>LEFT(BE154,LEN("Entreprise"))="Entreprise"</formula>
    </cfRule>
    <cfRule type="beginsWith" dxfId="3776" priority="4427" operator="beginsWith" text="Voltaire">
      <formula>LEFT(BE154,LEN("Voltaire"))="Voltaire"</formula>
    </cfRule>
  </conditionalFormatting>
  <conditionalFormatting sqref="BE154">
    <cfRule type="beginsWith" dxfId="3775" priority="4422" operator="beginsWith" text="TOPHYC">
      <formula>LEFT(BE154,LEN("TOPHYC"))="TOPHYC"</formula>
    </cfRule>
    <cfRule type="beginsWith" dxfId="3774" priority="4423" operator="beginsWith" text="Global Exam">
      <formula>LEFT(BE154,LEN("Global Exam"))="Global Exam"</formula>
    </cfRule>
    <cfRule type="beginsWith" dxfId="3773" priority="4426" operator="beginsWith" text="TOMIC">
      <formula>LEFT(BE154,LEN("TOMIC"))="TOMIC"</formula>
    </cfRule>
  </conditionalFormatting>
  <conditionalFormatting sqref="BC151:BC155">
    <cfRule type="beginsWith" dxfId="3772" priority="4404" operator="beginsWith" text="Lancement Projet fil rouge">
      <formula>LEFT(BC151,LEN("Lancement Projet fil rouge"))="Lancement Projet fil rouge"</formula>
    </cfRule>
    <cfRule type="beginsWith" dxfId="3771" priority="4405" operator="beginsWith" text="Vacances">
      <formula>LEFT(BC151,LEN("Vacances"))="Vacances"</formula>
    </cfRule>
    <cfRule type="beginsWith" dxfId="3770" priority="4406" operator="beginsWith" text="Séminaire d'intégration">
      <formula>LEFT(BC151,LEN("Séminaire d'intégration"))="Séminaire d'intégration"</formula>
    </cfRule>
    <cfRule type="beginsWith" dxfId="3769" priority="4407" operator="beginsWith" text="Accueil">
      <formula>LEFT(BC151,LEN("Accueil"))="Accueil"</formula>
    </cfRule>
    <cfRule type="beginsWith" dxfId="3768" priority="4408" operator="beginsWith" text="Stage">
      <formula>LEFT(BC151,LEN("Stage"))="Stage"</formula>
    </cfRule>
    <cfRule type="beginsWith" dxfId="3767" priority="4409" operator="beginsWith" text="Entreprise">
      <formula>LEFT(BC151,LEN("Entreprise"))="Entreprise"</formula>
    </cfRule>
    <cfRule type="beginsWith" dxfId="3766" priority="4410" operator="beginsWith" text="Voltaire">
      <formula>LEFT(BC151,LEN("Voltaire"))="Voltaire"</formula>
    </cfRule>
  </conditionalFormatting>
  <conditionalFormatting sqref="BC156">
    <cfRule type="beginsWith" dxfId="3765" priority="4411" operator="beginsWith" text="Lancement Projet fil rouge">
      <formula>LEFT(BC156,LEN("Lancement Projet fil rouge"))="Lancement Projet fil rouge"</formula>
    </cfRule>
    <cfRule type="beginsWith" dxfId="3764" priority="4412" operator="beginsWith" text="Vacances">
      <formula>LEFT(BC156,LEN("Vacances"))="Vacances"</formula>
    </cfRule>
    <cfRule type="beginsWith" dxfId="3763" priority="4413" operator="beginsWith" text="Séminaire d'intégration">
      <formula>LEFT(BC156,LEN("Séminaire d'intégration"))="Séminaire d'intégration"</formula>
    </cfRule>
    <cfRule type="beginsWith" dxfId="3762" priority="4414" operator="beginsWith" text="Accueil">
      <formula>LEFT(BC156,LEN("Accueil"))="Accueil"</formula>
    </cfRule>
    <cfRule type="beginsWith" dxfId="3761" priority="4415" operator="beginsWith" text="Stage">
      <formula>LEFT(BC156,LEN("Stage"))="Stage"</formula>
    </cfRule>
    <cfRule type="beginsWith" dxfId="3760" priority="4416" operator="beginsWith" text="Entreprise">
      <formula>LEFT(BC156,LEN("Entreprise"))="Entreprise"</formula>
    </cfRule>
    <cfRule type="beginsWith" dxfId="3759" priority="4417" operator="beginsWith" text="Voltaire">
      <formula>LEFT(BC156,LEN("Voltaire"))="Voltaire"</formula>
    </cfRule>
  </conditionalFormatting>
  <conditionalFormatting sqref="BE174">
    <cfRule type="beginsWith" dxfId="3758" priority="4394" operator="beginsWith" text="Lancement Projet fil rouge">
      <formula>LEFT(BE174,LEN("Lancement Projet fil rouge"))="Lancement Projet fil rouge"</formula>
    </cfRule>
    <cfRule type="beginsWith" dxfId="3757" priority="4395" operator="beginsWith" text="Vacances">
      <formula>LEFT(BE174,LEN("Vacances"))="Vacances"</formula>
    </cfRule>
    <cfRule type="beginsWith" dxfId="3756" priority="4396" operator="beginsWith" text="Séminaire d'intégration">
      <formula>LEFT(BE174,LEN("Séminaire d'intégration"))="Séminaire d'intégration"</formula>
    </cfRule>
    <cfRule type="beginsWith" dxfId="3755" priority="4397" operator="beginsWith" text="Accueil">
      <formula>LEFT(BE174,LEN("Accueil"))="Accueil"</formula>
    </cfRule>
    <cfRule type="beginsWith" dxfId="3754" priority="4398" operator="beginsWith" text="TOPHYC">
      <formula>LEFT(BE174,LEN("TOPHYC"))="TOPHYC"</formula>
    </cfRule>
    <cfRule type="beginsWith" dxfId="3753" priority="4399" operator="beginsWith" text="Global Exam">
      <formula>LEFT(BE174,LEN("Global Exam"))="Global Exam"</formula>
    </cfRule>
    <cfRule type="beginsWith" dxfId="3752" priority="4400" operator="beginsWith" text="Stage">
      <formula>LEFT(BE174,LEN("Stage"))="Stage"</formula>
    </cfRule>
    <cfRule type="beginsWith" dxfId="3751" priority="4401" operator="beginsWith" text="Entreprise">
      <formula>LEFT(BE174,LEN("Entreprise"))="Entreprise"</formula>
    </cfRule>
    <cfRule type="beginsWith" dxfId="3750" priority="4402" operator="beginsWith" text="TOMIC">
      <formula>LEFT(BE174,LEN("TOMIC"))="TOMIC"</formula>
    </cfRule>
    <cfRule type="beginsWith" dxfId="3749" priority="4403" operator="beginsWith" text="Voltaire">
      <formula>LEFT(BE174,LEN("Voltaire"))="Voltaire"</formula>
    </cfRule>
  </conditionalFormatting>
  <conditionalFormatting sqref="BD171">
    <cfRule type="beginsWith" dxfId="3748" priority="4380" operator="beginsWith" text="Lancement Projet fil rouge">
      <formula>LEFT(BD171,LEN("Lancement Projet fil rouge"))="Lancement Projet fil rouge"</formula>
    </cfRule>
    <cfRule type="beginsWith" dxfId="3747" priority="4381" operator="beginsWith" text="Vacances">
      <formula>LEFT(BD171,LEN("Vacances"))="Vacances"</formula>
    </cfRule>
    <cfRule type="beginsWith" dxfId="3746" priority="4382" operator="beginsWith" text="Séminaire d'intégration">
      <formula>LEFT(BD171,LEN("Séminaire d'intégration"))="Séminaire d'intégration"</formula>
    </cfRule>
    <cfRule type="beginsWith" dxfId="3745" priority="4383" operator="beginsWith" text="Accueil">
      <formula>LEFT(BD171,LEN("Accueil"))="Accueil"</formula>
    </cfRule>
    <cfRule type="beginsWith" dxfId="3744" priority="4384" operator="beginsWith" text="Stage">
      <formula>LEFT(BD171,LEN("Stage"))="Stage"</formula>
    </cfRule>
    <cfRule type="beginsWith" dxfId="3743" priority="4385" operator="beginsWith" text="Entreprise">
      <formula>LEFT(BD171,LEN("Entreprise"))="Entreprise"</formula>
    </cfRule>
    <cfRule type="beginsWith" dxfId="3742" priority="4386" operator="beginsWith" text="Voltaire">
      <formula>LEFT(BD171,LEN("Voltaire"))="Voltaire"</formula>
    </cfRule>
  </conditionalFormatting>
  <conditionalFormatting sqref="BD172">
    <cfRule type="beginsWith" dxfId="3741" priority="4373" operator="beginsWith" text="Lancement Projet fil rouge">
      <formula>LEFT(BD172,LEN("Lancement Projet fil rouge"))="Lancement Projet fil rouge"</formula>
    </cfRule>
    <cfRule type="beginsWith" dxfId="3740" priority="4374" operator="beginsWith" text="Vacances">
      <formula>LEFT(BD172,LEN("Vacances"))="Vacances"</formula>
    </cfRule>
    <cfRule type="beginsWith" dxfId="3739" priority="4375" operator="beginsWith" text="Séminaire d'intégration">
      <formula>LEFT(BD172,LEN("Séminaire d'intégration"))="Séminaire d'intégration"</formula>
    </cfRule>
    <cfRule type="beginsWith" dxfId="3738" priority="4376" operator="beginsWith" text="Accueil">
      <formula>LEFT(BD172,LEN("Accueil"))="Accueil"</formula>
    </cfRule>
    <cfRule type="beginsWith" dxfId="3737" priority="4377" operator="beginsWith" text="Stage">
      <formula>LEFT(BD172,LEN("Stage"))="Stage"</formula>
    </cfRule>
    <cfRule type="beginsWith" dxfId="3736" priority="4378" operator="beginsWith" text="Entreprise">
      <formula>LEFT(BD172,LEN("Entreprise"))="Entreprise"</formula>
    </cfRule>
    <cfRule type="beginsWith" dxfId="3735" priority="4379" operator="beginsWith" text="Voltaire">
      <formula>LEFT(BD172,LEN("Voltaire"))="Voltaire"</formula>
    </cfRule>
  </conditionalFormatting>
  <conditionalFormatting sqref="BD176:BD180">
    <cfRule type="beginsWith" dxfId="3734" priority="4387" operator="beginsWith" text="Lancement Projet fil rouge">
      <formula>LEFT(BD176,LEN("Lancement Projet fil rouge"))="Lancement Projet fil rouge"</formula>
    </cfRule>
    <cfRule type="beginsWith" dxfId="3733" priority="4388" operator="beginsWith" text="Vacances">
      <formula>LEFT(BD176,LEN("Vacances"))="Vacances"</formula>
    </cfRule>
    <cfRule type="beginsWith" dxfId="3732" priority="4389" operator="beginsWith" text="Séminaire d'intégration">
      <formula>LEFT(BD176,LEN("Séminaire d'intégration"))="Séminaire d'intégration"</formula>
    </cfRule>
    <cfRule type="beginsWith" dxfId="3731" priority="4390" operator="beginsWith" text="Accueil">
      <formula>LEFT(BD176,LEN("Accueil"))="Accueil"</formula>
    </cfRule>
    <cfRule type="beginsWith" dxfId="3730" priority="4391" operator="beginsWith" text="Stage">
      <formula>LEFT(BD176,LEN("Stage"))="Stage"</formula>
    </cfRule>
    <cfRule type="beginsWith" dxfId="3729" priority="4392" operator="beginsWith" text="Entreprise">
      <formula>LEFT(BD176,LEN("Entreprise"))="Entreprise"</formula>
    </cfRule>
    <cfRule type="beginsWith" dxfId="3728" priority="4393" operator="beginsWith" text="Voltaire">
      <formula>LEFT(BD176,LEN("Voltaire"))="Voltaire"</formula>
    </cfRule>
  </conditionalFormatting>
  <conditionalFormatting sqref="BE189">
    <cfRule type="beginsWith" dxfId="3727" priority="4363" operator="beginsWith" text="Lancement Projet fil rouge">
      <formula>LEFT(BE189,LEN("Lancement Projet fil rouge"))="Lancement Projet fil rouge"</formula>
    </cfRule>
    <cfRule type="beginsWith" dxfId="3726" priority="4364" operator="beginsWith" text="Vacances">
      <formula>LEFT(BE189,LEN("Vacances"))="Vacances"</formula>
    </cfRule>
    <cfRule type="beginsWith" dxfId="3725" priority="4365" operator="beginsWith" text="Séminaire d'intégration">
      <formula>LEFT(BE189,LEN("Séminaire d'intégration"))="Séminaire d'intégration"</formula>
    </cfRule>
    <cfRule type="beginsWith" dxfId="3724" priority="4366" operator="beginsWith" text="Accueil">
      <formula>LEFT(BE189,LEN("Accueil"))="Accueil"</formula>
    </cfRule>
    <cfRule type="beginsWith" dxfId="3723" priority="4369" operator="beginsWith" text="Stage">
      <formula>LEFT(BE189,LEN("Stage"))="Stage"</formula>
    </cfRule>
    <cfRule type="beginsWith" dxfId="3722" priority="4370" operator="beginsWith" text="Entreprise">
      <formula>LEFT(BE189,LEN("Entreprise"))="Entreprise"</formula>
    </cfRule>
    <cfRule type="beginsWith" dxfId="3721" priority="4372" operator="beginsWith" text="Voltaire">
      <formula>LEFT(BE189,LEN("Voltaire"))="Voltaire"</formula>
    </cfRule>
  </conditionalFormatting>
  <conditionalFormatting sqref="BE189">
    <cfRule type="beginsWith" dxfId="3720" priority="4367" operator="beginsWith" text="TOPHYC">
      <formula>LEFT(BE189,LEN("TOPHYC"))="TOPHYC"</formula>
    </cfRule>
    <cfRule type="beginsWith" dxfId="3719" priority="4368" operator="beginsWith" text="Global Exam">
      <formula>LEFT(BE189,LEN("Global Exam"))="Global Exam"</formula>
    </cfRule>
    <cfRule type="beginsWith" dxfId="3718" priority="4371" operator="beginsWith" text="TOMIC">
      <formula>LEFT(BE189,LEN("TOMIC"))="TOMIC"</formula>
    </cfRule>
  </conditionalFormatting>
  <conditionalFormatting sqref="BC191">
    <cfRule type="beginsWith" dxfId="3717" priority="4356" operator="beginsWith" text="Lancement Projet fil rouge">
      <formula>LEFT(BC191,LEN("Lancement Projet fil rouge"))="Lancement Projet fil rouge"</formula>
    </cfRule>
    <cfRule type="beginsWith" dxfId="3716" priority="4357" operator="beginsWith" text="Vacances">
      <formula>LEFT(BC191,LEN("Vacances"))="Vacances"</formula>
    </cfRule>
    <cfRule type="beginsWith" dxfId="3715" priority="4358" operator="beginsWith" text="Séminaire d'intégration">
      <formula>LEFT(BC191,LEN("Séminaire d'intégration"))="Séminaire d'intégration"</formula>
    </cfRule>
    <cfRule type="beginsWith" dxfId="3714" priority="4359" operator="beginsWith" text="Accueil">
      <formula>LEFT(BC191,LEN("Accueil"))="Accueil"</formula>
    </cfRule>
    <cfRule type="beginsWith" dxfId="3713" priority="4360" operator="beginsWith" text="Stage">
      <formula>LEFT(BC191,LEN("Stage"))="Stage"</formula>
    </cfRule>
    <cfRule type="beginsWith" dxfId="3712" priority="4361" operator="beginsWith" text="Entreprise">
      <formula>LEFT(BC191,LEN("Entreprise"))="Entreprise"</formula>
    </cfRule>
    <cfRule type="beginsWith" dxfId="3711" priority="4362" operator="beginsWith" text="Voltaire">
      <formula>LEFT(BC191,LEN("Voltaire"))="Voltaire"</formula>
    </cfRule>
  </conditionalFormatting>
  <conditionalFormatting sqref="BC196">
    <cfRule type="beginsWith" dxfId="3710" priority="4349" operator="beginsWith" text="Lancement Projet fil rouge">
      <formula>LEFT(BC196,LEN("Lancement Projet fil rouge"))="Lancement Projet fil rouge"</formula>
    </cfRule>
    <cfRule type="beginsWith" dxfId="3709" priority="4350" operator="beginsWith" text="Vacances">
      <formula>LEFT(BC196,LEN("Vacances"))="Vacances"</formula>
    </cfRule>
    <cfRule type="beginsWith" dxfId="3708" priority="4351" operator="beginsWith" text="Séminaire d'intégration">
      <formula>LEFT(BC196,LEN("Séminaire d'intégration"))="Séminaire d'intégration"</formula>
    </cfRule>
    <cfRule type="beginsWith" dxfId="3707" priority="4352" operator="beginsWith" text="Accueil">
      <formula>LEFT(BC196,LEN("Accueil"))="Accueil"</formula>
    </cfRule>
    <cfRule type="beginsWith" dxfId="3706" priority="4353" operator="beginsWith" text="Stage">
      <formula>LEFT(BC196,LEN("Stage"))="Stage"</formula>
    </cfRule>
    <cfRule type="beginsWith" dxfId="3705" priority="4354" operator="beginsWith" text="Entreprise">
      <formula>LEFT(BC196,LEN("Entreprise"))="Entreprise"</formula>
    </cfRule>
    <cfRule type="beginsWith" dxfId="3704" priority="4355" operator="beginsWith" text="Voltaire">
      <formula>LEFT(BC196,LEN("Voltaire"))="Voltaire"</formula>
    </cfRule>
  </conditionalFormatting>
  <conditionalFormatting sqref="BC201">
    <cfRule type="beginsWith" dxfId="3703" priority="4342" operator="beginsWith" text="Lancement Projet fil rouge">
      <formula>LEFT(BC201,LEN("Lancement Projet fil rouge"))="Lancement Projet fil rouge"</formula>
    </cfRule>
    <cfRule type="beginsWith" dxfId="3702" priority="4343" operator="beginsWith" text="Vacances">
      <formula>LEFT(BC201,LEN("Vacances"))="Vacances"</formula>
    </cfRule>
    <cfRule type="beginsWith" dxfId="3701" priority="4344" operator="beginsWith" text="Séminaire d'intégration">
      <formula>LEFT(BC201,LEN("Séminaire d'intégration"))="Séminaire d'intégration"</formula>
    </cfRule>
    <cfRule type="beginsWith" dxfId="3700" priority="4345" operator="beginsWith" text="Accueil">
      <formula>LEFT(BC201,LEN("Accueil"))="Accueil"</formula>
    </cfRule>
    <cfRule type="beginsWith" dxfId="3699" priority="4346" operator="beginsWith" text="Stage">
      <formula>LEFT(BC201,LEN("Stage"))="Stage"</formula>
    </cfRule>
    <cfRule type="beginsWith" dxfId="3698" priority="4347" operator="beginsWith" text="Entreprise">
      <formula>LEFT(BC201,LEN("Entreprise"))="Entreprise"</formula>
    </cfRule>
    <cfRule type="beginsWith" dxfId="3697" priority="4348" operator="beginsWith" text="Voltaire">
      <formula>LEFT(BC201,LEN("Voltaire"))="Voltaire"</formula>
    </cfRule>
  </conditionalFormatting>
  <conditionalFormatting sqref="BC207">
    <cfRule type="beginsWith" dxfId="3696" priority="4328" operator="beginsWith" text="Lancement Projet fil rouge">
      <formula>LEFT(BC207,LEN("Lancement Projet fil rouge"))="Lancement Projet fil rouge"</formula>
    </cfRule>
    <cfRule type="beginsWith" dxfId="3695" priority="4329" operator="beginsWith" text="Vacances">
      <formula>LEFT(BC207,LEN("Vacances"))="Vacances"</formula>
    </cfRule>
    <cfRule type="beginsWith" dxfId="3694" priority="4330" operator="beginsWith" text="Séminaire d'intégration">
      <formula>LEFT(BC207,LEN("Séminaire d'intégration"))="Séminaire d'intégration"</formula>
    </cfRule>
    <cfRule type="beginsWith" dxfId="3693" priority="4331" operator="beginsWith" text="Accueil">
      <formula>LEFT(BC207,LEN("Accueil"))="Accueil"</formula>
    </cfRule>
    <cfRule type="beginsWith" dxfId="3692" priority="4332" operator="beginsWith" text="Stage">
      <formula>LEFT(BC207,LEN("Stage"))="Stage"</formula>
    </cfRule>
    <cfRule type="beginsWith" dxfId="3691" priority="4333" operator="beginsWith" text="Entreprise">
      <formula>LEFT(BC207,LEN("Entreprise"))="Entreprise"</formula>
    </cfRule>
    <cfRule type="beginsWith" dxfId="3690" priority="4334" operator="beginsWith" text="Voltaire">
      <formula>LEFT(BC207,LEN("Voltaire"))="Voltaire"</formula>
    </cfRule>
  </conditionalFormatting>
  <conditionalFormatting sqref="BD207">
    <cfRule type="beginsWith" dxfId="3689" priority="4314" operator="beginsWith" text="Lancement Projet fil rouge">
      <formula>LEFT(BD207,LEN("Lancement Projet fil rouge"))="Lancement Projet fil rouge"</formula>
    </cfRule>
    <cfRule type="beginsWith" dxfId="3688" priority="4315" operator="beginsWith" text="Vacances">
      <formula>LEFT(BD207,LEN("Vacances"))="Vacances"</formula>
    </cfRule>
    <cfRule type="beginsWith" dxfId="3687" priority="4316" operator="beginsWith" text="Séminaire d'intégration">
      <formula>LEFT(BD207,LEN("Séminaire d'intégration"))="Séminaire d'intégration"</formula>
    </cfRule>
    <cfRule type="beginsWith" dxfId="3686" priority="4317" operator="beginsWith" text="Accueil">
      <formula>LEFT(BD207,LEN("Accueil"))="Accueil"</formula>
    </cfRule>
    <cfRule type="beginsWith" dxfId="3685" priority="4318" operator="beginsWith" text="Stage">
      <formula>LEFT(BD207,LEN("Stage"))="Stage"</formula>
    </cfRule>
    <cfRule type="beginsWith" dxfId="3684" priority="4319" operator="beginsWith" text="Entreprise">
      <formula>LEFT(BD207,LEN("Entreprise"))="Entreprise"</formula>
    </cfRule>
    <cfRule type="beginsWith" dxfId="3683" priority="4320" operator="beginsWith" text="Voltaire">
      <formula>LEFT(BD207,LEN("Voltaire"))="Voltaire"</formula>
    </cfRule>
  </conditionalFormatting>
  <conditionalFormatting sqref="BD216:BD220">
    <cfRule type="beginsWith" dxfId="3682" priority="4321" operator="beginsWith" text="Lancement Projet fil rouge">
      <formula>LEFT(BD216,LEN("Lancement Projet fil rouge"))="Lancement Projet fil rouge"</formula>
    </cfRule>
    <cfRule type="beginsWith" dxfId="3681" priority="4322" operator="beginsWith" text="Vacances">
      <formula>LEFT(BD216,LEN("Vacances"))="Vacances"</formula>
    </cfRule>
    <cfRule type="beginsWith" dxfId="3680" priority="4323" operator="beginsWith" text="Séminaire d'intégration">
      <formula>LEFT(BD216,LEN("Séminaire d'intégration"))="Séminaire d'intégration"</formula>
    </cfRule>
    <cfRule type="beginsWith" dxfId="3679" priority="4324" operator="beginsWith" text="Accueil">
      <formula>LEFT(BD216,LEN("Accueil"))="Accueil"</formula>
    </cfRule>
    <cfRule type="beginsWith" dxfId="3678" priority="4325" operator="beginsWith" text="Stage">
      <formula>LEFT(BD216,LEN("Stage"))="Stage"</formula>
    </cfRule>
    <cfRule type="beginsWith" dxfId="3677" priority="4326" operator="beginsWith" text="Entreprise">
      <formula>LEFT(BD216,LEN("Entreprise"))="Entreprise"</formula>
    </cfRule>
    <cfRule type="beginsWith" dxfId="3676" priority="4327" operator="beginsWith" text="Voltaire">
      <formula>LEFT(BD216,LEN("Voltaire"))="Voltaire"</formula>
    </cfRule>
  </conditionalFormatting>
  <conditionalFormatting sqref="BD211:BD215">
    <cfRule type="beginsWith" dxfId="3675" priority="4335" operator="beginsWith" text="Lancement Projet fil rouge">
      <formula>LEFT(BD211,LEN("Lancement Projet fil rouge"))="Lancement Projet fil rouge"</formula>
    </cfRule>
    <cfRule type="beginsWith" dxfId="3674" priority="4336" operator="beginsWith" text="Vacances">
      <formula>LEFT(BD211,LEN("Vacances"))="Vacances"</formula>
    </cfRule>
    <cfRule type="beginsWith" dxfId="3673" priority="4337" operator="beginsWith" text="Séminaire d'intégration">
      <formula>LEFT(BD211,LEN("Séminaire d'intégration"))="Séminaire d'intégration"</formula>
    </cfRule>
    <cfRule type="beginsWith" dxfId="3672" priority="4338" operator="beginsWith" text="Accueil">
      <formula>LEFT(BD211,LEN("Accueil"))="Accueil"</formula>
    </cfRule>
    <cfRule type="beginsWith" dxfId="3671" priority="4339" operator="beginsWith" text="Stage">
      <formula>LEFT(BD211,LEN("Stage"))="Stage"</formula>
    </cfRule>
    <cfRule type="beginsWith" dxfId="3670" priority="4340" operator="beginsWith" text="Entreprise">
      <formula>LEFT(BD211,LEN("Entreprise"))="Entreprise"</formula>
    </cfRule>
    <cfRule type="beginsWith" dxfId="3669" priority="4341" operator="beginsWith" text="Voltaire">
      <formula>LEFT(BD211,LEN("Voltaire"))="Voltaire"</formula>
    </cfRule>
  </conditionalFormatting>
  <conditionalFormatting sqref="BE219">
    <cfRule type="beginsWith" dxfId="3668" priority="4304" operator="beginsWith" text="Lancement Projet fil rouge">
      <formula>LEFT(BE219,LEN("Lancement Projet fil rouge"))="Lancement Projet fil rouge"</formula>
    </cfRule>
    <cfRule type="beginsWith" dxfId="3667" priority="4305" operator="beginsWith" text="Vacances">
      <formula>LEFT(BE219,LEN("Vacances"))="Vacances"</formula>
    </cfRule>
    <cfRule type="beginsWith" dxfId="3666" priority="4306" operator="beginsWith" text="Séminaire d'intégration">
      <formula>LEFT(BE219,LEN("Séminaire d'intégration"))="Séminaire d'intégration"</formula>
    </cfRule>
    <cfRule type="beginsWith" dxfId="3665" priority="4307" operator="beginsWith" text="Accueil">
      <formula>LEFT(BE219,LEN("Accueil"))="Accueil"</formula>
    </cfRule>
    <cfRule type="beginsWith" dxfId="3664" priority="4310" operator="beginsWith" text="Stage">
      <formula>LEFT(BE219,LEN("Stage"))="Stage"</formula>
    </cfRule>
    <cfRule type="beginsWith" dxfId="3663" priority="4311" operator="beginsWith" text="Entreprise">
      <formula>LEFT(BE219,LEN("Entreprise"))="Entreprise"</formula>
    </cfRule>
    <cfRule type="beginsWith" dxfId="3662" priority="4313" operator="beginsWith" text="Voltaire">
      <formula>LEFT(BE219,LEN("Voltaire"))="Voltaire"</formula>
    </cfRule>
  </conditionalFormatting>
  <conditionalFormatting sqref="BE219">
    <cfRule type="beginsWith" dxfId="3661" priority="4308" operator="beginsWith" text="TOPHYC">
      <formula>LEFT(BE219,LEN("TOPHYC"))="TOPHYC"</formula>
    </cfRule>
    <cfRule type="beginsWith" dxfId="3660" priority="4309" operator="beginsWith" text="Global Exam">
      <formula>LEFT(BE219,LEN("Global Exam"))="Global Exam"</formula>
    </cfRule>
    <cfRule type="beginsWith" dxfId="3659" priority="4312" operator="beginsWith" text="TOMIC">
      <formula>LEFT(BE219,LEN("TOMIC"))="TOMIC"</formula>
    </cfRule>
  </conditionalFormatting>
  <conditionalFormatting sqref="BE225">
    <cfRule type="beginsWith" dxfId="3658" priority="4284" operator="beginsWith" text="Lancement Projet fil rouge">
      <formula>LEFT(BE225,LEN("Lancement Projet fil rouge"))="Lancement Projet fil rouge"</formula>
    </cfRule>
    <cfRule type="beginsWith" dxfId="3657" priority="4285" operator="beginsWith" text="Vacances">
      <formula>LEFT(BE225,LEN("Vacances"))="Vacances"</formula>
    </cfRule>
    <cfRule type="beginsWith" dxfId="3656" priority="4286" operator="beginsWith" text="Séminaire d'intégration">
      <formula>LEFT(BE225,LEN("Séminaire d'intégration"))="Séminaire d'intégration"</formula>
    </cfRule>
    <cfRule type="beginsWith" dxfId="3655" priority="4287" operator="beginsWith" text="Accueil">
      <formula>LEFT(BE225,LEN("Accueil"))="Accueil"</formula>
    </cfRule>
    <cfRule type="beginsWith" dxfId="3654" priority="4290" operator="beginsWith" text="Stage">
      <formula>LEFT(BE225,LEN("Stage"))="Stage"</formula>
    </cfRule>
    <cfRule type="beginsWith" dxfId="3653" priority="4291" operator="beginsWith" text="Entreprise">
      <formula>LEFT(BE225,LEN("Entreprise"))="Entreprise"</formula>
    </cfRule>
    <cfRule type="beginsWith" dxfId="3652" priority="4293" operator="beginsWith" text="Voltaire">
      <formula>LEFT(BE225,LEN("Voltaire"))="Voltaire"</formula>
    </cfRule>
  </conditionalFormatting>
  <conditionalFormatting sqref="BE226:BE228 BE230">
    <cfRule type="beginsWith" dxfId="3651" priority="4294" operator="beginsWith" text="Lancement Projet fil rouge">
      <formula>LEFT(BE226,LEN("Lancement Projet fil rouge"))="Lancement Projet fil rouge"</formula>
    </cfRule>
    <cfRule type="beginsWith" dxfId="3650" priority="4295" operator="beginsWith" text="Vacances">
      <formula>LEFT(BE226,LEN("Vacances"))="Vacances"</formula>
    </cfRule>
    <cfRule type="beginsWith" dxfId="3649" priority="4296" operator="beginsWith" text="Séminaire d'intégration">
      <formula>LEFT(BE226,LEN("Séminaire d'intégration"))="Séminaire d'intégration"</formula>
    </cfRule>
    <cfRule type="beginsWith" dxfId="3648" priority="4297" operator="beginsWith" text="Accueil">
      <formula>LEFT(BE226,LEN("Accueil"))="Accueil"</formula>
    </cfRule>
    <cfRule type="beginsWith" dxfId="3647" priority="4300" operator="beginsWith" text="Stage">
      <formula>LEFT(BE226,LEN("Stage"))="Stage"</formula>
    </cfRule>
    <cfRule type="beginsWith" dxfId="3646" priority="4301" operator="beginsWith" text="Entreprise">
      <formula>LEFT(BE226,LEN("Entreprise"))="Entreprise"</formula>
    </cfRule>
    <cfRule type="beginsWith" dxfId="3645" priority="4303" operator="beginsWith" text="Voltaire">
      <formula>LEFT(BE226,LEN("Voltaire"))="Voltaire"</formula>
    </cfRule>
  </conditionalFormatting>
  <conditionalFormatting sqref="BE224">
    <cfRule type="beginsWith" dxfId="3644" priority="4274" operator="beginsWith" text="Lancement Projet fil rouge">
      <formula>LEFT(BE224,LEN("Lancement Projet fil rouge"))="Lancement Projet fil rouge"</formula>
    </cfRule>
    <cfRule type="beginsWith" dxfId="3643" priority="4275" operator="beginsWith" text="Vacances">
      <formula>LEFT(BE224,LEN("Vacances"))="Vacances"</formula>
    </cfRule>
    <cfRule type="beginsWith" dxfId="3642" priority="4276" operator="beginsWith" text="Séminaire d'intégration">
      <formula>LEFT(BE224,LEN("Séminaire d'intégration"))="Séminaire d'intégration"</formula>
    </cfRule>
    <cfRule type="beginsWith" dxfId="3641" priority="4277" operator="beginsWith" text="Accueil">
      <formula>LEFT(BE224,LEN("Accueil"))="Accueil"</formula>
    </cfRule>
    <cfRule type="beginsWith" dxfId="3640" priority="4278" operator="beginsWith" text="TOPHYC">
      <formula>LEFT(BE224,LEN("TOPHYC"))="TOPHYC"</formula>
    </cfRule>
    <cfRule type="beginsWith" dxfId="3639" priority="4279" operator="beginsWith" text="Global Exam">
      <formula>LEFT(BE224,LEN("Global Exam"))="Global Exam"</formula>
    </cfRule>
    <cfRule type="beginsWith" dxfId="3638" priority="4280" operator="beginsWith" text="Stage">
      <formula>LEFT(BE224,LEN("Stage"))="Stage"</formula>
    </cfRule>
    <cfRule type="beginsWith" dxfId="3637" priority="4281" operator="beginsWith" text="Entreprise">
      <formula>LEFT(BE224,LEN("Entreprise"))="Entreprise"</formula>
    </cfRule>
    <cfRule type="beginsWith" dxfId="3636" priority="4282" operator="beginsWith" text="TOMIC">
      <formula>LEFT(BE224,LEN("TOMIC"))="TOMIC"</formula>
    </cfRule>
    <cfRule type="beginsWith" dxfId="3635" priority="4283" operator="beginsWith" text="Voltaire">
      <formula>LEFT(BE224,LEN("Voltaire"))="Voltaire"</formula>
    </cfRule>
  </conditionalFormatting>
  <conditionalFormatting sqref="BE229">
    <cfRule type="beginsWith" dxfId="3634" priority="4264" operator="beginsWith" text="Lancement Projet fil rouge">
      <formula>LEFT(BE229,LEN("Lancement Projet fil rouge"))="Lancement Projet fil rouge"</formula>
    </cfRule>
    <cfRule type="beginsWith" dxfId="3633" priority="4265" operator="beginsWith" text="Vacances">
      <formula>LEFT(BE229,LEN("Vacances"))="Vacances"</formula>
    </cfRule>
    <cfRule type="beginsWith" dxfId="3632" priority="4266" operator="beginsWith" text="Séminaire d'intégration">
      <formula>LEFT(BE229,LEN("Séminaire d'intégration"))="Séminaire d'intégration"</formula>
    </cfRule>
    <cfRule type="beginsWith" dxfId="3631" priority="4267" operator="beginsWith" text="Accueil">
      <formula>LEFT(BE229,LEN("Accueil"))="Accueil"</formula>
    </cfRule>
    <cfRule type="beginsWith" dxfId="3630" priority="4268" operator="beginsWith" text="TOPHYC">
      <formula>LEFT(BE229,LEN("TOPHYC"))="TOPHYC"</formula>
    </cfRule>
    <cfRule type="beginsWith" dxfId="3629" priority="4269" operator="beginsWith" text="Global Exam">
      <formula>LEFT(BE229,LEN("Global Exam"))="Global Exam"</formula>
    </cfRule>
    <cfRule type="beginsWith" dxfId="3628" priority="4270" operator="beginsWith" text="Stage">
      <formula>LEFT(BE229,LEN("Stage"))="Stage"</formula>
    </cfRule>
    <cfRule type="beginsWith" dxfId="3627" priority="4271" operator="beginsWith" text="Entreprise">
      <formula>LEFT(BE229,LEN("Entreprise"))="Entreprise"</formula>
    </cfRule>
    <cfRule type="beginsWith" dxfId="3626" priority="4272" operator="beginsWith" text="TOMIC">
      <formula>LEFT(BE229,LEN("TOMIC"))="TOMIC"</formula>
    </cfRule>
    <cfRule type="beginsWith" dxfId="3625" priority="4273" operator="beginsWith" text="Voltaire">
      <formula>LEFT(BE229,LEN("Voltaire"))="Voltaire"</formula>
    </cfRule>
  </conditionalFormatting>
  <conditionalFormatting sqref="BE225">
    <cfRule type="beginsWith" dxfId="3624" priority="4288" operator="beginsWith" text="TOPHYC">
      <formula>LEFT(BE225,LEN("TOPHYC"))="TOPHYC"</formula>
    </cfRule>
    <cfRule type="beginsWith" dxfId="3623" priority="4289" operator="beginsWith" text="Global Exam">
      <formula>LEFT(BE225,LEN("Global Exam"))="Global Exam"</formula>
    </cfRule>
    <cfRule type="beginsWith" dxfId="3622" priority="4292" operator="beginsWith" text="TOMIC">
      <formula>LEFT(BE225,LEN("TOMIC"))="TOMIC"</formula>
    </cfRule>
  </conditionalFormatting>
  <conditionalFormatting sqref="BE226:BE228 BE230">
    <cfRule type="beginsWith" dxfId="3621" priority="4298" operator="beginsWith" text="TOPHYC">
      <formula>LEFT(BE226,LEN("TOPHYC"))="TOPHYC"</formula>
    </cfRule>
    <cfRule type="beginsWith" dxfId="3620" priority="4299" operator="beginsWith" text="Global Exam">
      <formula>LEFT(BE226,LEN("Global Exam"))="Global Exam"</formula>
    </cfRule>
    <cfRule type="beginsWith" dxfId="3619" priority="4302" operator="beginsWith" text="TOMIC">
      <formula>LEFT(BE226,LEN("TOMIC"))="TOMIC"</formula>
    </cfRule>
  </conditionalFormatting>
  <conditionalFormatting sqref="BE239:BE240">
    <cfRule type="beginsWith" dxfId="3618" priority="4258" operator="beginsWith" text="Vacances">
      <formula>LEFT(BE239,LEN("Vacances"))="Vacances"</formula>
    </cfRule>
  </conditionalFormatting>
  <conditionalFormatting sqref="BE239:BE240">
    <cfRule type="beginsWith" dxfId="3617" priority="4259" operator="beginsWith" text="Séminaire d'intégration">
      <formula>LEFT(BE239,LEN("Séminaire d'intégration"))="Séminaire d'intégration"</formula>
    </cfRule>
  </conditionalFormatting>
  <conditionalFormatting sqref="BE239:BE240">
    <cfRule type="beginsWith" dxfId="3616" priority="4260" operator="beginsWith" text="Accueil">
      <formula>LEFT(BE239,LEN("Accueil"))="Accueil"</formula>
    </cfRule>
  </conditionalFormatting>
  <conditionalFormatting sqref="BE239:BE240">
    <cfRule type="beginsWith" dxfId="3615" priority="4261" operator="beginsWith" text="Stage">
      <formula>LEFT(BE239,LEN("Stage"))="Stage"</formula>
    </cfRule>
    <cfRule type="beginsWith" dxfId="3614" priority="4262" operator="beginsWith" text="Entreprise">
      <formula>LEFT(BE239,LEN("Entreprise"))="Entreprise"</formula>
    </cfRule>
    <cfRule type="beginsWith" dxfId="3613" priority="4263" operator="beginsWith" text="Voltaire">
      <formula>LEFT(BE239,LEN("Voltaire"))="Voltaire"</formula>
    </cfRule>
  </conditionalFormatting>
  <conditionalFormatting sqref="BE236">
    <cfRule type="beginsWith" dxfId="3612" priority="4247" operator="beginsWith" text="Lancement Projet fil rouge">
      <formula>LEFT(BE236,LEN("Lancement Projet fil rouge"))="Lancement Projet fil rouge"</formula>
    </cfRule>
  </conditionalFormatting>
  <conditionalFormatting sqref="BE236">
    <cfRule type="beginsWith" dxfId="3611" priority="4248" operator="beginsWith" text="Vacances">
      <formula>LEFT(BE236,LEN("Vacances"))="Vacances"</formula>
    </cfRule>
  </conditionalFormatting>
  <conditionalFormatting sqref="BE236">
    <cfRule type="beginsWith" dxfId="3610" priority="4249" operator="beginsWith" text="Séminaire d'intégration">
      <formula>LEFT(BE236,LEN("Séminaire d'intégration"))="Séminaire d'intégration"</formula>
    </cfRule>
  </conditionalFormatting>
  <conditionalFormatting sqref="BE236">
    <cfRule type="beginsWith" dxfId="3609" priority="4250" operator="beginsWith" text="Accueil">
      <formula>LEFT(BE236,LEN("Accueil"))="Accueil"</formula>
    </cfRule>
  </conditionalFormatting>
  <conditionalFormatting sqref="BE236">
    <cfRule type="beginsWith" dxfId="3608" priority="4253" operator="beginsWith" text="Stage">
      <formula>LEFT(BE236,LEN("Stage"))="Stage"</formula>
    </cfRule>
    <cfRule type="beginsWith" dxfId="3607" priority="4254" operator="beginsWith" text="Entreprise">
      <formula>LEFT(BE236,LEN("Entreprise"))="Entreprise"</formula>
    </cfRule>
    <cfRule type="beginsWith" dxfId="3606" priority="4256" operator="beginsWith" text="Voltaire">
      <formula>LEFT(BE236,LEN("Voltaire"))="Voltaire"</formula>
    </cfRule>
  </conditionalFormatting>
  <conditionalFormatting sqref="BE236">
    <cfRule type="beginsWith" dxfId="3605" priority="4251" operator="beginsWith" text="TOPHYC">
      <formula>LEFT(BE236,LEN("TOPHYC"))="TOPHYC"</formula>
    </cfRule>
    <cfRule type="beginsWith" dxfId="3604" priority="4252" operator="beginsWith" text="Global Exam">
      <formula>LEFT(BE236,LEN("Global Exam"))="Global Exam"</formula>
    </cfRule>
    <cfRule type="beginsWith" dxfId="3603" priority="4255" operator="beginsWith" text="TOMIC">
      <formula>LEFT(BE236,LEN("TOMIC"))="TOMIC"</formula>
    </cfRule>
  </conditionalFormatting>
  <conditionalFormatting sqref="BE231:BE235">
    <cfRule type="beginsWith" dxfId="3602" priority="4240" operator="beginsWith" text="Lancement Projet fil rouge">
      <formula>LEFT(BE231,LEN("Lancement Projet fil rouge"))="Lancement Projet fil rouge"</formula>
    </cfRule>
  </conditionalFormatting>
  <conditionalFormatting sqref="BE231:BE235">
    <cfRule type="beginsWith" dxfId="3601" priority="4241" operator="beginsWith" text="Vacances">
      <formula>LEFT(BE231,LEN("Vacances"))="Vacances"</formula>
    </cfRule>
  </conditionalFormatting>
  <conditionalFormatting sqref="BE231:BE235">
    <cfRule type="beginsWith" dxfId="3600" priority="4242" operator="beginsWith" text="Séminaire d'intégration">
      <formula>LEFT(BE231,LEN("Séminaire d'intégration"))="Séminaire d'intégration"</formula>
    </cfRule>
  </conditionalFormatting>
  <conditionalFormatting sqref="BE231:BE235">
    <cfRule type="beginsWith" dxfId="3599" priority="4243" operator="beginsWith" text="Accueil">
      <formula>LEFT(BE231,LEN("Accueil"))="Accueil"</formula>
    </cfRule>
  </conditionalFormatting>
  <conditionalFormatting sqref="BE231:BE235">
    <cfRule type="beginsWith" dxfId="3598" priority="4244" operator="beginsWith" text="Stage">
      <formula>LEFT(BE231,LEN("Stage"))="Stage"</formula>
    </cfRule>
    <cfRule type="beginsWith" dxfId="3597" priority="4245" operator="beginsWith" text="Entreprise">
      <formula>LEFT(BE231,LEN("Entreprise"))="Entreprise"</formula>
    </cfRule>
    <cfRule type="beginsWith" dxfId="3596" priority="4246" operator="beginsWith" text="Voltaire">
      <formula>LEFT(BE231,LEN("Voltaire"))="Voltaire"</formula>
    </cfRule>
  </conditionalFormatting>
  <conditionalFormatting sqref="AN1:AN5 AP26:AS30 AP31 AR31:AS35 AR36:AT41 AR42 AT42 AR43:AT45 AQ46:AT50 AQ51:AS55 AP56:AT60 AS61:AT65 AQ61:AQ67 AP66:AP67 AN61:AN1048576 AS67:AS70 AP76 AQ71:AT95 AP96:AT105 AQ112:AT170 AP171:AT171 AQ172:AS175 AS176:AT180 AS191:AT192 AT193 AS194:AT194 AT196 AS197:AT198 AQ199:AT200 AQ201:AQ205 AS201:AT203 AT204 AS205:AT205 AR211:AT212 AR213 AT213 AR214:AT215 AQ232:AR240 AQ241:AT260 AP261:AT1048576 AT232:AT240 AP111:AT111 AQ106:AT110">
    <cfRule type="beginsWith" dxfId="3595" priority="4229" operator="beginsWith" text="Lancement Projet fil rouge">
      <formula>LEFT(AN1,LEN("Lancement Projet fil rouge"))="Lancement Projet fil rouge"</formula>
    </cfRule>
  </conditionalFormatting>
  <conditionalFormatting sqref="AQ6:AQ10">
    <cfRule type="notContainsBlanks" dxfId="3594" priority="3956">
      <formula>LEN(TRIM(AQ6))&gt;0</formula>
    </cfRule>
  </conditionalFormatting>
  <conditionalFormatting sqref="AQ16:AQ30 AQ46:AQ67 AQ71:AQ175 AQ195 AQ199:AQ205 AQ232:AQ260">
    <cfRule type="notContainsBlanks" dxfId="3593" priority="4239">
      <formula>LEN(TRIM(AQ16))&gt;0</formula>
    </cfRule>
  </conditionalFormatting>
  <conditionalFormatting sqref="AP1:AT2 AN1:AN5 AP5:AT5 AQ16:AT25 AP26:AS30 AP31 AR31:AS35 AR36:AT41 AR42 AT42 AR43:AT45 AQ46:AT50 AQ51:AS55 AP56:AT60 AS61:AT65 AQ61:AQ67 AP66:AP67 AN16:AN1048576 AS67:AS70 AP76 AQ71:AT95 AP96:AT105 AQ112:AT170 AP171:AT171 AQ172:AS175 AS176:AT180 AS191:AT192 AT193 AS194:AT194 AQ195:AT195 AT196 AS197:AT198 AQ199:AT200 AQ201:AQ205 AS201:AT203 AT204 AS205:AT205 AR211:AT212 AR213 AT213 AR214:AT215 AQ232:AR240 AQ241:AT260 AP261:AT1048576 AT232:AT240 AP111:AT111 AQ106:AT110">
    <cfRule type="beginsWith" dxfId="3592" priority="4230" operator="beginsWith" text="Vacances">
      <formula>LEFT(AN1,LEN("Vacances"))="Vacances"</formula>
    </cfRule>
  </conditionalFormatting>
  <conditionalFormatting sqref="AP1:AT2 AN1:AN5 AP5:AT5 AQ16:AT25 AP26:AS30 AP31 AR31:AS35 AR36:AT41 AR42 AT42 AR43:AT45 AQ46:AT50 AQ51:AS55 AP56:AT60 AS61:AT65 AQ61:AQ67 AP66:AP67 AN16:AN1048576 AS67:AS70 AP76 AQ71:AT95 AP96:AT105 AQ112:AT170 AP171:AT171 AQ172:AS175 AS176:AT180 AS191:AT192 AT193 AS194:AT194 AQ195:AT195 AT196 AS197:AT198 AQ199:AT200 AQ201:AQ205 AS201:AT203 AT204 AS205:AT205 AR211:AT212 AR213 AT213 AR214:AT215 AQ232:AR240 AQ241:AT260 AP261:AT1048576 AT232:AT240 AP111:AT111 AQ106:AT110">
    <cfRule type="beginsWith" dxfId="3591" priority="4231" operator="beginsWith" text="Séminaire d'intégration">
      <formula>LEFT(AN1,LEN("Séminaire d'intégration"))="Séminaire d'intégration"</formula>
    </cfRule>
  </conditionalFormatting>
  <conditionalFormatting sqref="AP1:AT2 AN1:AN5 AP5:AT5 AQ16:AT25 AP26:AS30 AP31 AR31:AS35 AR36:AT41 AR42 AT42 AR43:AT45 AQ46:AT50 AQ51:AS55 AP56:AT60 AS61:AT65 AQ61:AQ67 AP66:AP67 AN16:AN1048576 AS67:AS70 AP76 AQ71:AT95 AP96:AT105 AQ112:AT170 AP171:AT171 AQ172:AS175 AS176:AT180 AS191:AT192 AT193 AS194:AT194 AQ195:AT195 AT196 AS197:AT198 AQ199:AT200 AQ201:AQ205 AS201:AT203 AT204 AS205:AT205 AR211:AT212 AR213 AT213 AR214:AT215 AQ232:AR240 AQ241:AT260 AP261:AT1048576 AT232:AT240 AP111:AT111 AQ106:AT110">
    <cfRule type="beginsWith" dxfId="3590" priority="4232" operator="beginsWith" text="Accueil">
      <formula>LEFT(AN1,LEN("Accueil"))="Accueil"</formula>
    </cfRule>
  </conditionalFormatting>
  <conditionalFormatting sqref="AQ6:AT10 AN6:AN10">
    <cfRule type="beginsWith" dxfId="3589" priority="3946" operator="beginsWith" text="Lancement Projet fil rouge">
      <formula>LEFT(AN6,LEN("Lancement Projet fil rouge"))="Lancement Projet fil rouge"</formula>
    </cfRule>
    <cfRule type="beginsWith" dxfId="3588" priority="3947" operator="beginsWith" text="Vacances">
      <formula>LEFT(AN6,LEN("Vacances"))="Vacances"</formula>
    </cfRule>
    <cfRule type="beginsWith" dxfId="3587" priority="3948" operator="beginsWith" text="Séminaire d'intégration">
      <formula>LEFT(AN6,LEN("Séminaire d'intégration"))="Séminaire d'intégration"</formula>
    </cfRule>
    <cfRule type="beginsWith" dxfId="3586" priority="3949" operator="beginsWith" text="Accueil">
      <formula>LEFT(AN6,LEN("Accueil"))="Accueil"</formula>
    </cfRule>
    <cfRule type="beginsWith" dxfId="3585" priority="3952" operator="beginsWith" text="Stage">
      <formula>LEFT(AN6,LEN("Stage"))="Stage"</formula>
    </cfRule>
    <cfRule type="beginsWith" dxfId="3584" priority="3953" operator="beginsWith" text="Entreprise">
      <formula>LEFT(AN6,LEN("Entreprise"))="Entreprise"</formula>
    </cfRule>
    <cfRule type="beginsWith" dxfId="3583" priority="3955" operator="beginsWith" text="Voltaire">
      <formula>LEFT(AN6,LEN("Voltaire"))="Voltaire"</formula>
    </cfRule>
  </conditionalFormatting>
  <conditionalFormatting sqref="AQ11:AT15 AN11:AN15">
    <cfRule type="beginsWith" dxfId="3582" priority="4154" operator="beginsWith" text="Vacances">
      <formula>LEFT(AN11,LEN("Vacances"))="Vacances"</formula>
    </cfRule>
    <cfRule type="beginsWith" dxfId="3581" priority="4155" operator="beginsWith" text="Séminaire d'intégration">
      <formula>LEFT(AN11,LEN("Séminaire d'intégration"))="Séminaire d'intégration"</formula>
    </cfRule>
    <cfRule type="beginsWith" dxfId="3580" priority="4156" operator="beginsWith" text="Accueil">
      <formula>LEFT(AN11,LEN("Accueil"))="Accueil"</formula>
    </cfRule>
    <cfRule type="beginsWith" dxfId="3579" priority="4159" operator="beginsWith" text="Stage">
      <formula>LEFT(AN11,LEN("Stage"))="Stage"</formula>
    </cfRule>
    <cfRule type="beginsWith" dxfId="3578" priority="4160" operator="beginsWith" text="Entreprise">
      <formula>LEFT(AN11,LEN("Entreprise"))="Entreprise"</formula>
    </cfRule>
    <cfRule type="beginsWith" dxfId="3577" priority="4162" operator="beginsWith" text="Voltaire">
      <formula>LEFT(AN11,LEN("Voltaire"))="Voltaire"</formula>
    </cfRule>
  </conditionalFormatting>
  <conditionalFormatting sqref="AP1:AT2 AP5:AT5 AQ16:AT25 AP26:AS30 AR31:AS35 AR36:AT41 AT42 AR43:AT45 AQ46:AT50 AQ51:AS55 AP56:AT60 AS61:AT65 AS67:AS70 AQ71:AT75 AP76:AT76 AQ77:AT95 AP96:AT105 AQ112:AT170 AP171:AT171 AQ172:AS175 AS176:AT180 AS191:AT192 AT193 AS194:AT194 AQ195:AT195 AT196 AS197:AT198 AQ199:AT200 AS201:AT203 AT204 AS205:AT205 AR211:AT212 AT213 AR214:AT215 AQ241:AT260 AP261:AT1048576 AN1:AN5 AP31 AR42 AN16:AN1048576 AQ61:AQ67 AP66:AP67 AQ201:AQ205 AR213 AQ232:AR240 AT232:AT240 AP111:AT111 AQ106:AT110">
    <cfRule type="beginsWith" dxfId="3576" priority="4235" operator="beginsWith" text="Stage">
      <formula>LEFT(AN1,LEN("Stage"))="Stage"</formula>
    </cfRule>
    <cfRule type="beginsWith" dxfId="3575" priority="4236" operator="beginsWith" text="Entreprise">
      <formula>LEFT(AN1,LEN("Entreprise"))="Entreprise"</formula>
    </cfRule>
    <cfRule type="beginsWith" dxfId="3574" priority="4238" operator="beginsWith" text="Voltaire">
      <formula>LEFT(AN1,LEN("Voltaire"))="Voltaire"</formula>
    </cfRule>
  </conditionalFormatting>
  <conditionalFormatting sqref="AS1:AT2 AS5:AT5 AS16:AT25 AS26:AS35 AS36:AT41 AT42 AS43:AT50 AS51:AS55 AS56:AT65 AS67:AS70 AS71:AT171 AS172:AS175 AS176:AT180 AS191:AT192 AT193 AS194:AT195 AT196 AS197:AT203 AT204 AS205:AT205 AS211:AT212 AT213 AS214:AT215 AT232:AT240 AS241:AT1048576">
    <cfRule type="beginsWith" dxfId="3573" priority="4233" operator="beginsWith" text="TOPHYC">
      <formula>LEFT(AS1,LEN("TOPHYC"))="TOPHYC"</formula>
    </cfRule>
    <cfRule type="beginsWith" dxfId="3572" priority="4234" operator="beginsWith" text="Global Exam">
      <formula>LEFT(AS1,LEN("Global Exam"))="Global Exam"</formula>
    </cfRule>
    <cfRule type="beginsWith" dxfId="3571" priority="4237" operator="beginsWith" text="TOMIC">
      <formula>LEFT(AS1,LEN("TOMIC"))="TOMIC"</formula>
    </cfRule>
  </conditionalFormatting>
  <conditionalFormatting sqref="AQ11:AT25 AN11:AN60">
    <cfRule type="beginsWith" dxfId="3570" priority="4153" operator="beginsWith" text="Lancement Projet fil rouge">
      <formula>LEFT(AN11,LEN("Lancement Projet fil rouge"))="Lancement Projet fil rouge"</formula>
    </cfRule>
  </conditionalFormatting>
  <conditionalFormatting sqref="AP1:AT2 AP5:AT5">
    <cfRule type="beginsWith" dxfId="3569" priority="4152" operator="beginsWith" text="Lancement Projet fil rouge">
      <formula>LEFT(AP1,LEN("Lancement Projet fil rouge"))="Lancement Projet fil rouge"</formula>
    </cfRule>
  </conditionalFormatting>
  <conditionalFormatting sqref="AP6:AP10">
    <cfRule type="beginsWith" dxfId="3568" priority="3939" operator="beginsWith" text="Lancement Projet fil rouge">
      <formula>LEFT(AP6,LEN("Lancement Projet fil rouge"))="Lancement Projet fil rouge"</formula>
    </cfRule>
    <cfRule type="beginsWith" dxfId="3567" priority="3940" operator="beginsWith" text="Vacances">
      <formula>LEFT(AP6,LEN("Vacances"))="Vacances"</formula>
    </cfRule>
    <cfRule type="beginsWith" dxfId="3566" priority="3941" operator="beginsWith" text="Séminaire d'intégration">
      <formula>LEFT(AP6,LEN("Séminaire d'intégration"))="Séminaire d'intégration"</formula>
    </cfRule>
    <cfRule type="beginsWith" dxfId="3565" priority="3942" operator="beginsWith" text="Accueil">
      <formula>LEFT(AP6,LEN("Accueil"))="Accueil"</formula>
    </cfRule>
    <cfRule type="beginsWith" dxfId="3564" priority="3943" operator="beginsWith" text="Stage">
      <formula>LEFT(AP6,LEN("Stage"))="Stage"</formula>
    </cfRule>
    <cfRule type="beginsWith" dxfId="3563" priority="3944" operator="beginsWith" text="Entreprise">
      <formula>LEFT(AP6,LEN("Entreprise"))="Entreprise"</formula>
    </cfRule>
    <cfRule type="beginsWith" dxfId="3562" priority="3945" operator="beginsWith" text="Voltaire">
      <formula>LEFT(AP6,LEN("Voltaire"))="Voltaire"</formula>
    </cfRule>
  </conditionalFormatting>
  <conditionalFormatting sqref="AP11:AP15">
    <cfRule type="beginsWith" dxfId="3561" priority="3932" operator="beginsWith" text="Lancement Projet fil rouge">
      <formula>LEFT(AP11,LEN("Lancement Projet fil rouge"))="Lancement Projet fil rouge"</formula>
    </cfRule>
    <cfRule type="beginsWith" dxfId="3560" priority="3933" operator="beginsWith" text="Vacances">
      <formula>LEFT(AP11,LEN("Vacances"))="Vacances"</formula>
    </cfRule>
    <cfRule type="beginsWith" dxfId="3559" priority="3934" operator="beginsWith" text="Séminaire d'intégration">
      <formula>LEFT(AP11,LEN("Séminaire d'intégration"))="Séminaire d'intégration"</formula>
    </cfRule>
    <cfRule type="beginsWith" dxfId="3558" priority="3935" operator="beginsWith" text="Accueil">
      <formula>LEFT(AP11,LEN("Accueil"))="Accueil"</formula>
    </cfRule>
    <cfRule type="beginsWith" dxfId="3557" priority="3936" operator="beginsWith" text="Stage">
      <formula>LEFT(AP11,LEN("Stage"))="Stage"</formula>
    </cfRule>
    <cfRule type="beginsWith" dxfId="3556" priority="3937" operator="beginsWith" text="Entreprise">
      <formula>LEFT(AP11,LEN("Entreprise"))="Entreprise"</formula>
    </cfRule>
    <cfRule type="beginsWith" dxfId="3555" priority="3938" operator="beginsWith" text="Voltaire">
      <formula>LEFT(AP11,LEN("Voltaire"))="Voltaire"</formula>
    </cfRule>
  </conditionalFormatting>
  <conditionalFormatting sqref="AP16:AP20">
    <cfRule type="beginsWith" dxfId="3554" priority="3917" operator="beginsWith" text="Projet professionnel : Séminaire PFI">
      <formula>LEFT(AP16,LEN("Projet professionnel : Séminaire PFI"))="Projet professionnel : Séminaire PFI"</formula>
    </cfRule>
    <cfRule type="beginsWith" dxfId="3553" priority="3918" operator="beginsWith" text="Lancement Projet fil rouge">
      <formula>LEFT(AP16,LEN("Lancement Projet fil rouge"))="Lancement Projet fil rouge"</formula>
    </cfRule>
    <cfRule type="beginsWith" dxfId="3552" priority="3919" operator="beginsWith" text="Vacances">
      <formula>LEFT(AP16,LEN("Vacances"))="Vacances"</formula>
    </cfRule>
    <cfRule type="beginsWith" dxfId="3551" priority="3920" operator="beginsWith" text="Séminaire d'intégration">
      <formula>LEFT(AP16,LEN("Séminaire d'intégration"))="Séminaire d'intégration"</formula>
    </cfRule>
    <cfRule type="beginsWith" dxfId="3550" priority="3921" operator="beginsWith" text="Accueil">
      <formula>LEFT(AP16,LEN("Accueil"))="Accueil"</formula>
    </cfRule>
    <cfRule type="beginsWith" dxfId="3549" priority="3922" operator="beginsWith" text="Stage">
      <formula>LEFT(AP16,LEN("Stage"))="Stage"</formula>
    </cfRule>
    <cfRule type="beginsWith" dxfId="3548" priority="3923" operator="beginsWith" text="Entreprise">
      <formula>LEFT(AP16,LEN("Entreprise"))="Entreprise"</formula>
    </cfRule>
    <cfRule type="beginsWith" dxfId="3547" priority="3924" operator="beginsWith" text="Voltaire">
      <formula>LEFT(AP16,LEN("Voltaire"))="Voltaire"</formula>
    </cfRule>
  </conditionalFormatting>
  <conditionalFormatting sqref="AP21:AP25">
    <cfRule type="beginsWith" dxfId="3546" priority="3925" operator="beginsWith" text="Lancement Projet fil rouge">
      <formula>LEFT(AP21,LEN("Lancement Projet fil rouge"))="Lancement Projet fil rouge"</formula>
    </cfRule>
    <cfRule type="beginsWith" dxfId="3545" priority="3926" operator="beginsWith" text="Vacances">
      <formula>LEFT(AP21,LEN("Vacances"))="Vacances"</formula>
    </cfRule>
    <cfRule type="beginsWith" dxfId="3544" priority="3927" operator="beginsWith" text="Séminaire d'intégration">
      <formula>LEFT(AP21,LEN("Séminaire d'intégration"))="Séminaire d'intégration"</formula>
    </cfRule>
    <cfRule type="beginsWith" dxfId="3543" priority="3928" operator="beginsWith" text="Accueil">
      <formula>LEFT(AP21,LEN("Accueil"))="Accueil"</formula>
    </cfRule>
    <cfRule type="beginsWith" dxfId="3542" priority="3929" operator="beginsWith" text="Stage">
      <formula>LEFT(AP21,LEN("Stage"))="Stage"</formula>
    </cfRule>
    <cfRule type="beginsWith" dxfId="3541" priority="3930" operator="beginsWith" text="Entreprise">
      <formula>LEFT(AP21,LEN("Entreprise"))="Entreprise"</formula>
    </cfRule>
    <cfRule type="beginsWith" dxfId="3540" priority="3931" operator="beginsWith" text="Voltaire">
      <formula>LEFT(AP21,LEN("Voltaire"))="Voltaire"</formula>
    </cfRule>
  </conditionalFormatting>
  <conditionalFormatting sqref="AP41">
    <cfRule type="beginsWith" dxfId="3539" priority="3597" operator="beginsWith" text="Lancement Projet fil rouge">
      <formula>LEFT(AP41,LEN("Lancement Projet fil rouge"))="Lancement Projet fil rouge"</formula>
    </cfRule>
    <cfRule type="beginsWith" dxfId="3538" priority="3598" operator="beginsWith" text="Vacances">
      <formula>LEFT(AP41,LEN("Vacances"))="Vacances"</formula>
    </cfRule>
    <cfRule type="beginsWith" dxfId="3537" priority="3599" operator="beginsWith" text="Séminaire d'intégration">
      <formula>LEFT(AP41,LEN("Séminaire d'intégration"))="Séminaire d'intégration"</formula>
    </cfRule>
    <cfRule type="beginsWith" dxfId="3536" priority="3600" operator="beginsWith" text="Accueil">
      <formula>LEFT(AP41,LEN("Accueil"))="Accueil"</formula>
    </cfRule>
    <cfRule type="beginsWith" dxfId="3535" priority="3601" operator="beginsWith" text="Stage">
      <formula>LEFT(AP41,LEN("Stage"))="Stage"</formula>
    </cfRule>
    <cfRule type="beginsWith" dxfId="3534" priority="3602" operator="beginsWith" text="Entreprise">
      <formula>LEFT(AP41,LEN("Entreprise"))="Entreprise"</formula>
    </cfRule>
    <cfRule type="beginsWith" dxfId="3533" priority="3603" operator="beginsWith" text="Voltaire">
      <formula>LEFT(AP41,LEN("Voltaire"))="Voltaire"</formula>
    </cfRule>
  </conditionalFormatting>
  <conditionalFormatting sqref="AP61">
    <cfRule type="beginsWith" dxfId="3532" priority="4222" operator="beginsWith" text="Lancement Projet fil rouge">
      <formula>LEFT(AP61,LEN("Lancement Projet fil rouge"))="Lancement Projet fil rouge"</formula>
    </cfRule>
    <cfRule type="beginsWith" dxfId="3531" priority="4223" operator="beginsWith" text="Vacances">
      <formula>LEFT(AP61,LEN("Vacances"))="Vacances"</formula>
    </cfRule>
    <cfRule type="beginsWith" dxfId="3530" priority="4224" operator="beginsWith" text="Séminaire d'intégration">
      <formula>LEFT(AP61,LEN("Séminaire d'intégration"))="Séminaire d'intégration"</formula>
    </cfRule>
    <cfRule type="beginsWith" dxfId="3529" priority="4225" operator="beginsWith" text="Accueil">
      <formula>LEFT(AP61,LEN("Accueil"))="Accueil"</formula>
    </cfRule>
    <cfRule type="beginsWith" dxfId="3528" priority="4226" operator="beginsWith" text="Stage">
      <formula>LEFT(AP61,LEN("Stage"))="Stage"</formula>
    </cfRule>
    <cfRule type="beginsWith" dxfId="3527" priority="4227" operator="beginsWith" text="Entreprise">
      <formula>LEFT(AP61,LEN("Entreprise"))="Entreprise"</formula>
    </cfRule>
    <cfRule type="beginsWith" dxfId="3526" priority="4228" operator="beginsWith" text="Voltaire">
      <formula>LEFT(AP61,LEN("Voltaire"))="Voltaire"</formula>
    </cfRule>
  </conditionalFormatting>
  <conditionalFormatting sqref="AP68">
    <cfRule type="beginsWith" dxfId="3525" priority="4004" operator="beginsWith" text="Lancement Projet fil rouge">
      <formula>LEFT(AP68,LEN("Lancement Projet fil rouge"))="Lancement Projet fil rouge"</formula>
    </cfRule>
    <cfRule type="beginsWith" dxfId="3524" priority="4005" operator="beginsWith" text="Vacances">
      <formula>LEFT(AP68,LEN("Vacances"))="Vacances"</formula>
    </cfRule>
    <cfRule type="beginsWith" dxfId="3523" priority="4006" operator="beginsWith" text="Séminaire d'intégration">
      <formula>LEFT(AP68,LEN("Séminaire d'intégration"))="Séminaire d'intégration"</formula>
    </cfRule>
    <cfRule type="beginsWith" dxfId="3522" priority="4007" operator="beginsWith" text="Accueil">
      <formula>LEFT(AP68,LEN("Accueil"))="Accueil"</formula>
    </cfRule>
    <cfRule type="beginsWith" dxfId="3521" priority="4008" operator="beginsWith" text="Stage">
      <formula>LEFT(AP68,LEN("Stage"))="Stage"</formula>
    </cfRule>
    <cfRule type="beginsWith" dxfId="3520" priority="4009" operator="beginsWith" text="Entreprise">
      <formula>LEFT(AP68,LEN("Entreprise"))="Entreprise"</formula>
    </cfRule>
    <cfRule type="beginsWith" dxfId="3519" priority="4010" operator="beginsWith" text="Voltaire">
      <formula>LEFT(AP68,LEN("Voltaire"))="Voltaire"</formula>
    </cfRule>
  </conditionalFormatting>
  <conditionalFormatting sqref="AP172">
    <cfRule type="beginsWith" dxfId="3518" priority="3910" operator="beginsWith" text="Lancement Projet fil rouge">
      <formula>LEFT(AP172,LEN("Lancement Projet fil rouge"))="Lancement Projet fil rouge"</formula>
    </cfRule>
    <cfRule type="beginsWith" dxfId="3517" priority="3911" operator="beginsWith" text="Vacances">
      <formula>LEFT(AP172,LEN("Vacances"))="Vacances"</formula>
    </cfRule>
    <cfRule type="beginsWith" dxfId="3516" priority="3912" operator="beginsWith" text="Séminaire d'intégration">
      <formula>LEFT(AP172,LEN("Séminaire d'intégration"))="Séminaire d'intégration"</formula>
    </cfRule>
    <cfRule type="beginsWith" dxfId="3515" priority="3913" operator="beginsWith" text="Accueil">
      <formula>LEFT(AP172,LEN("Accueil"))="Accueil"</formula>
    </cfRule>
    <cfRule type="beginsWith" dxfId="3514" priority="3914" operator="beginsWith" text="Stage">
      <formula>LEFT(AP172,LEN("Stage"))="Stage"</formula>
    </cfRule>
    <cfRule type="beginsWith" dxfId="3513" priority="3915" operator="beginsWith" text="Entreprise">
      <formula>LEFT(AP172,LEN("Entreprise"))="Entreprise"</formula>
    </cfRule>
    <cfRule type="beginsWith" dxfId="3512" priority="3916" operator="beginsWith" text="Voltaire">
      <formula>LEFT(AP172,LEN("Voltaire"))="Voltaire"</formula>
    </cfRule>
  </conditionalFormatting>
  <conditionalFormatting sqref="AP176">
    <cfRule type="beginsWith" dxfId="3511" priority="3883" operator="beginsWith" text="Lancement Projet fil rouge">
      <formula>LEFT(AP176,LEN("Lancement Projet fil rouge"))="Lancement Projet fil rouge"</formula>
    </cfRule>
    <cfRule type="beginsWith" dxfId="3510" priority="3884" operator="beginsWith" text="Vacances">
      <formula>LEFT(AP176,LEN("Vacances"))="Vacances"</formula>
    </cfRule>
    <cfRule type="beginsWith" dxfId="3509" priority="3885" operator="beginsWith" text="Séminaire d'intégration">
      <formula>LEFT(AP176,LEN("Séminaire d'intégration"))="Séminaire d'intégration"</formula>
    </cfRule>
    <cfRule type="beginsWith" dxfId="3508" priority="3886" operator="beginsWith" text="Accueil">
      <formula>LEFT(AP176,LEN("Accueil"))="Accueil"</formula>
    </cfRule>
    <cfRule type="beginsWith" dxfId="3507" priority="3887" operator="beginsWith" text="Stage">
      <formula>LEFT(AP176,LEN("Stage"))="Stage"</formula>
    </cfRule>
    <cfRule type="beginsWith" dxfId="3506" priority="3888" operator="beginsWith" text="Entreprise">
      <formula>LEFT(AP176,LEN("Entreprise"))="Entreprise"</formula>
    </cfRule>
    <cfRule type="beginsWith" dxfId="3505" priority="3889" operator="beginsWith" text="Voltaire">
      <formula>LEFT(AP176,LEN("Voltaire"))="Voltaire"</formula>
    </cfRule>
  </conditionalFormatting>
  <conditionalFormatting sqref="AP180">
    <cfRule type="beginsWith" dxfId="3504" priority="3696" operator="beginsWith" text="Projet professionnel : Séminaire PFI">
      <formula>LEFT(AP180,LEN("Projet professionnel : Séminaire PFI"))="Projet professionnel : Séminaire PFI"</formula>
    </cfRule>
    <cfRule type="beginsWith" dxfId="3503" priority="3697" operator="beginsWith" text="Lancement Projet fil rouge">
      <formula>LEFT(AP180,LEN("Lancement Projet fil rouge"))="Lancement Projet fil rouge"</formula>
    </cfRule>
    <cfRule type="beginsWith" dxfId="3502" priority="3698" operator="beginsWith" text="Vacances">
      <formula>LEFT(AP180,LEN("Vacances"))="Vacances"</formula>
    </cfRule>
    <cfRule type="beginsWith" dxfId="3501" priority="3699" operator="beginsWith" text="Séminaire d'intégration">
      <formula>LEFT(AP180,LEN("Séminaire d'intégration"))="Séminaire d'intégration"</formula>
    </cfRule>
    <cfRule type="beginsWith" dxfId="3500" priority="3700" operator="beginsWith" text="Accueil">
      <formula>LEFT(AP180,LEN("Accueil"))="Accueil"</formula>
    </cfRule>
    <cfRule type="beginsWith" dxfId="3499" priority="3701" operator="beginsWith" text="TOPHYC">
      <formula>LEFT(AP180,LEN("TOPHYC"))="TOPHYC"</formula>
    </cfRule>
    <cfRule type="beginsWith" dxfId="3498" priority="3702" operator="beginsWith" text="Global Exam">
      <formula>LEFT(AP180,LEN("Global Exam"))="Global Exam"</formula>
    </cfRule>
    <cfRule type="beginsWith" dxfId="3497" priority="3703" operator="beginsWith" text="Stage">
      <formula>LEFT(AP180,LEN("Stage"))="Stage"</formula>
    </cfRule>
    <cfRule type="beginsWith" dxfId="3496" priority="3704" operator="beginsWith" text="Entreprise">
      <formula>LEFT(AP180,LEN("Entreprise"))="Entreprise"</formula>
    </cfRule>
    <cfRule type="beginsWith" dxfId="3495" priority="3705" operator="beginsWith" text="TOMIC">
      <formula>LEFT(AP180,LEN("TOMIC"))="TOMIC"</formula>
    </cfRule>
    <cfRule type="beginsWith" dxfId="3494" priority="3706" operator="beginsWith" text="Voltaire">
      <formula>LEFT(AP180,LEN("Voltaire"))="Voltaire"</formula>
    </cfRule>
  </conditionalFormatting>
  <conditionalFormatting sqref="AP181">
    <cfRule type="beginsWith" dxfId="3493" priority="3689" operator="beginsWith" text="Lancement Projet fil rouge">
      <formula>LEFT(AP181,LEN("Lancement Projet fil rouge"))="Lancement Projet fil rouge"</formula>
    </cfRule>
    <cfRule type="beginsWith" dxfId="3492" priority="3690" operator="beginsWith" text="Vacances">
      <formula>LEFT(AP181,LEN("Vacances"))="Vacances"</formula>
    </cfRule>
    <cfRule type="beginsWith" dxfId="3491" priority="3691" operator="beginsWith" text="Séminaire d'intégration">
      <formula>LEFT(AP181,LEN("Séminaire d'intégration"))="Séminaire d'intégration"</formula>
    </cfRule>
    <cfRule type="beginsWith" dxfId="3490" priority="3692" operator="beginsWith" text="Accueil">
      <formula>LEFT(AP181,LEN("Accueil"))="Accueil"</formula>
    </cfRule>
    <cfRule type="beginsWith" dxfId="3489" priority="3693" operator="beginsWith" text="Stage">
      <formula>LEFT(AP181,LEN("Stage"))="Stage"</formula>
    </cfRule>
    <cfRule type="beginsWith" dxfId="3488" priority="3694" operator="beginsWith" text="Entreprise">
      <formula>LEFT(AP181,LEN("Entreprise"))="Entreprise"</formula>
    </cfRule>
    <cfRule type="beginsWith" dxfId="3487" priority="3695" operator="beginsWith" text="Voltaire">
      <formula>LEFT(AP181,LEN("Voltaire"))="Voltaire"</formula>
    </cfRule>
  </conditionalFormatting>
  <conditionalFormatting sqref="AP185">
    <cfRule type="beginsWith" dxfId="3486" priority="3678" operator="beginsWith" text="Projet professionnel : Séminaire PFI">
      <formula>LEFT(AP185,LEN("Projet professionnel : Séminaire PFI"))="Projet professionnel : Séminaire PFI"</formula>
    </cfRule>
    <cfRule type="beginsWith" dxfId="3485" priority="3679" operator="beginsWith" text="Lancement Projet fil rouge">
      <formula>LEFT(AP185,LEN("Lancement Projet fil rouge"))="Lancement Projet fil rouge"</formula>
    </cfRule>
    <cfRule type="beginsWith" dxfId="3484" priority="3680" operator="beginsWith" text="Vacances">
      <formula>LEFT(AP185,LEN("Vacances"))="Vacances"</formula>
    </cfRule>
    <cfRule type="beginsWith" dxfId="3483" priority="3681" operator="beginsWith" text="Séminaire d'intégration">
      <formula>LEFT(AP185,LEN("Séminaire d'intégration"))="Séminaire d'intégration"</formula>
    </cfRule>
    <cfRule type="beginsWith" dxfId="3482" priority="3682" operator="beginsWith" text="Accueil">
      <formula>LEFT(AP185,LEN("Accueil"))="Accueil"</formula>
    </cfRule>
    <cfRule type="beginsWith" dxfId="3481" priority="3683" operator="beginsWith" text="TOPHYC">
      <formula>LEFT(AP185,LEN("TOPHYC"))="TOPHYC"</formula>
    </cfRule>
    <cfRule type="beginsWith" dxfId="3480" priority="3684" operator="beginsWith" text="Global Exam">
      <formula>LEFT(AP185,LEN("Global Exam"))="Global Exam"</formula>
    </cfRule>
    <cfRule type="beginsWith" dxfId="3479" priority="3685" operator="beginsWith" text="Stage">
      <formula>LEFT(AP185,LEN("Stage"))="Stage"</formula>
    </cfRule>
    <cfRule type="beginsWith" dxfId="3478" priority="3686" operator="beginsWith" text="Entreprise">
      <formula>LEFT(AP185,LEN("Entreprise"))="Entreprise"</formula>
    </cfRule>
    <cfRule type="beginsWith" dxfId="3477" priority="3687" operator="beginsWith" text="TOMIC">
      <formula>LEFT(AP185,LEN("TOMIC"))="TOMIC"</formula>
    </cfRule>
    <cfRule type="beginsWith" dxfId="3476" priority="3688" operator="beginsWith" text="Voltaire">
      <formula>LEFT(AP185,LEN("Voltaire"))="Voltaire"</formula>
    </cfRule>
  </conditionalFormatting>
  <conditionalFormatting sqref="AP186">
    <cfRule type="beginsWith" dxfId="3475" priority="3650" operator="beginsWith" text="Lancement Projet fil rouge">
      <formula>LEFT(AP186,LEN("Lancement Projet fil rouge"))="Lancement Projet fil rouge"</formula>
    </cfRule>
    <cfRule type="beginsWith" dxfId="3474" priority="3651" operator="beginsWith" text="Vacances">
      <formula>LEFT(AP186,LEN("Vacances"))="Vacances"</formula>
    </cfRule>
    <cfRule type="beginsWith" dxfId="3473" priority="3652" operator="beginsWith" text="Séminaire d'intégration">
      <formula>LEFT(AP186,LEN("Séminaire d'intégration"))="Séminaire d'intégration"</formula>
    </cfRule>
    <cfRule type="beginsWith" dxfId="3472" priority="3653" operator="beginsWith" text="Accueil">
      <formula>LEFT(AP186,LEN("Accueil"))="Accueil"</formula>
    </cfRule>
    <cfRule type="beginsWith" dxfId="3471" priority="3654" operator="beginsWith" text="Stage">
      <formula>LEFT(AP186,LEN("Stage"))="Stage"</formula>
    </cfRule>
    <cfRule type="beginsWith" dxfId="3470" priority="3655" operator="beginsWith" text="Entreprise">
      <formula>LEFT(AP186,LEN("Entreprise"))="Entreprise"</formula>
    </cfRule>
    <cfRule type="beginsWith" dxfId="3469" priority="3656" operator="beginsWith" text="Voltaire">
      <formula>LEFT(AP186,LEN("Voltaire"))="Voltaire"</formula>
    </cfRule>
  </conditionalFormatting>
  <conditionalFormatting sqref="AP191">
    <cfRule type="beginsWith" dxfId="3468" priority="4039" operator="beginsWith" text="Lancement Projet fil rouge">
      <formula>LEFT(AP191,LEN("Lancement Projet fil rouge"))="Lancement Projet fil rouge"</formula>
    </cfRule>
    <cfRule type="beginsWith" dxfId="3467" priority="4040" operator="beginsWith" text="Vacances">
      <formula>LEFT(AP191,LEN("Vacances"))="Vacances"</formula>
    </cfRule>
    <cfRule type="beginsWith" dxfId="3466" priority="4041" operator="beginsWith" text="Séminaire d'intégration">
      <formula>LEFT(AP191,LEN("Séminaire d'intégration"))="Séminaire d'intégration"</formula>
    </cfRule>
    <cfRule type="beginsWith" dxfId="3465" priority="4042" operator="beginsWith" text="Accueil">
      <formula>LEFT(AP191,LEN("Accueil"))="Accueil"</formula>
    </cfRule>
    <cfRule type="beginsWith" dxfId="3464" priority="4043" operator="beginsWith" text="Stage">
      <formula>LEFT(AP191,LEN("Stage"))="Stage"</formula>
    </cfRule>
    <cfRule type="beginsWith" dxfId="3463" priority="4044" operator="beginsWith" text="Entreprise">
      <formula>LEFT(AP191,LEN("Entreprise"))="Entreprise"</formula>
    </cfRule>
    <cfRule type="beginsWith" dxfId="3462" priority="4045" operator="beginsWith" text="Voltaire">
      <formula>LEFT(AP191,LEN("Voltaire"))="Voltaire"</formula>
    </cfRule>
  </conditionalFormatting>
  <conditionalFormatting sqref="AP193">
    <cfRule type="beginsWith" dxfId="3461" priority="3667" operator="beginsWith" text="Projet professionnel : Séminaire PFI">
      <formula>LEFT(AP193,LEN("Projet professionnel : Séminaire PFI"))="Projet professionnel : Séminaire PFI"</formula>
    </cfRule>
    <cfRule type="beginsWith" dxfId="3460" priority="3668" operator="beginsWith" text="Lancement Projet fil rouge">
      <formula>LEFT(AP193,LEN("Lancement Projet fil rouge"))="Lancement Projet fil rouge"</formula>
    </cfRule>
    <cfRule type="beginsWith" dxfId="3459" priority="3669" operator="beginsWith" text="Vacances">
      <formula>LEFT(AP193,LEN("Vacances"))="Vacances"</formula>
    </cfRule>
    <cfRule type="beginsWith" dxfId="3458" priority="3670" operator="beginsWith" text="Séminaire d'intégration">
      <formula>LEFT(AP193,LEN("Séminaire d'intégration"))="Séminaire d'intégration"</formula>
    </cfRule>
    <cfRule type="beginsWith" dxfId="3457" priority="3671" operator="beginsWith" text="Accueil">
      <formula>LEFT(AP193,LEN("Accueil"))="Accueil"</formula>
    </cfRule>
    <cfRule type="beginsWith" dxfId="3456" priority="3672" operator="beginsWith" text="TOPHYC">
      <formula>LEFT(AP193,LEN("TOPHYC"))="TOPHYC"</formula>
    </cfRule>
    <cfRule type="beginsWith" dxfId="3455" priority="3673" operator="beginsWith" text="Global Exam">
      <formula>LEFT(AP193,LEN("Global Exam"))="Global Exam"</formula>
    </cfRule>
    <cfRule type="beginsWith" dxfId="3454" priority="3674" operator="beginsWith" text="Stage">
      <formula>LEFT(AP193,LEN("Stage"))="Stage"</formula>
    </cfRule>
    <cfRule type="beginsWith" dxfId="3453" priority="3675" operator="beginsWith" text="Entreprise">
      <formula>LEFT(AP193,LEN("Entreprise"))="Entreprise"</formula>
    </cfRule>
    <cfRule type="beginsWith" dxfId="3452" priority="3676" operator="beginsWith" text="TOMIC">
      <formula>LEFT(AP193,LEN("TOMIC"))="TOMIC"</formula>
    </cfRule>
    <cfRule type="beginsWith" dxfId="3451" priority="3677" operator="beginsWith" text="Voltaire">
      <formula>LEFT(AP193,LEN("Voltaire"))="Voltaire"</formula>
    </cfRule>
  </conditionalFormatting>
  <conditionalFormatting sqref="AP195">
    <cfRule type="beginsWith" dxfId="3450" priority="4211" operator="beginsWith" text="Projet professionnel : Séminaire PFI">
      <formula>LEFT(AP195,LEN("Projet professionnel : Séminaire PFI"))="Projet professionnel : Séminaire PFI"</formula>
    </cfRule>
    <cfRule type="beginsWith" dxfId="3449" priority="4213" operator="beginsWith" text="Vacances">
      <formula>LEFT(AP195,LEN("Vacances"))="Vacances"</formula>
    </cfRule>
    <cfRule type="beginsWith" dxfId="3448" priority="4214" operator="beginsWith" text="Séminaire d'intégration">
      <formula>LEFT(AP195,LEN("Séminaire d'intégration"))="Séminaire d'intégration"</formula>
    </cfRule>
    <cfRule type="beginsWith" dxfId="3447" priority="4215" operator="beginsWith" text="Accueil">
      <formula>LEFT(AP195,LEN("Accueil"))="Accueil"</formula>
    </cfRule>
    <cfRule type="beginsWith" dxfId="3446" priority="4216" operator="beginsWith" text="TOPHYC">
      <formula>LEFT(AP195,LEN("TOPHYC"))="TOPHYC"</formula>
    </cfRule>
    <cfRule type="beginsWith" dxfId="3445" priority="4217" operator="beginsWith" text="Global Exam">
      <formula>LEFT(AP195,LEN("Global Exam"))="Global Exam"</formula>
    </cfRule>
    <cfRule type="beginsWith" dxfId="3444" priority="4218" operator="beginsWith" text="Stage">
      <formula>LEFT(AP195,LEN("Stage"))="Stage"</formula>
    </cfRule>
    <cfRule type="beginsWith" dxfId="3443" priority="4219" operator="beginsWith" text="Entreprise">
      <formula>LEFT(AP195,LEN("Entreprise"))="Entreprise"</formula>
    </cfRule>
    <cfRule type="beginsWith" dxfId="3442" priority="4220" operator="beginsWith" text="TOMIC">
      <formula>LEFT(AP195,LEN("TOMIC"))="TOMIC"</formula>
    </cfRule>
    <cfRule type="beginsWith" dxfId="3441" priority="4221" operator="beginsWith" text="Voltaire">
      <formula>LEFT(AP195,LEN("Voltaire"))="Voltaire"</formula>
    </cfRule>
  </conditionalFormatting>
  <conditionalFormatting sqref="AP196">
    <cfRule type="beginsWith" dxfId="3440" priority="3707" operator="beginsWith" text="Lancement Projet fil rouge">
      <formula>LEFT(AP196,LEN("Lancement Projet fil rouge"))="Lancement Projet fil rouge"</formula>
    </cfRule>
    <cfRule type="beginsWith" dxfId="3439" priority="3708" operator="beginsWith" text="Vacances">
      <formula>LEFT(AP196,LEN("Vacances"))="Vacances"</formula>
    </cfRule>
    <cfRule type="beginsWith" dxfId="3438" priority="3709" operator="beginsWith" text="Séminaire d'intégration">
      <formula>LEFT(AP196,LEN("Séminaire d'intégration"))="Séminaire d'intégration"</formula>
    </cfRule>
    <cfRule type="beginsWith" dxfId="3437" priority="3710" operator="beginsWith" text="Accueil">
      <formula>LEFT(AP196,LEN("Accueil"))="Accueil"</formula>
    </cfRule>
    <cfRule type="beginsWith" dxfId="3436" priority="3711" operator="beginsWith" text="Stage">
      <formula>LEFT(AP196,LEN("Stage"))="Stage"</formula>
    </cfRule>
    <cfRule type="beginsWith" dxfId="3435" priority="3712" operator="beginsWith" text="Entreprise">
      <formula>LEFT(AP196,LEN("Entreprise"))="Entreprise"</formula>
    </cfRule>
    <cfRule type="beginsWith" dxfId="3434" priority="3713" operator="beginsWith" text="Voltaire">
      <formula>LEFT(AP196,LEN("Voltaire"))="Voltaire"</formula>
    </cfRule>
  </conditionalFormatting>
  <conditionalFormatting sqref="AP200">
    <cfRule type="beginsWith" dxfId="3433" priority="4200" operator="beginsWith" text="Projet professionnel : Séminaire PFI">
      <formula>LEFT(AP200,LEN("Projet professionnel : Séminaire PFI"))="Projet professionnel : Séminaire PFI"</formula>
    </cfRule>
    <cfRule type="beginsWith" dxfId="3432" priority="4201" operator="beginsWith" text="Lancement Projet fil rouge">
      <formula>LEFT(AP200,LEN("Lancement Projet fil rouge"))="Lancement Projet fil rouge"</formula>
    </cfRule>
    <cfRule type="beginsWith" dxfId="3431" priority="4202" operator="beginsWith" text="Vacances">
      <formula>LEFT(AP200,LEN("Vacances"))="Vacances"</formula>
    </cfRule>
    <cfRule type="beginsWith" dxfId="3430" priority="4203" operator="beginsWith" text="Séminaire d'intégration">
      <formula>LEFT(AP200,LEN("Séminaire d'intégration"))="Séminaire d'intégration"</formula>
    </cfRule>
    <cfRule type="beginsWith" dxfId="3429" priority="4204" operator="beginsWith" text="Accueil">
      <formula>LEFT(AP200,LEN("Accueil"))="Accueil"</formula>
    </cfRule>
    <cfRule type="beginsWith" dxfId="3428" priority="4205" operator="beginsWith" text="TOPHYC">
      <formula>LEFT(AP200,LEN("TOPHYC"))="TOPHYC"</formula>
    </cfRule>
    <cfRule type="beginsWith" dxfId="3427" priority="4206" operator="beginsWith" text="Global Exam">
      <formula>LEFT(AP200,LEN("Global Exam"))="Global Exam"</formula>
    </cfRule>
    <cfRule type="beginsWith" dxfId="3426" priority="4207" operator="beginsWith" text="Stage">
      <formula>LEFT(AP200,LEN("Stage"))="Stage"</formula>
    </cfRule>
    <cfRule type="beginsWith" dxfId="3425" priority="4208" operator="beginsWith" text="Entreprise">
      <formula>LEFT(AP200,LEN("Entreprise"))="Entreprise"</formula>
    </cfRule>
    <cfRule type="beginsWith" dxfId="3424" priority="4209" operator="beginsWith" text="TOMIC">
      <formula>LEFT(AP200,LEN("TOMIC"))="TOMIC"</formula>
    </cfRule>
    <cfRule type="beginsWith" dxfId="3423" priority="4210" operator="beginsWith" text="Voltaire">
      <formula>LEFT(AP200,LEN("Voltaire"))="Voltaire"</formula>
    </cfRule>
  </conditionalFormatting>
  <conditionalFormatting sqref="AP201">
    <cfRule type="beginsWith" dxfId="3422" priority="3971" operator="beginsWith" text="Lancement Projet fil rouge">
      <formula>LEFT(AP201,LEN("Lancement Projet fil rouge"))="Lancement Projet fil rouge"</formula>
    </cfRule>
    <cfRule type="beginsWith" dxfId="3421" priority="3972" operator="beginsWith" text="Vacances">
      <formula>LEFT(AP201,LEN("Vacances"))="Vacances"</formula>
    </cfRule>
    <cfRule type="beginsWith" dxfId="3420" priority="3973" operator="beginsWith" text="Séminaire d'intégration">
      <formula>LEFT(AP201,LEN("Séminaire d'intégration"))="Séminaire d'intégration"</formula>
    </cfRule>
    <cfRule type="beginsWith" dxfId="3419" priority="3974" operator="beginsWith" text="Accueil">
      <formula>LEFT(AP201,LEN("Accueil"))="Accueil"</formula>
    </cfRule>
    <cfRule type="beginsWith" dxfId="3418" priority="3975" operator="beginsWith" text="Stage">
      <formula>LEFT(AP201,LEN("Stage"))="Stage"</formula>
    </cfRule>
    <cfRule type="beginsWith" dxfId="3417" priority="3976" operator="beginsWith" text="Entreprise">
      <formula>LEFT(AP201,LEN("Entreprise"))="Entreprise"</formula>
    </cfRule>
    <cfRule type="beginsWith" dxfId="3416" priority="3977" operator="beginsWith" text="Voltaire">
      <formula>LEFT(AP201,LEN("Voltaire"))="Voltaire"</formula>
    </cfRule>
  </conditionalFormatting>
  <conditionalFormatting sqref="AP205">
    <cfRule type="beginsWith" dxfId="3415" priority="4189" operator="beginsWith" text="Projet professionnel : Séminaire PFI">
      <formula>LEFT(AP205,LEN("Projet professionnel : Séminaire PFI"))="Projet professionnel : Séminaire PFI"</formula>
    </cfRule>
    <cfRule type="beginsWith" dxfId="3414" priority="4190" operator="beginsWith" text="Lancement Projet fil rouge">
      <formula>LEFT(AP205,LEN("Lancement Projet fil rouge"))="Lancement Projet fil rouge"</formula>
    </cfRule>
    <cfRule type="beginsWith" dxfId="3413" priority="4191" operator="beginsWith" text="Vacances">
      <formula>LEFT(AP205,LEN("Vacances"))="Vacances"</formula>
    </cfRule>
    <cfRule type="beginsWith" dxfId="3412" priority="4192" operator="beginsWith" text="Séminaire d'intégration">
      <formula>LEFT(AP205,LEN("Séminaire d'intégration"))="Séminaire d'intégration"</formula>
    </cfRule>
    <cfRule type="beginsWith" dxfId="3411" priority="4193" operator="beginsWith" text="Accueil">
      <formula>LEFT(AP205,LEN("Accueil"))="Accueil"</formula>
    </cfRule>
    <cfRule type="beginsWith" dxfId="3410" priority="4194" operator="beginsWith" text="TOPHYC">
      <formula>LEFT(AP205,LEN("TOPHYC"))="TOPHYC"</formula>
    </cfRule>
    <cfRule type="beginsWith" dxfId="3409" priority="4195" operator="beginsWith" text="Global Exam">
      <formula>LEFT(AP205,LEN("Global Exam"))="Global Exam"</formula>
    </cfRule>
    <cfRule type="beginsWith" dxfId="3408" priority="4196" operator="beginsWith" text="Stage">
      <formula>LEFT(AP205,LEN("Stage"))="Stage"</formula>
    </cfRule>
    <cfRule type="beginsWith" dxfId="3407" priority="4197" operator="beginsWith" text="Entreprise">
      <formula>LEFT(AP205,LEN("Entreprise"))="Entreprise"</formula>
    </cfRule>
    <cfRule type="beginsWith" dxfId="3406" priority="4198" operator="beginsWith" text="TOMIC">
      <formula>LEFT(AP205,LEN("TOMIC"))="TOMIC"</formula>
    </cfRule>
    <cfRule type="beginsWith" dxfId="3405" priority="4199" operator="beginsWith" text="Voltaire">
      <formula>LEFT(AP205,LEN("Voltaire"))="Voltaire"</formula>
    </cfRule>
  </conditionalFormatting>
  <conditionalFormatting sqref="AP206">
    <cfRule type="beginsWith" dxfId="3404" priority="4182" operator="beginsWith" text="Lancement Projet fil rouge">
      <formula>LEFT(AP206,LEN("Lancement Projet fil rouge"))="Lancement Projet fil rouge"</formula>
    </cfRule>
    <cfRule type="beginsWith" dxfId="3403" priority="4183" operator="beginsWith" text="Vacances">
      <formula>LEFT(AP206,LEN("Vacances"))="Vacances"</formula>
    </cfRule>
    <cfRule type="beginsWith" dxfId="3402" priority="4184" operator="beginsWith" text="Séminaire d'intégration">
      <formula>LEFT(AP206,LEN("Séminaire d'intégration"))="Séminaire d'intégration"</formula>
    </cfRule>
    <cfRule type="beginsWith" dxfId="3401" priority="4185" operator="beginsWith" text="Accueil">
      <formula>LEFT(AP206,LEN("Accueil"))="Accueil"</formula>
    </cfRule>
    <cfRule type="beginsWith" dxfId="3400" priority="4186" operator="beginsWith" text="Stage">
      <formula>LEFT(AP206,LEN("Stage"))="Stage"</formula>
    </cfRule>
    <cfRule type="beginsWith" dxfId="3399" priority="4187" operator="beginsWith" text="Entreprise">
      <formula>LEFT(AP206,LEN("Entreprise"))="Entreprise"</formula>
    </cfRule>
    <cfRule type="beginsWith" dxfId="3398" priority="4188" operator="beginsWith" text="Voltaire">
      <formula>LEFT(AP206,LEN("Voltaire"))="Voltaire"</formula>
    </cfRule>
  </conditionalFormatting>
  <conditionalFormatting sqref="AP207">
    <cfRule type="beginsWith" dxfId="3397" priority="3964" operator="beginsWith" text="Lancement Projet fil rouge">
      <formula>LEFT(AP207,LEN("Lancement Projet fil rouge"))="Lancement Projet fil rouge"</formula>
    </cfRule>
    <cfRule type="beginsWith" dxfId="3396" priority="3965" operator="beginsWith" text="Vacances">
      <formula>LEFT(AP207,LEN("Vacances"))="Vacances"</formula>
    </cfRule>
    <cfRule type="beginsWith" dxfId="3395" priority="3966" operator="beginsWith" text="Séminaire d'intégration">
      <formula>LEFT(AP207,LEN("Séminaire d'intégration"))="Séminaire d'intégration"</formula>
    </cfRule>
    <cfRule type="beginsWith" dxfId="3394" priority="3967" operator="beginsWith" text="Accueil">
      <formula>LEFT(AP207,LEN("Accueil"))="Accueil"</formula>
    </cfRule>
    <cfRule type="beginsWith" dxfId="3393" priority="3968" operator="beginsWith" text="Stage">
      <formula>LEFT(AP207,LEN("Stage"))="Stage"</formula>
    </cfRule>
    <cfRule type="beginsWith" dxfId="3392" priority="3969" operator="beginsWith" text="Entreprise">
      <formula>LEFT(AP207,LEN("Entreprise"))="Entreprise"</formula>
    </cfRule>
    <cfRule type="beginsWith" dxfId="3391" priority="3970" operator="beginsWith" text="Voltaire">
      <formula>LEFT(AP207,LEN("Voltaire"))="Voltaire"</formula>
    </cfRule>
  </conditionalFormatting>
  <conditionalFormatting sqref="AP210">
    <cfRule type="beginsWith" dxfId="3390" priority="3978" operator="beginsWith" text="Projet professionnel : Séminaire PFI">
      <formula>LEFT(AP210,LEN("Projet professionnel : Séminaire PFI"))="Projet professionnel : Séminaire PFI"</formula>
    </cfRule>
    <cfRule type="beginsWith" dxfId="3389" priority="3979" operator="beginsWith" text="Lancement Projet fil rouge">
      <formula>LEFT(AP210,LEN("Lancement Projet fil rouge"))="Lancement Projet fil rouge"</formula>
    </cfRule>
    <cfRule type="beginsWith" dxfId="3388" priority="3980" operator="beginsWith" text="Vacances">
      <formula>LEFT(AP210,LEN("Vacances"))="Vacances"</formula>
    </cfRule>
    <cfRule type="beginsWith" dxfId="3387" priority="3981" operator="beginsWith" text="Séminaire d'intégration">
      <formula>LEFT(AP210,LEN("Séminaire d'intégration"))="Séminaire d'intégration"</formula>
    </cfRule>
    <cfRule type="beginsWith" dxfId="3386" priority="3982" operator="beginsWith" text="Accueil">
      <formula>LEFT(AP210,LEN("Accueil"))="Accueil"</formula>
    </cfRule>
    <cfRule type="beginsWith" dxfId="3385" priority="3983" operator="beginsWith" text="TOPHYC">
      <formula>LEFT(AP210,LEN("TOPHYC"))="TOPHYC"</formula>
    </cfRule>
    <cfRule type="beginsWith" dxfId="3384" priority="3984" operator="beginsWith" text="Global Exam">
      <formula>LEFT(AP210,LEN("Global Exam"))="Global Exam"</formula>
    </cfRule>
    <cfRule type="beginsWith" dxfId="3383" priority="3985" operator="beginsWith" text="Stage">
      <formula>LEFT(AP210,LEN("Stage"))="Stage"</formula>
    </cfRule>
    <cfRule type="beginsWith" dxfId="3382" priority="3986" operator="beginsWith" text="Entreprise">
      <formula>LEFT(AP210,LEN("Entreprise"))="Entreprise"</formula>
    </cfRule>
    <cfRule type="beginsWith" dxfId="3381" priority="3987" operator="beginsWith" text="TOMIC">
      <formula>LEFT(AP210,LEN("TOMIC"))="TOMIC"</formula>
    </cfRule>
    <cfRule type="beginsWith" dxfId="3380" priority="3988" operator="beginsWith" text="Voltaire">
      <formula>LEFT(AP210,LEN("Voltaire"))="Voltaire"</formula>
    </cfRule>
  </conditionalFormatting>
  <conditionalFormatting sqref="AP211">
    <cfRule type="beginsWith" dxfId="3379" priority="4175" operator="beginsWith" text="Lancement Projet fil rouge">
      <formula>LEFT(AP211,LEN("Lancement Projet fil rouge"))="Lancement Projet fil rouge"</formula>
    </cfRule>
    <cfRule type="beginsWith" dxfId="3378" priority="4176" operator="beginsWith" text="Vacances">
      <formula>LEFT(AP211,LEN("Vacances"))="Vacances"</formula>
    </cfRule>
    <cfRule type="beginsWith" dxfId="3377" priority="4177" operator="beginsWith" text="Séminaire d'intégration">
      <formula>LEFT(AP211,LEN("Séminaire d'intégration"))="Séminaire d'intégration"</formula>
    </cfRule>
    <cfRule type="beginsWith" dxfId="3376" priority="4178" operator="beginsWith" text="Accueil">
      <formula>LEFT(AP211,LEN("Accueil"))="Accueil"</formula>
    </cfRule>
    <cfRule type="beginsWith" dxfId="3375" priority="4179" operator="beginsWith" text="Stage">
      <formula>LEFT(AP211,LEN("Stage"))="Stage"</formula>
    </cfRule>
    <cfRule type="beginsWith" dxfId="3374" priority="4180" operator="beginsWith" text="Entreprise">
      <formula>LEFT(AP211,LEN("Entreprise"))="Entreprise"</formula>
    </cfRule>
    <cfRule type="beginsWith" dxfId="3373" priority="4181" operator="beginsWith" text="Voltaire">
      <formula>LEFT(AP211,LEN("Voltaire"))="Voltaire"</formula>
    </cfRule>
  </conditionalFormatting>
  <conditionalFormatting sqref="AP215">
    <cfRule type="beginsWith" dxfId="3372" priority="4164" operator="beginsWith" text="Projet professionnel : Séminaire PFI">
      <formula>LEFT(AP215,LEN("Projet professionnel : Séminaire PFI"))="Projet professionnel : Séminaire PFI"</formula>
    </cfRule>
    <cfRule type="beginsWith" dxfId="3371" priority="4165" operator="beginsWith" text="Lancement Projet fil rouge">
      <formula>LEFT(AP215,LEN("Lancement Projet fil rouge"))="Lancement Projet fil rouge"</formula>
    </cfRule>
    <cfRule type="beginsWith" dxfId="3370" priority="4166" operator="beginsWith" text="Vacances">
      <formula>LEFT(AP215,LEN("Vacances"))="Vacances"</formula>
    </cfRule>
    <cfRule type="beginsWith" dxfId="3369" priority="4167" operator="beginsWith" text="Séminaire d'intégration">
      <formula>LEFT(AP215,LEN("Séminaire d'intégration"))="Séminaire d'intégration"</formula>
    </cfRule>
    <cfRule type="beginsWith" dxfId="3368" priority="4168" operator="beginsWith" text="Accueil">
      <formula>LEFT(AP215,LEN("Accueil"))="Accueil"</formula>
    </cfRule>
    <cfRule type="beginsWith" dxfId="3367" priority="4169" operator="beginsWith" text="TOPHYC">
      <formula>LEFT(AP215,LEN("TOPHYC"))="TOPHYC"</formula>
    </cfRule>
    <cfRule type="beginsWith" dxfId="3366" priority="4170" operator="beginsWith" text="Global Exam">
      <formula>LEFT(AP215,LEN("Global Exam"))="Global Exam"</formula>
    </cfRule>
    <cfRule type="beginsWith" dxfId="3365" priority="4171" operator="beginsWith" text="Stage">
      <formula>LEFT(AP215,LEN("Stage"))="Stage"</formula>
    </cfRule>
    <cfRule type="beginsWith" dxfId="3364" priority="4172" operator="beginsWith" text="Entreprise">
      <formula>LEFT(AP215,LEN("Entreprise"))="Entreprise"</formula>
    </cfRule>
    <cfRule type="beginsWith" dxfId="3363" priority="4173" operator="beginsWith" text="TOMIC">
      <formula>LEFT(AP215,LEN("TOMIC"))="TOMIC"</formula>
    </cfRule>
    <cfRule type="beginsWith" dxfId="3362" priority="4174" operator="beginsWith" text="Voltaire">
      <formula>LEFT(AP215,LEN("Voltaire"))="Voltaire"</formula>
    </cfRule>
  </conditionalFormatting>
  <conditionalFormatting sqref="AP216">
    <cfRule type="beginsWith" dxfId="3361" priority="3802" operator="beginsWith" text="Lancement Projet fil rouge">
      <formula>LEFT(AP216,LEN("Lancement Projet fil rouge"))="Lancement Projet fil rouge"</formula>
    </cfRule>
    <cfRule type="beginsWith" dxfId="3360" priority="3803" operator="beginsWith" text="Vacances">
      <formula>LEFT(AP216,LEN("Vacances"))="Vacances"</formula>
    </cfRule>
    <cfRule type="beginsWith" dxfId="3359" priority="3804" operator="beginsWith" text="Séminaire d'intégration">
      <formula>LEFT(AP216,LEN("Séminaire d'intégration"))="Séminaire d'intégration"</formula>
    </cfRule>
    <cfRule type="beginsWith" dxfId="3358" priority="3805" operator="beginsWith" text="Accueil">
      <formula>LEFT(AP216,LEN("Accueil"))="Accueil"</formula>
    </cfRule>
    <cfRule type="beginsWith" dxfId="3357" priority="3806" operator="beginsWith" text="Stage">
      <formula>LEFT(AP216,LEN("Stage"))="Stage"</formula>
    </cfRule>
    <cfRule type="beginsWith" dxfId="3356" priority="3807" operator="beginsWith" text="Entreprise">
      <formula>LEFT(AP216,LEN("Entreprise"))="Entreprise"</formula>
    </cfRule>
    <cfRule type="beginsWith" dxfId="3355" priority="3808" operator="beginsWith" text="Voltaire">
      <formula>LEFT(AP216,LEN("Voltaire"))="Voltaire"</formula>
    </cfRule>
  </conditionalFormatting>
  <conditionalFormatting sqref="AP220">
    <cfRule type="beginsWith" dxfId="3354" priority="3791" operator="beginsWith" text="Projet professionnel : Séminaire PFI">
      <formula>LEFT(AP220,LEN("Projet professionnel : Séminaire PFI"))="Projet professionnel : Séminaire PFI"</formula>
    </cfRule>
    <cfRule type="beginsWith" dxfId="3353" priority="3792" operator="beginsWith" text="Lancement Projet fil rouge">
      <formula>LEFT(AP220,LEN("Lancement Projet fil rouge"))="Lancement Projet fil rouge"</formula>
    </cfRule>
    <cfRule type="beginsWith" dxfId="3352" priority="3793" operator="beginsWith" text="Vacances">
      <formula>LEFT(AP220,LEN("Vacances"))="Vacances"</formula>
    </cfRule>
    <cfRule type="beginsWith" dxfId="3351" priority="3794" operator="beginsWith" text="Séminaire d'intégration">
      <formula>LEFT(AP220,LEN("Séminaire d'intégration"))="Séminaire d'intégration"</formula>
    </cfRule>
    <cfRule type="beginsWith" dxfId="3350" priority="3795" operator="beginsWith" text="Accueil">
      <formula>LEFT(AP220,LEN("Accueil"))="Accueil"</formula>
    </cfRule>
    <cfRule type="beginsWith" dxfId="3349" priority="3796" operator="beginsWith" text="TOPHYC">
      <formula>LEFT(AP220,LEN("TOPHYC"))="TOPHYC"</formula>
    </cfRule>
    <cfRule type="beginsWith" dxfId="3348" priority="3797" operator="beginsWith" text="Global Exam">
      <formula>LEFT(AP220,LEN("Global Exam"))="Global Exam"</formula>
    </cfRule>
    <cfRule type="beginsWith" dxfId="3347" priority="3798" operator="beginsWith" text="Stage">
      <formula>LEFT(AP220,LEN("Stage"))="Stage"</formula>
    </cfRule>
    <cfRule type="beginsWith" dxfId="3346" priority="3799" operator="beginsWith" text="Entreprise">
      <formula>LEFT(AP220,LEN("Entreprise"))="Entreprise"</formula>
    </cfRule>
    <cfRule type="beginsWith" dxfId="3345" priority="3800" operator="beginsWith" text="TOMIC">
      <formula>LEFT(AP220,LEN("TOMIC"))="TOMIC"</formula>
    </cfRule>
    <cfRule type="beginsWith" dxfId="3344" priority="3801" operator="beginsWith" text="Voltaire">
      <formula>LEFT(AP220,LEN("Voltaire"))="Voltaire"</formula>
    </cfRule>
  </conditionalFormatting>
  <conditionalFormatting sqref="AP221">
    <cfRule type="beginsWith" dxfId="3343" priority="3731" operator="beginsWith" text="Lancement Projet fil rouge">
      <formula>LEFT(AP221,LEN("Lancement Projet fil rouge"))="Lancement Projet fil rouge"</formula>
    </cfRule>
    <cfRule type="beginsWith" dxfId="3342" priority="3732" operator="beginsWith" text="Vacances">
      <formula>LEFT(AP221,LEN("Vacances"))="Vacances"</formula>
    </cfRule>
    <cfRule type="beginsWith" dxfId="3341" priority="3733" operator="beginsWith" text="Séminaire d'intégration">
      <formula>LEFT(AP221,LEN("Séminaire d'intégration"))="Séminaire d'intégration"</formula>
    </cfRule>
    <cfRule type="beginsWith" dxfId="3340" priority="3734" operator="beginsWith" text="Accueil">
      <formula>LEFT(AP221,LEN("Accueil"))="Accueil"</formula>
    </cfRule>
    <cfRule type="beginsWith" dxfId="3339" priority="3735" operator="beginsWith" text="Stage">
      <formula>LEFT(AP221,LEN("Stage"))="Stage"</formula>
    </cfRule>
    <cfRule type="beginsWith" dxfId="3338" priority="3736" operator="beginsWith" text="Entreprise">
      <formula>LEFT(AP221,LEN("Entreprise"))="Entreprise"</formula>
    </cfRule>
    <cfRule type="beginsWith" dxfId="3337" priority="3737" operator="beginsWith" text="Voltaire">
      <formula>LEFT(AP221,LEN("Voltaire"))="Voltaire"</formula>
    </cfRule>
  </conditionalFormatting>
  <conditionalFormatting sqref="AP222">
    <cfRule type="beginsWith" dxfId="3336" priority="3724" operator="beginsWith" text="Lancement Projet fil rouge">
      <formula>LEFT(AP222,LEN("Lancement Projet fil rouge"))="Lancement Projet fil rouge"</formula>
    </cfRule>
    <cfRule type="beginsWith" dxfId="3335" priority="3725" operator="beginsWith" text="Vacances">
      <formula>LEFT(AP222,LEN("Vacances"))="Vacances"</formula>
    </cfRule>
    <cfRule type="beginsWith" dxfId="3334" priority="3726" operator="beginsWith" text="Séminaire d'intégration">
      <formula>LEFT(AP222,LEN("Séminaire d'intégration"))="Séminaire d'intégration"</formula>
    </cfRule>
    <cfRule type="beginsWith" dxfId="3333" priority="3727" operator="beginsWith" text="Accueil">
      <formula>LEFT(AP222,LEN("Accueil"))="Accueil"</formula>
    </cfRule>
    <cfRule type="beginsWith" dxfId="3332" priority="3728" operator="beginsWith" text="Stage">
      <formula>LEFT(AP222,LEN("Stage"))="Stage"</formula>
    </cfRule>
    <cfRule type="beginsWith" dxfId="3331" priority="3729" operator="beginsWith" text="Entreprise">
      <formula>LEFT(AP222,LEN("Entreprise"))="Entreprise"</formula>
    </cfRule>
    <cfRule type="beginsWith" dxfId="3330" priority="3730" operator="beginsWith" text="Voltaire">
      <formula>LEFT(AP222,LEN("Voltaire"))="Voltaire"</formula>
    </cfRule>
  </conditionalFormatting>
  <conditionalFormatting sqref="AP195:AT195">
    <cfRule type="beginsWith" dxfId="3329" priority="4212" operator="beginsWith" text="Lancement Projet fil rouge">
      <formula>LEFT(AP195,LEN("Lancement Projet fil rouge"))="Lancement Projet fil rouge"</formula>
    </cfRule>
  </conditionalFormatting>
  <conditionalFormatting sqref="AQ11:AQ15">
    <cfRule type="notContainsBlanks" dxfId="3328" priority="4163">
      <formula>LEN(TRIM(AQ11))&gt;0</formula>
    </cfRule>
  </conditionalFormatting>
  <conditionalFormatting sqref="AQ31:AQ35">
    <cfRule type="beginsWith" dxfId="3327" priority="3571" operator="beginsWith" text="Lancement Projet fil rouge">
      <formula>LEFT(AQ31,LEN("Lancement Projet fil rouge"))="Lancement Projet fil rouge"</formula>
    </cfRule>
    <cfRule type="beginsWith" dxfId="3326" priority="3572" operator="beginsWith" text="Vacances">
      <formula>LEFT(AQ31,LEN("Vacances"))="Vacances"</formula>
    </cfRule>
    <cfRule type="beginsWith" dxfId="3325" priority="3573" operator="beginsWith" text="Séminaire d'intégration">
      <formula>LEFT(AQ31,LEN("Séminaire d'intégration"))="Séminaire d'intégration"</formula>
    </cfRule>
    <cfRule type="beginsWith" dxfId="3324" priority="3574" operator="beginsWith" text="Accueil">
      <formula>LEFT(AQ31,LEN("Accueil"))="Accueil"</formula>
    </cfRule>
    <cfRule type="beginsWith" dxfId="3323" priority="3575" operator="beginsWith" text="Stage">
      <formula>LEFT(AQ31,LEN("Stage"))="Stage"</formula>
    </cfRule>
    <cfRule type="beginsWith" dxfId="3322" priority="3576" operator="beginsWith" text="Entreprise">
      <formula>LEFT(AQ31,LEN("Entreprise"))="Entreprise"</formula>
    </cfRule>
    <cfRule type="beginsWith" dxfId="3321" priority="3577" operator="beginsWith" text="Voltaire">
      <formula>LEFT(AQ31,LEN("Voltaire"))="Voltaire"</formula>
    </cfRule>
    <cfRule type="notContainsBlanks" dxfId="3320" priority="3578">
      <formula>LEN(TRIM(AQ31))&gt;0</formula>
    </cfRule>
  </conditionalFormatting>
  <conditionalFormatting sqref="AQ36:AQ40">
    <cfRule type="beginsWith" dxfId="3319" priority="3563" operator="beginsWith" text="Lancement Projet fil rouge">
      <formula>LEFT(AQ36,LEN("Lancement Projet fil rouge"))="Lancement Projet fil rouge"</formula>
    </cfRule>
    <cfRule type="beginsWith" dxfId="3318" priority="3564" operator="beginsWith" text="Vacances">
      <formula>LEFT(AQ36,LEN("Vacances"))="Vacances"</formula>
    </cfRule>
    <cfRule type="beginsWith" dxfId="3317" priority="3565" operator="beginsWith" text="Séminaire d'intégration">
      <formula>LEFT(AQ36,LEN("Séminaire d'intégration"))="Séminaire d'intégration"</formula>
    </cfRule>
    <cfRule type="beginsWith" dxfId="3316" priority="3566" operator="beginsWith" text="Accueil">
      <formula>LEFT(AQ36,LEN("Accueil"))="Accueil"</formula>
    </cfRule>
    <cfRule type="beginsWith" dxfId="3315" priority="3567" operator="beginsWith" text="Stage">
      <formula>LEFT(AQ36,LEN("Stage"))="Stage"</formula>
    </cfRule>
    <cfRule type="beginsWith" dxfId="3314" priority="3568" operator="beginsWith" text="Entreprise">
      <formula>LEFT(AQ36,LEN("Entreprise"))="Entreprise"</formula>
    </cfRule>
    <cfRule type="beginsWith" dxfId="3313" priority="3569" operator="beginsWith" text="Voltaire">
      <formula>LEFT(AQ36,LEN("Voltaire"))="Voltaire"</formula>
    </cfRule>
    <cfRule type="notContainsBlanks" dxfId="3312" priority="3570">
      <formula>LEN(TRIM(AQ36))&gt;0</formula>
    </cfRule>
  </conditionalFormatting>
  <conditionalFormatting sqref="AQ41:AQ45">
    <cfRule type="beginsWith" dxfId="3311" priority="3579" operator="beginsWith" text="Lancement Projet fil rouge">
      <formula>LEFT(AQ41,LEN("Lancement Projet fil rouge"))="Lancement Projet fil rouge"</formula>
    </cfRule>
    <cfRule type="beginsWith" dxfId="3310" priority="3580" operator="beginsWith" text="Vacances">
      <formula>LEFT(AQ41,LEN("Vacances"))="Vacances"</formula>
    </cfRule>
    <cfRule type="beginsWith" dxfId="3309" priority="3581" operator="beginsWith" text="Séminaire d'intégration">
      <formula>LEFT(AQ41,LEN("Séminaire d'intégration"))="Séminaire d'intégration"</formula>
    </cfRule>
    <cfRule type="beginsWith" dxfId="3308" priority="3582" operator="beginsWith" text="Accueil">
      <formula>LEFT(AQ41,LEN("Accueil"))="Accueil"</formula>
    </cfRule>
    <cfRule type="beginsWith" dxfId="3307" priority="3583" operator="beginsWith" text="Stage">
      <formula>LEFT(AQ41,LEN("Stage"))="Stage"</formula>
    </cfRule>
    <cfRule type="beginsWith" dxfId="3306" priority="3584" operator="beginsWith" text="Entreprise">
      <formula>LEFT(AQ41,LEN("Entreprise"))="Entreprise"</formula>
    </cfRule>
    <cfRule type="beginsWith" dxfId="3305" priority="3585" operator="beginsWith" text="Voltaire">
      <formula>LEFT(AQ41,LEN("Voltaire"))="Voltaire"</formula>
    </cfRule>
    <cfRule type="notContainsBlanks" dxfId="3304" priority="3586">
      <formula>LEN(TRIM(AQ41))&gt;0</formula>
    </cfRule>
  </conditionalFormatting>
  <conditionalFormatting sqref="AQ68">
    <cfRule type="beginsWith" dxfId="3303" priority="3996" operator="beginsWith" text="Lancement Projet fil rouge">
      <formula>LEFT(AQ68,LEN("Lancement Projet fil rouge"))="Lancement Projet fil rouge"</formula>
    </cfRule>
    <cfRule type="beginsWith" dxfId="3302" priority="3997" operator="beginsWith" text="Vacances">
      <formula>LEFT(AQ68,LEN("Vacances"))="Vacances"</formula>
    </cfRule>
    <cfRule type="beginsWith" dxfId="3301" priority="3998" operator="beginsWith" text="Séminaire d'intégration">
      <formula>LEFT(AQ68,LEN("Séminaire d'intégration"))="Séminaire d'intégration"</formula>
    </cfRule>
    <cfRule type="beginsWith" dxfId="3300" priority="3999" operator="beginsWith" text="Accueil">
      <formula>LEFT(AQ68,LEN("Accueil"))="Accueil"</formula>
    </cfRule>
    <cfRule type="beginsWith" dxfId="3299" priority="4000" operator="beginsWith" text="Stage">
      <formula>LEFT(AQ68,LEN("Stage"))="Stage"</formula>
    </cfRule>
    <cfRule type="beginsWith" dxfId="3298" priority="4001" operator="beginsWith" text="Entreprise">
      <formula>LEFT(AQ68,LEN("Entreprise"))="Entreprise"</formula>
    </cfRule>
    <cfRule type="beginsWith" dxfId="3297" priority="4002" operator="beginsWith" text="Voltaire">
      <formula>LEFT(AQ68,LEN("Voltaire"))="Voltaire"</formula>
    </cfRule>
    <cfRule type="notContainsBlanks" dxfId="3296" priority="4003">
      <formula>LEN(TRIM(AQ68))&gt;0</formula>
    </cfRule>
  </conditionalFormatting>
  <conditionalFormatting sqref="AQ176:AQ180">
    <cfRule type="beginsWith" dxfId="3295" priority="3622" operator="beginsWith" text="Lancement Projet fil rouge">
      <formula>LEFT(AQ176,LEN("Lancement Projet fil rouge"))="Lancement Projet fil rouge"</formula>
    </cfRule>
    <cfRule type="beginsWith" dxfId="3294" priority="3623" operator="beginsWith" text="Vacances">
      <formula>LEFT(AQ176,LEN("Vacances"))="Vacances"</formula>
    </cfRule>
    <cfRule type="beginsWith" dxfId="3293" priority="3624" operator="beginsWith" text="Séminaire d'intégration">
      <formula>LEFT(AQ176,LEN("Séminaire d'intégration"))="Séminaire d'intégration"</formula>
    </cfRule>
    <cfRule type="beginsWith" dxfId="3292" priority="3625" operator="beginsWith" text="Accueil">
      <formula>LEFT(AQ176,LEN("Accueil"))="Accueil"</formula>
    </cfRule>
    <cfRule type="beginsWith" dxfId="3291" priority="3626" operator="beginsWith" text="Stage">
      <formula>LEFT(AQ176,LEN("Stage"))="Stage"</formula>
    </cfRule>
    <cfRule type="beginsWith" dxfId="3290" priority="3627" operator="beginsWith" text="Entreprise">
      <formula>LEFT(AQ176,LEN("Entreprise"))="Entreprise"</formula>
    </cfRule>
    <cfRule type="beginsWith" dxfId="3289" priority="3628" operator="beginsWith" text="Voltaire">
      <formula>LEFT(AQ176,LEN("Voltaire"))="Voltaire"</formula>
    </cfRule>
    <cfRule type="notContainsBlanks" dxfId="3288" priority="3629">
      <formula>LEN(TRIM(AQ176))&gt;0</formula>
    </cfRule>
  </conditionalFormatting>
  <conditionalFormatting sqref="AQ181:AQ185">
    <cfRule type="beginsWith" dxfId="3287" priority="3827" operator="beginsWith" text="Lancement Projet fil rouge">
      <formula>LEFT(AQ181,LEN("Lancement Projet fil rouge"))="Lancement Projet fil rouge"</formula>
    </cfRule>
    <cfRule type="beginsWith" dxfId="3286" priority="3828" operator="beginsWith" text="Vacances">
      <formula>LEFT(AQ181,LEN("Vacances"))="Vacances"</formula>
    </cfRule>
    <cfRule type="beginsWith" dxfId="3285" priority="3829" operator="beginsWith" text="Séminaire d'intégration">
      <formula>LEFT(AQ181,LEN("Séminaire d'intégration"))="Séminaire d'intégration"</formula>
    </cfRule>
    <cfRule type="beginsWith" dxfId="3284" priority="3830" operator="beginsWith" text="Accueil">
      <formula>LEFT(AQ181,LEN("Accueil"))="Accueil"</formula>
    </cfRule>
    <cfRule type="beginsWith" dxfId="3283" priority="3831" operator="beginsWith" text="Stage">
      <formula>LEFT(AQ181,LEN("Stage"))="Stage"</formula>
    </cfRule>
    <cfRule type="beginsWith" dxfId="3282" priority="3832" operator="beginsWith" text="Entreprise">
      <formula>LEFT(AQ181,LEN("Entreprise"))="Entreprise"</formula>
    </cfRule>
    <cfRule type="beginsWith" dxfId="3281" priority="3833" operator="beginsWith" text="Voltaire">
      <formula>LEFT(AQ181,LEN("Voltaire"))="Voltaire"</formula>
    </cfRule>
    <cfRule type="notContainsBlanks" dxfId="3280" priority="3834">
      <formula>LEN(TRIM(AQ181))&gt;0</formula>
    </cfRule>
  </conditionalFormatting>
  <conditionalFormatting sqref="AQ186:AQ189">
    <cfRule type="beginsWith" dxfId="3279" priority="3614" operator="beginsWith" text="Lancement Projet fil rouge">
      <formula>LEFT(AQ186,LEN("Lancement Projet fil rouge"))="Lancement Projet fil rouge"</formula>
    </cfRule>
    <cfRule type="beginsWith" dxfId="3278" priority="3615" operator="beginsWith" text="Vacances">
      <formula>LEFT(AQ186,LEN("Vacances"))="Vacances"</formula>
    </cfRule>
    <cfRule type="beginsWith" dxfId="3277" priority="3616" operator="beginsWith" text="Séminaire d'intégration">
      <formula>LEFT(AQ186,LEN("Séminaire d'intégration"))="Séminaire d'intégration"</formula>
    </cfRule>
    <cfRule type="beginsWith" dxfId="3276" priority="3617" operator="beginsWith" text="Accueil">
      <formula>LEFT(AQ186,LEN("Accueil"))="Accueil"</formula>
    </cfRule>
    <cfRule type="beginsWith" dxfId="3275" priority="3618" operator="beginsWith" text="Stage">
      <formula>LEFT(AQ186,LEN("Stage"))="Stage"</formula>
    </cfRule>
    <cfRule type="beginsWith" dxfId="3274" priority="3619" operator="beginsWith" text="Entreprise">
      <formula>LEFT(AQ186,LEN("Entreprise"))="Entreprise"</formula>
    </cfRule>
    <cfRule type="beginsWith" dxfId="3273" priority="3620" operator="beginsWith" text="Voltaire">
      <formula>LEFT(AQ186,LEN("Voltaire"))="Voltaire"</formula>
    </cfRule>
    <cfRule type="notContainsBlanks" dxfId="3272" priority="3621">
      <formula>LEN(TRIM(AQ186))&gt;0</formula>
    </cfRule>
  </conditionalFormatting>
  <conditionalFormatting sqref="AQ190">
    <cfRule type="notContainsBlanks" dxfId="3271" priority="4141">
      <formula>LEN(TRIM(AQ190))&gt;0</formula>
    </cfRule>
  </conditionalFormatting>
  <conditionalFormatting sqref="AQ191 AQ193">
    <cfRule type="beginsWith" dxfId="3270" priority="4031" operator="beginsWith" text="Lancement Projet fil rouge">
      <formula>LEFT(AQ191,LEN("Lancement Projet fil rouge"))="Lancement Projet fil rouge"</formula>
    </cfRule>
    <cfRule type="beginsWith" dxfId="3269" priority="4032" operator="beginsWith" text="Vacances">
      <formula>LEFT(AQ191,LEN("Vacances"))="Vacances"</formula>
    </cfRule>
    <cfRule type="beginsWith" dxfId="3268" priority="4033" operator="beginsWith" text="Séminaire d'intégration">
      <formula>LEFT(AQ191,LEN("Séminaire d'intégration"))="Séminaire d'intégration"</formula>
    </cfRule>
    <cfRule type="beginsWith" dxfId="3267" priority="4034" operator="beginsWith" text="Accueil">
      <formula>LEFT(AQ191,LEN("Accueil"))="Accueil"</formula>
    </cfRule>
    <cfRule type="beginsWith" dxfId="3266" priority="4035" operator="beginsWith" text="Stage">
      <formula>LEFT(AQ191,LEN("Stage"))="Stage"</formula>
    </cfRule>
    <cfRule type="beginsWith" dxfId="3265" priority="4036" operator="beginsWith" text="Entreprise">
      <formula>LEFT(AQ191,LEN("Entreprise"))="Entreprise"</formula>
    </cfRule>
    <cfRule type="beginsWith" dxfId="3264" priority="4037" operator="beginsWith" text="Voltaire">
      <formula>LEFT(AQ191,LEN("Voltaire"))="Voltaire"</formula>
    </cfRule>
  </conditionalFormatting>
  <conditionalFormatting sqref="AQ193 AQ191">
    <cfRule type="notContainsBlanks" dxfId="3263" priority="4038">
      <formula>LEN(TRIM(AQ191))&gt;0</formula>
    </cfRule>
  </conditionalFormatting>
  <conditionalFormatting sqref="AQ194">
    <cfRule type="beginsWith" dxfId="3262" priority="4087" operator="beginsWith" text="Lancement Projet fil rouge">
      <formula>LEFT(AQ194,LEN("Lancement Projet fil rouge"))="Lancement Projet fil rouge"</formula>
    </cfRule>
    <cfRule type="beginsWith" dxfId="3261" priority="4088" operator="beginsWith" text="Vacances">
      <formula>LEFT(AQ194,LEN("Vacances"))="Vacances"</formula>
    </cfRule>
    <cfRule type="beginsWith" dxfId="3260" priority="4089" operator="beginsWith" text="Séminaire d'intégration">
      <formula>LEFT(AQ194,LEN("Séminaire d'intégration"))="Séminaire d'intégration"</formula>
    </cfRule>
    <cfRule type="beginsWith" dxfId="3259" priority="4090" operator="beginsWith" text="Accueil">
      <formula>LEFT(AQ194,LEN("Accueil"))="Accueil"</formula>
    </cfRule>
    <cfRule type="beginsWith" dxfId="3258" priority="4091" operator="beginsWith" text="Stage">
      <formula>LEFT(AQ194,LEN("Stage"))="Stage"</formula>
    </cfRule>
    <cfRule type="beginsWith" dxfId="3257" priority="4092" operator="beginsWith" text="Entreprise">
      <formula>LEFT(AQ194,LEN("Entreprise"))="Entreprise"</formula>
    </cfRule>
    <cfRule type="beginsWith" dxfId="3256" priority="4093" operator="beginsWith" text="Voltaire">
      <formula>LEFT(AQ194,LEN("Voltaire"))="Voltaire"</formula>
    </cfRule>
    <cfRule type="notContainsBlanks" dxfId="3255" priority="4094">
      <formula>LEN(TRIM(AQ194))&gt;0</formula>
    </cfRule>
  </conditionalFormatting>
  <conditionalFormatting sqref="AQ196:AQ198">
    <cfRule type="beginsWith" dxfId="3254" priority="3817" operator="beginsWith" text="Lancement Projet fil rouge">
      <formula>LEFT(AQ196,LEN("Lancement Projet fil rouge"))="Lancement Projet fil rouge"</formula>
    </cfRule>
    <cfRule type="beginsWith" dxfId="3253" priority="3818" operator="beginsWith" text="Vacances">
      <formula>LEFT(AQ196,LEN("Vacances"))="Vacances"</formula>
    </cfRule>
    <cfRule type="beginsWith" dxfId="3252" priority="3819" operator="beginsWith" text="Séminaire d'intégration">
      <formula>LEFT(AQ196,LEN("Séminaire d'intégration"))="Séminaire d'intégration"</formula>
    </cfRule>
    <cfRule type="beginsWith" dxfId="3251" priority="3820" operator="beginsWith" text="Accueil">
      <formula>LEFT(AQ196,LEN("Accueil"))="Accueil"</formula>
    </cfRule>
    <cfRule type="beginsWith" dxfId="3250" priority="3821" operator="beginsWith" text="TOPHYC">
      <formula>LEFT(AQ196,LEN("TOPHYC"))="TOPHYC"</formula>
    </cfRule>
    <cfRule type="beginsWith" dxfId="3249" priority="3822" operator="beginsWith" text="Global Exam">
      <formula>LEFT(AQ196,LEN("Global Exam"))="Global Exam"</formula>
    </cfRule>
    <cfRule type="beginsWith" dxfId="3248" priority="3823" operator="beginsWith" text="Stage">
      <formula>LEFT(AQ196,LEN("Stage"))="Stage"</formula>
    </cfRule>
    <cfRule type="beginsWith" dxfId="3247" priority="3824" operator="beginsWith" text="Entreprise">
      <formula>LEFT(AQ196,LEN("Entreprise"))="Entreprise"</formula>
    </cfRule>
    <cfRule type="beginsWith" dxfId="3246" priority="3825" operator="beginsWith" text="TOMIC">
      <formula>LEFT(AQ196,LEN("TOMIC"))="TOMIC"</formula>
    </cfRule>
    <cfRule type="beginsWith" dxfId="3245" priority="3826" operator="beginsWith" text="Voltaire">
      <formula>LEFT(AQ196,LEN("Voltaire"))="Voltaire"</formula>
    </cfRule>
  </conditionalFormatting>
  <conditionalFormatting sqref="AQ206:AQ210">
    <cfRule type="notContainsBlanks" dxfId="3244" priority="4105">
      <formula>LEN(TRIM(AQ206))&gt;0</formula>
    </cfRule>
  </conditionalFormatting>
  <conditionalFormatting sqref="AQ211:AQ215">
    <cfRule type="beginsWith" dxfId="3243" priority="3809" operator="beginsWith" text="Lancement Projet fil rouge">
      <formula>LEFT(AQ211,LEN("Lancement Projet fil rouge"))="Lancement Projet fil rouge"</formula>
    </cfRule>
    <cfRule type="beginsWith" dxfId="3242" priority="3810" operator="beginsWith" text="Vacances">
      <formula>LEFT(AQ211,LEN("Vacances"))="Vacances"</formula>
    </cfRule>
    <cfRule type="beginsWith" dxfId="3241" priority="3811" operator="beginsWith" text="Séminaire d'intégration">
      <formula>LEFT(AQ211,LEN("Séminaire d'intégration"))="Séminaire d'intégration"</formula>
    </cfRule>
    <cfRule type="beginsWith" dxfId="3240" priority="3812" operator="beginsWith" text="Accueil">
      <formula>LEFT(AQ211,LEN("Accueil"))="Accueil"</formula>
    </cfRule>
    <cfRule type="beginsWith" dxfId="3239" priority="3813" operator="beginsWith" text="Stage">
      <formula>LEFT(AQ211,LEN("Stage"))="Stage"</formula>
    </cfRule>
    <cfRule type="beginsWith" dxfId="3238" priority="3814" operator="beginsWith" text="Entreprise">
      <formula>LEFT(AQ211,LEN("Entreprise"))="Entreprise"</formula>
    </cfRule>
    <cfRule type="beginsWith" dxfId="3237" priority="3815" operator="beginsWith" text="Voltaire">
      <formula>LEFT(AQ211,LEN("Voltaire"))="Voltaire"</formula>
    </cfRule>
    <cfRule type="notContainsBlanks" dxfId="3236" priority="3816">
      <formula>LEN(TRIM(AQ211))&gt;0</formula>
    </cfRule>
  </conditionalFormatting>
  <conditionalFormatting sqref="AQ216:AQ220 AS216:AS217">
    <cfRule type="beginsWith" dxfId="3235" priority="4106" operator="beginsWith" text="Lancement Projet fil rouge">
      <formula>LEFT(AQ216,LEN("Lancement Projet fil rouge"))="Lancement Projet fil rouge"</formula>
    </cfRule>
    <cfRule type="beginsWith" dxfId="3234" priority="4107" operator="beginsWith" text="Vacances">
      <formula>LEFT(AQ216,LEN("Vacances"))="Vacances"</formula>
    </cfRule>
    <cfRule type="beginsWith" dxfId="3233" priority="4108" operator="beginsWith" text="Séminaire d'intégration">
      <formula>LEFT(AQ216,LEN("Séminaire d'intégration"))="Séminaire d'intégration"</formula>
    </cfRule>
    <cfRule type="beginsWith" dxfId="3232" priority="4109" operator="beginsWith" text="Accueil">
      <formula>LEFT(AQ216,LEN("Accueil"))="Accueil"</formula>
    </cfRule>
    <cfRule type="beginsWith" dxfId="3231" priority="4112" operator="beginsWith" text="Stage">
      <formula>LEFT(AQ216,LEN("Stage"))="Stage"</formula>
    </cfRule>
    <cfRule type="beginsWith" dxfId="3230" priority="4113" operator="beginsWith" text="Entreprise">
      <formula>LEFT(AQ216,LEN("Entreprise"))="Entreprise"</formula>
    </cfRule>
    <cfRule type="beginsWith" dxfId="3229" priority="4115" operator="beginsWith" text="Voltaire">
      <formula>LEFT(AQ216,LEN("Voltaire"))="Voltaire"</formula>
    </cfRule>
  </conditionalFormatting>
  <conditionalFormatting sqref="AQ216:AQ220">
    <cfRule type="notContainsBlanks" dxfId="3228" priority="4116">
      <formula>LEN(TRIM(AQ216))&gt;0</formula>
    </cfRule>
  </conditionalFormatting>
  <conditionalFormatting sqref="AQ221:AQ225">
    <cfRule type="notContainsBlanks" dxfId="3227" priority="3770">
      <formula>LEN(TRIM(AQ221))&gt;0</formula>
    </cfRule>
  </conditionalFormatting>
  <conditionalFormatting sqref="AQ226:AQ230">
    <cfRule type="notContainsBlanks" dxfId="3226" priority="3759">
      <formula>LEN(TRIM(AQ226))&gt;0</formula>
    </cfRule>
  </conditionalFormatting>
  <conditionalFormatting sqref="AQ231">
    <cfRule type="notContainsBlanks" dxfId="3225" priority="3748">
      <formula>LEN(TRIM(AQ231))&gt;0</formula>
    </cfRule>
  </conditionalFormatting>
  <conditionalFormatting sqref="AQ206:AR206 AQ207:AQ210 AS210:AT210 AT206:AT209">
    <cfRule type="beginsWith" dxfId="3224" priority="4095" operator="beginsWith" text="Lancement Projet fil rouge">
      <formula>LEFT(AQ206,LEN("Lancement Projet fil rouge"))="Lancement Projet fil rouge"</formula>
    </cfRule>
    <cfRule type="beginsWith" dxfId="3223" priority="4096" operator="beginsWith" text="Vacances">
      <formula>LEFT(AQ206,LEN("Vacances"))="Vacances"</formula>
    </cfRule>
    <cfRule type="beginsWith" dxfId="3222" priority="4097" operator="beginsWith" text="Séminaire d'intégration">
      <formula>LEFT(AQ206,LEN("Séminaire d'intégration"))="Séminaire d'intégration"</formula>
    </cfRule>
    <cfRule type="beginsWith" dxfId="3221" priority="4098" operator="beginsWith" text="Accueil">
      <formula>LEFT(AQ206,LEN("Accueil"))="Accueil"</formula>
    </cfRule>
    <cfRule type="beginsWith" dxfId="3220" priority="4101" operator="beginsWith" text="Stage">
      <formula>LEFT(AQ206,LEN("Stage"))="Stage"</formula>
    </cfRule>
    <cfRule type="beginsWith" dxfId="3219" priority="4102" operator="beginsWith" text="Entreprise">
      <formula>LEFT(AQ206,LEN("Entreprise"))="Entreprise"</formula>
    </cfRule>
    <cfRule type="beginsWith" dxfId="3218" priority="4104" operator="beginsWith" text="Voltaire">
      <formula>LEFT(AQ206,LEN("Voltaire"))="Voltaire"</formula>
    </cfRule>
  </conditionalFormatting>
  <conditionalFormatting sqref="AQ190:AT190 AS186:AT188 AT189">
    <cfRule type="beginsWith" dxfId="3217" priority="4131" operator="beginsWith" text="Lancement Projet fil rouge">
      <formula>LEFT(AQ186,LEN("Lancement Projet fil rouge"))="Lancement Projet fil rouge"</formula>
    </cfRule>
    <cfRule type="beginsWith" dxfId="3216" priority="4132" operator="beginsWith" text="Vacances">
      <formula>LEFT(AQ186,LEN("Vacances"))="Vacances"</formula>
    </cfRule>
    <cfRule type="beginsWith" dxfId="3215" priority="4133" operator="beginsWith" text="Séminaire d'intégration">
      <formula>LEFT(AQ186,LEN("Séminaire d'intégration"))="Séminaire d'intégration"</formula>
    </cfRule>
    <cfRule type="beginsWith" dxfId="3214" priority="4134" operator="beginsWith" text="Accueil">
      <formula>LEFT(AQ186,LEN("Accueil"))="Accueil"</formula>
    </cfRule>
    <cfRule type="beginsWith" dxfId="3213" priority="4137" operator="beginsWith" text="Stage">
      <formula>LEFT(AQ186,LEN("Stage"))="Stage"</formula>
    </cfRule>
    <cfRule type="beginsWith" dxfId="3212" priority="4138" operator="beginsWith" text="Entreprise">
      <formula>LEFT(AQ186,LEN("Entreprise"))="Entreprise"</formula>
    </cfRule>
    <cfRule type="beginsWith" dxfId="3211" priority="4140" operator="beginsWith" text="Voltaire">
      <formula>LEFT(AQ186,LEN("Voltaire"))="Voltaire"</formula>
    </cfRule>
  </conditionalFormatting>
  <conditionalFormatting sqref="AQ225:AT225 AQ221:AT222 AQ223:AR224 AT223:AT224">
    <cfRule type="beginsWith" dxfId="3210" priority="3760" operator="beginsWith" text="Lancement Projet fil rouge">
      <formula>LEFT(AQ221,LEN("Lancement Projet fil rouge"))="Lancement Projet fil rouge"</formula>
    </cfRule>
    <cfRule type="beginsWith" dxfId="3209" priority="3761" operator="beginsWith" text="Vacances">
      <formula>LEFT(AQ221,LEN("Vacances"))="Vacances"</formula>
    </cfRule>
    <cfRule type="beginsWith" dxfId="3208" priority="3762" operator="beginsWith" text="Séminaire d'intégration">
      <formula>LEFT(AQ221,LEN("Séminaire d'intégration"))="Séminaire d'intégration"</formula>
    </cfRule>
    <cfRule type="beginsWith" dxfId="3207" priority="3763" operator="beginsWith" text="Accueil">
      <formula>LEFT(AQ221,LEN("Accueil"))="Accueil"</formula>
    </cfRule>
    <cfRule type="beginsWith" dxfId="3206" priority="3766" operator="beginsWith" text="Stage">
      <formula>LEFT(AQ221,LEN("Stage"))="Stage"</formula>
    </cfRule>
    <cfRule type="beginsWith" dxfId="3205" priority="3767" operator="beginsWith" text="Entreprise">
      <formula>LEFT(AQ221,LEN("Entreprise"))="Entreprise"</formula>
    </cfRule>
    <cfRule type="beginsWith" dxfId="3204" priority="3769" operator="beginsWith" text="Voltaire">
      <formula>LEFT(AQ221,LEN("Voltaire"))="Voltaire"</formula>
    </cfRule>
  </conditionalFormatting>
  <conditionalFormatting sqref="AQ226:AT227 AQ230:AT230 AQ228:AR229 AT228:AT229">
    <cfRule type="beginsWith" dxfId="3203" priority="3749" operator="beginsWith" text="Lancement Projet fil rouge">
      <formula>LEFT(AQ226,LEN("Lancement Projet fil rouge"))="Lancement Projet fil rouge"</formula>
    </cfRule>
    <cfRule type="beginsWith" dxfId="3202" priority="3750" operator="beginsWith" text="Vacances">
      <formula>LEFT(AQ226,LEN("Vacances"))="Vacances"</formula>
    </cfRule>
    <cfRule type="beginsWith" dxfId="3201" priority="3751" operator="beginsWith" text="Séminaire d'intégration">
      <formula>LEFT(AQ226,LEN("Séminaire d'intégration"))="Séminaire d'intégration"</formula>
    </cfRule>
    <cfRule type="beginsWith" dxfId="3200" priority="3752" operator="beginsWith" text="Accueil">
      <formula>LEFT(AQ226,LEN("Accueil"))="Accueil"</formula>
    </cfRule>
    <cfRule type="beginsWith" dxfId="3199" priority="3755" operator="beginsWith" text="Stage">
      <formula>LEFT(AQ226,LEN("Stage"))="Stage"</formula>
    </cfRule>
    <cfRule type="beginsWith" dxfId="3198" priority="3756" operator="beginsWith" text="Entreprise">
      <formula>LEFT(AQ226,LEN("Entreprise"))="Entreprise"</formula>
    </cfRule>
    <cfRule type="beginsWith" dxfId="3197" priority="3758" operator="beginsWith" text="Voltaire">
      <formula>LEFT(AQ226,LEN("Voltaire"))="Voltaire"</formula>
    </cfRule>
  </conditionalFormatting>
  <conditionalFormatting sqref="AQ231:AR231 AT231">
    <cfRule type="beginsWith" dxfId="3196" priority="3738" operator="beginsWith" text="Lancement Projet fil rouge">
      <formula>LEFT(AQ231,LEN("Lancement Projet fil rouge"))="Lancement Projet fil rouge"</formula>
    </cfRule>
    <cfRule type="beginsWith" dxfId="3195" priority="3739" operator="beginsWith" text="Vacances">
      <formula>LEFT(AQ231,LEN("Vacances"))="Vacances"</formula>
    </cfRule>
    <cfRule type="beginsWith" dxfId="3194" priority="3740" operator="beginsWith" text="Séminaire d'intégration">
      <formula>LEFT(AQ231,LEN("Séminaire d'intégration"))="Séminaire d'intégration"</formula>
    </cfRule>
    <cfRule type="beginsWith" dxfId="3193" priority="3741" operator="beginsWith" text="Accueil">
      <formula>LEFT(AQ231,LEN("Accueil"))="Accueil"</formula>
    </cfRule>
    <cfRule type="beginsWith" dxfId="3192" priority="3744" operator="beginsWith" text="Stage">
      <formula>LEFT(AQ231,LEN("Stage"))="Stage"</formula>
    </cfRule>
    <cfRule type="beginsWith" dxfId="3191" priority="3745" operator="beginsWith" text="Entreprise">
      <formula>LEFT(AQ231,LEN("Entreprise"))="Entreprise"</formula>
    </cfRule>
    <cfRule type="beginsWith" dxfId="3190" priority="3747" operator="beginsWith" text="Voltaire">
      <formula>LEFT(AQ231,LEN("Voltaire"))="Voltaire"</formula>
    </cfRule>
  </conditionalFormatting>
  <conditionalFormatting sqref="AR61">
    <cfRule type="beginsWith" dxfId="3189" priority="4056" operator="beginsWith" text="Lancement Projet fil rouge">
      <formula>LEFT(AR61,LEN("Lancement Projet fil rouge"))="Lancement Projet fil rouge"</formula>
    </cfRule>
    <cfRule type="beginsWith" dxfId="3188" priority="4057" operator="beginsWith" text="Vacances">
      <formula>LEFT(AR61,LEN("Vacances"))="Vacances"</formula>
    </cfRule>
    <cfRule type="beginsWith" dxfId="3187" priority="4058" operator="beginsWith" text="Séminaire d'intégration">
      <formula>LEFT(AR61,LEN("Séminaire d'intégration"))="Séminaire d'intégration"</formula>
    </cfRule>
    <cfRule type="beginsWith" dxfId="3186" priority="4059" operator="beginsWith" text="Accueil">
      <formula>LEFT(AR61,LEN("Accueil"))="Accueil"</formula>
    </cfRule>
    <cfRule type="beginsWith" dxfId="3185" priority="4060" operator="beginsWith" text="Stage">
      <formula>LEFT(AR61,LEN("Stage"))="Stage"</formula>
    </cfRule>
    <cfRule type="beginsWith" dxfId="3184" priority="4061" operator="beginsWith" text="Entreprise">
      <formula>LEFT(AR61,LEN("Entreprise"))="Entreprise"</formula>
    </cfRule>
    <cfRule type="beginsWith" dxfId="3183" priority="4062" operator="beginsWith" text="Voltaire">
      <formula>LEFT(AR61,LEN("Voltaire"))="Voltaire"</formula>
    </cfRule>
  </conditionalFormatting>
  <conditionalFormatting sqref="AR66:AR67">
    <cfRule type="beginsWith" dxfId="3182" priority="4080" operator="beginsWith" text="Lancement Projet fil rouge">
      <formula>LEFT(AR66,LEN("Lancement Projet fil rouge"))="Lancement Projet fil rouge"</formula>
    </cfRule>
    <cfRule type="beginsWith" dxfId="3181" priority="4081" operator="beginsWith" text="Vacances">
      <formula>LEFT(AR66,LEN("Vacances"))="Vacances"</formula>
    </cfRule>
    <cfRule type="beginsWith" dxfId="3180" priority="4082" operator="beginsWith" text="Séminaire d'intégration">
      <formula>LEFT(AR66,LEN("Séminaire d'intégration"))="Séminaire d'intégration"</formula>
    </cfRule>
    <cfRule type="beginsWith" dxfId="3179" priority="4083" operator="beginsWith" text="Accueil">
      <formula>LEFT(AR66,LEN("Accueil"))="Accueil"</formula>
    </cfRule>
    <cfRule type="beginsWith" dxfId="3178" priority="4084" operator="beginsWith" text="Stage">
      <formula>LEFT(AR66,LEN("Stage"))="Stage"</formula>
    </cfRule>
    <cfRule type="beginsWith" dxfId="3177" priority="4085" operator="beginsWith" text="Entreprise">
      <formula>LEFT(AR66,LEN("Entreprise"))="Entreprise"</formula>
    </cfRule>
    <cfRule type="beginsWith" dxfId="3176" priority="4086" operator="beginsWith" text="Voltaire">
      <formula>LEFT(AR66,LEN("Voltaire"))="Voltaire"</formula>
    </cfRule>
  </conditionalFormatting>
  <conditionalFormatting sqref="AR68">
    <cfRule type="beginsWith" dxfId="3175" priority="3989" operator="beginsWith" text="Lancement Projet fil rouge">
      <formula>LEFT(AR68,LEN("Lancement Projet fil rouge"))="Lancement Projet fil rouge"</formula>
    </cfRule>
    <cfRule type="beginsWith" dxfId="3174" priority="3990" operator="beginsWith" text="Vacances">
      <formula>LEFT(AR68,LEN("Vacances"))="Vacances"</formula>
    </cfRule>
    <cfRule type="beginsWith" dxfId="3173" priority="3991" operator="beginsWith" text="Séminaire d'intégration">
      <formula>LEFT(AR68,LEN("Séminaire d'intégration"))="Séminaire d'intégration"</formula>
    </cfRule>
    <cfRule type="beginsWith" dxfId="3172" priority="3992" operator="beginsWith" text="Accueil">
      <formula>LEFT(AR68,LEN("Accueil"))="Accueil"</formula>
    </cfRule>
    <cfRule type="beginsWith" dxfId="3171" priority="3993" operator="beginsWith" text="Stage">
      <formula>LEFT(AR68,LEN("Stage"))="Stage"</formula>
    </cfRule>
    <cfRule type="beginsWith" dxfId="3170" priority="3994" operator="beginsWith" text="Entreprise">
      <formula>LEFT(AR68,LEN("Entreprise"))="Entreprise"</formula>
    </cfRule>
    <cfRule type="beginsWith" dxfId="3169" priority="3995" operator="beginsWith" text="Voltaire">
      <formula>LEFT(AR68,LEN("Voltaire"))="Voltaire"</formula>
    </cfRule>
  </conditionalFormatting>
  <conditionalFormatting sqref="AR176">
    <cfRule type="beginsWith" dxfId="3168" priority="3876" operator="beginsWith" text="Lancement Projet fil rouge">
      <formula>LEFT(AR176,LEN("Lancement Projet fil rouge"))="Lancement Projet fil rouge"</formula>
    </cfRule>
    <cfRule type="beginsWith" dxfId="3167" priority="3877" operator="beginsWith" text="Vacances">
      <formula>LEFT(AR176,LEN("Vacances"))="Vacances"</formula>
    </cfRule>
    <cfRule type="beginsWith" dxfId="3166" priority="3878" operator="beginsWith" text="Séminaire d'intégration">
      <formula>LEFT(AR176,LEN("Séminaire d'intégration"))="Séminaire d'intégration"</formula>
    </cfRule>
    <cfRule type="beginsWith" dxfId="3165" priority="3879" operator="beginsWith" text="Accueil">
      <formula>LEFT(AR176,LEN("Accueil"))="Accueil"</formula>
    </cfRule>
    <cfRule type="beginsWith" dxfId="3164" priority="3880" operator="beginsWith" text="Stage">
      <formula>LEFT(AR176,LEN("Stage"))="Stage"</formula>
    </cfRule>
    <cfRule type="beginsWith" dxfId="3163" priority="3881" operator="beginsWith" text="Entreprise">
      <formula>LEFT(AR176,LEN("Entreprise"))="Entreprise"</formula>
    </cfRule>
    <cfRule type="beginsWith" dxfId="3162" priority="3882" operator="beginsWith" text="Voltaire">
      <formula>LEFT(AR176,LEN("Voltaire"))="Voltaire"</formula>
    </cfRule>
  </conditionalFormatting>
  <conditionalFormatting sqref="AR181">
    <cfRule type="beginsWith" dxfId="3161" priority="3869" operator="beginsWith" text="Lancement Projet fil rouge">
      <formula>LEFT(AR181,LEN("Lancement Projet fil rouge"))="Lancement Projet fil rouge"</formula>
    </cfRule>
    <cfRule type="beginsWith" dxfId="3160" priority="3870" operator="beginsWith" text="Vacances">
      <formula>LEFT(AR181,LEN("Vacances"))="Vacances"</formula>
    </cfRule>
    <cfRule type="beginsWith" dxfId="3159" priority="3871" operator="beginsWith" text="Séminaire d'intégration">
      <formula>LEFT(AR181,LEN("Séminaire d'intégration"))="Séminaire d'intégration"</formula>
    </cfRule>
    <cfRule type="beginsWith" dxfId="3158" priority="3872" operator="beginsWith" text="Accueil">
      <formula>LEFT(AR181,LEN("Accueil"))="Accueil"</formula>
    </cfRule>
    <cfRule type="beginsWith" dxfId="3157" priority="3873" operator="beginsWith" text="Stage">
      <formula>LEFT(AR181,LEN("Stage"))="Stage"</formula>
    </cfRule>
    <cfRule type="beginsWith" dxfId="3156" priority="3874" operator="beginsWith" text="Entreprise">
      <formula>LEFT(AR181,LEN("Entreprise"))="Entreprise"</formula>
    </cfRule>
    <cfRule type="beginsWith" dxfId="3155" priority="3875" operator="beginsWith" text="Voltaire">
      <formula>LEFT(AR181,LEN("Voltaire"))="Voltaire"</formula>
    </cfRule>
  </conditionalFormatting>
  <conditionalFormatting sqref="AR186">
    <cfRule type="beginsWith" dxfId="3154" priority="3862" operator="beginsWith" text="Lancement Projet fil rouge">
      <formula>LEFT(AR186,LEN("Lancement Projet fil rouge"))="Lancement Projet fil rouge"</formula>
    </cfRule>
    <cfRule type="beginsWith" dxfId="3153" priority="3863" operator="beginsWith" text="Vacances">
      <formula>LEFT(AR186,LEN("Vacances"))="Vacances"</formula>
    </cfRule>
    <cfRule type="beginsWith" dxfId="3152" priority="3864" operator="beginsWith" text="Séminaire d'intégration">
      <formula>LEFT(AR186,LEN("Séminaire d'intégration"))="Séminaire d'intégration"</formula>
    </cfRule>
    <cfRule type="beginsWith" dxfId="3151" priority="3865" operator="beginsWith" text="Accueil">
      <formula>LEFT(AR186,LEN("Accueil"))="Accueil"</formula>
    </cfRule>
    <cfRule type="beginsWith" dxfId="3150" priority="3866" operator="beginsWith" text="Stage">
      <formula>LEFT(AR186,LEN("Stage"))="Stage"</formula>
    </cfRule>
    <cfRule type="beginsWith" dxfId="3149" priority="3867" operator="beginsWith" text="Entreprise">
      <formula>LEFT(AR186,LEN("Entreprise"))="Entreprise"</formula>
    </cfRule>
    <cfRule type="beginsWith" dxfId="3148" priority="3868" operator="beginsWith" text="Voltaire">
      <formula>LEFT(AR186,LEN("Voltaire"))="Voltaire"</formula>
    </cfRule>
  </conditionalFormatting>
  <conditionalFormatting sqref="AR191">
    <cfRule type="beginsWith" dxfId="3147" priority="4124" operator="beginsWith" text="Lancement Projet fil rouge">
      <formula>LEFT(AR191,LEN("Lancement Projet fil rouge"))="Lancement Projet fil rouge"</formula>
    </cfRule>
    <cfRule type="beginsWith" dxfId="3146" priority="4125" operator="beginsWith" text="Vacances">
      <formula>LEFT(AR191,LEN("Vacances"))="Vacances"</formula>
    </cfRule>
    <cfRule type="beginsWith" dxfId="3145" priority="4126" operator="beginsWith" text="Séminaire d'intégration">
      <formula>LEFT(AR191,LEN("Séminaire d'intégration"))="Séminaire d'intégration"</formula>
    </cfRule>
    <cfRule type="beginsWith" dxfId="3144" priority="4127" operator="beginsWith" text="Accueil">
      <formula>LEFT(AR191,LEN("Accueil"))="Accueil"</formula>
    </cfRule>
    <cfRule type="beginsWith" dxfId="3143" priority="4128" operator="beginsWith" text="Stage">
      <formula>LEFT(AR191,LEN("Stage"))="Stage"</formula>
    </cfRule>
    <cfRule type="beginsWith" dxfId="3142" priority="4129" operator="beginsWith" text="Entreprise">
      <formula>LEFT(AR191,LEN("Entreprise"))="Entreprise"</formula>
    </cfRule>
    <cfRule type="beginsWith" dxfId="3141" priority="4130" operator="beginsWith" text="Voltaire">
      <formula>LEFT(AR191,LEN("Voltaire"))="Voltaire"</formula>
    </cfRule>
  </conditionalFormatting>
  <conditionalFormatting sqref="AR196:AR198">
    <cfRule type="beginsWith" dxfId="3140" priority="3835" operator="beginsWith" text="Lancement Projet fil rouge">
      <formula>LEFT(AR196,LEN("Lancement Projet fil rouge"))="Lancement Projet fil rouge"</formula>
    </cfRule>
    <cfRule type="beginsWith" dxfId="3139" priority="3836" operator="beginsWith" text="Vacances">
      <formula>LEFT(AR196,LEN("Vacances"))="Vacances"</formula>
    </cfRule>
    <cfRule type="beginsWith" dxfId="3138" priority="3837" operator="beginsWith" text="Séminaire d'intégration">
      <formula>LEFT(AR196,LEN("Séminaire d'intégration"))="Séminaire d'intégration"</formula>
    </cfRule>
    <cfRule type="beginsWith" dxfId="3137" priority="3838" operator="beginsWith" text="Accueil">
      <formula>LEFT(AR196,LEN("Accueil"))="Accueil"</formula>
    </cfRule>
    <cfRule type="beginsWith" dxfId="3136" priority="3839" operator="beginsWith" text="TOPHYC">
      <formula>LEFT(AR196,LEN("TOPHYC"))="TOPHYC"</formula>
    </cfRule>
    <cfRule type="beginsWith" dxfId="3135" priority="3840" operator="beginsWith" text="Global Exam">
      <formula>LEFT(AR196,LEN("Global Exam"))="Global Exam"</formula>
    </cfRule>
    <cfRule type="beginsWith" dxfId="3134" priority="3841" operator="beginsWith" text="Stage">
      <formula>LEFT(AR196,LEN("Stage"))="Stage"</formula>
    </cfRule>
    <cfRule type="beginsWith" dxfId="3133" priority="3842" operator="beginsWith" text="Entreprise">
      <formula>LEFT(AR196,LEN("Entreprise"))="Entreprise"</formula>
    </cfRule>
    <cfRule type="beginsWith" dxfId="3132" priority="3843" operator="beginsWith" text="TOMIC">
      <formula>LEFT(AR196,LEN("TOMIC"))="TOMIC"</formula>
    </cfRule>
    <cfRule type="beginsWith" dxfId="3131" priority="3844" operator="beginsWith" text="Voltaire">
      <formula>LEFT(AR196,LEN("Voltaire"))="Voltaire"</formula>
    </cfRule>
  </conditionalFormatting>
  <conditionalFormatting sqref="AR201">
    <cfRule type="beginsWith" dxfId="3130" priority="4117" operator="beginsWith" text="Lancement Projet fil rouge">
      <formula>LEFT(AR201,LEN("Lancement Projet fil rouge"))="Lancement Projet fil rouge"</formula>
    </cfRule>
    <cfRule type="beginsWith" dxfId="3129" priority="4118" operator="beginsWith" text="Vacances">
      <formula>LEFT(AR201,LEN("Vacances"))="Vacances"</formula>
    </cfRule>
    <cfRule type="beginsWith" dxfId="3128" priority="4119" operator="beginsWith" text="Séminaire d'intégration">
      <formula>LEFT(AR201,LEN("Séminaire d'intégration"))="Séminaire d'intégration"</formula>
    </cfRule>
    <cfRule type="beginsWith" dxfId="3127" priority="4120" operator="beginsWith" text="Accueil">
      <formula>LEFT(AR201,LEN("Accueil"))="Accueil"</formula>
    </cfRule>
    <cfRule type="beginsWith" dxfId="3126" priority="4121" operator="beginsWith" text="Stage">
      <formula>LEFT(AR201,LEN("Stage"))="Stage"</formula>
    </cfRule>
    <cfRule type="beginsWith" dxfId="3125" priority="4122" operator="beginsWith" text="Entreprise">
      <formula>LEFT(AR201,LEN("Entreprise"))="Entreprise"</formula>
    </cfRule>
    <cfRule type="beginsWith" dxfId="3124" priority="4123" operator="beginsWith" text="Voltaire">
      <formula>LEFT(AR201,LEN("Voltaire"))="Voltaire"</formula>
    </cfRule>
  </conditionalFormatting>
  <conditionalFormatting sqref="AR207">
    <cfRule type="beginsWith" dxfId="3123" priority="3957" operator="beginsWith" text="Lancement Projet fil rouge">
      <formula>LEFT(AR207,LEN("Lancement Projet fil rouge"))="Lancement Projet fil rouge"</formula>
    </cfRule>
    <cfRule type="beginsWith" dxfId="3122" priority="3958" operator="beginsWith" text="Vacances">
      <formula>LEFT(AR207,LEN("Vacances"))="Vacances"</formula>
    </cfRule>
    <cfRule type="beginsWith" dxfId="3121" priority="3959" operator="beginsWith" text="Séminaire d'intégration">
      <formula>LEFT(AR207,LEN("Séminaire d'intégration"))="Séminaire d'intégration"</formula>
    </cfRule>
    <cfRule type="beginsWith" dxfId="3120" priority="3960" operator="beginsWith" text="Accueil">
      <formula>LEFT(AR207,LEN("Accueil"))="Accueil"</formula>
    </cfRule>
    <cfRule type="beginsWith" dxfId="3119" priority="3961" operator="beginsWith" text="Stage">
      <formula>LEFT(AR207,LEN("Stage"))="Stage"</formula>
    </cfRule>
    <cfRule type="beginsWith" dxfId="3118" priority="3962" operator="beginsWith" text="Entreprise">
      <formula>LEFT(AR207,LEN("Entreprise"))="Entreprise"</formula>
    </cfRule>
    <cfRule type="beginsWith" dxfId="3117" priority="3963" operator="beginsWith" text="Voltaire">
      <formula>LEFT(AR207,LEN("Voltaire"))="Voltaire"</formula>
    </cfRule>
  </conditionalFormatting>
  <conditionalFormatting sqref="AR216:AR220">
    <cfRule type="beginsWith" dxfId="3116" priority="3845" operator="beginsWith" text="Lancement Projet fil rouge">
      <formula>LEFT(AR216,LEN("Lancement Projet fil rouge"))="Lancement Projet fil rouge"</formula>
    </cfRule>
    <cfRule type="beginsWith" dxfId="3115" priority="3846" operator="beginsWith" text="Vacances">
      <formula>LEFT(AR216,LEN("Vacances"))="Vacances"</formula>
    </cfRule>
    <cfRule type="beginsWith" dxfId="3114" priority="3847" operator="beginsWith" text="Séminaire d'intégration">
      <formula>LEFT(AR216,LEN("Séminaire d'intégration"))="Séminaire d'intégration"</formula>
    </cfRule>
    <cfRule type="beginsWith" dxfId="3113" priority="3848" operator="beginsWith" text="Accueil">
      <formula>LEFT(AR216,LEN("Accueil"))="Accueil"</formula>
    </cfRule>
    <cfRule type="beginsWith" dxfId="3112" priority="3849" operator="beginsWith" text="Stage">
      <formula>LEFT(AR216,LEN("Stage"))="Stage"</formula>
    </cfRule>
    <cfRule type="beginsWith" dxfId="3111" priority="3850" operator="beginsWith" text="Entreprise">
      <formula>LEFT(AR216,LEN("Entreprise"))="Entreprise"</formula>
    </cfRule>
    <cfRule type="beginsWith" dxfId="3110" priority="3851" operator="beginsWith" text="Voltaire">
      <formula>LEFT(AR216,LEN("Voltaire"))="Voltaire"</formula>
    </cfRule>
  </conditionalFormatting>
  <conditionalFormatting sqref="AS66">
    <cfRule type="beginsWith" dxfId="3109" priority="4073" operator="beginsWith" text="Lancement Projet fil rouge">
      <formula>LEFT(AS66,LEN("Lancement Projet fil rouge"))="Lancement Projet fil rouge"</formula>
    </cfRule>
    <cfRule type="beginsWith" dxfId="3108" priority="4074" operator="beginsWith" text="Vacances">
      <formula>LEFT(AS66,LEN("Vacances"))="Vacances"</formula>
    </cfRule>
    <cfRule type="beginsWith" dxfId="3107" priority="4075" operator="beginsWith" text="Séminaire d'intégration">
      <formula>LEFT(AS66,LEN("Séminaire d'intégration"))="Séminaire d'intégration"</formula>
    </cfRule>
    <cfRule type="beginsWith" dxfId="3106" priority="4076" operator="beginsWith" text="Accueil">
      <formula>LEFT(AS66,LEN("Accueil"))="Accueil"</formula>
    </cfRule>
    <cfRule type="beginsWith" dxfId="3105" priority="4077" operator="beginsWith" text="Stage">
      <formula>LEFT(AS66,LEN("Stage"))="Stage"</formula>
    </cfRule>
    <cfRule type="beginsWith" dxfId="3104" priority="4078" operator="beginsWith" text="Entreprise">
      <formula>LEFT(AS66,LEN("Entreprise"))="Entreprise"</formula>
    </cfRule>
    <cfRule type="beginsWith" dxfId="3103" priority="4079" operator="beginsWith" text="Voltaire">
      <formula>LEFT(AS66,LEN("Voltaire"))="Voltaire"</formula>
    </cfRule>
  </conditionalFormatting>
  <conditionalFormatting sqref="AS181:AS185">
    <cfRule type="beginsWith" dxfId="3102" priority="4142" operator="beginsWith" text="Lancement Projet fil rouge">
      <formula>LEFT(AS181,LEN("Lancement Projet fil rouge"))="Lancement Projet fil rouge"</formula>
    </cfRule>
    <cfRule type="beginsWith" dxfId="3101" priority="4143" operator="beginsWith" text="Vacances">
      <formula>LEFT(AS181,LEN("Vacances"))="Vacances"</formula>
    </cfRule>
    <cfRule type="beginsWith" dxfId="3100" priority="4144" operator="beginsWith" text="Séminaire d'intégration">
      <formula>LEFT(AS181,LEN("Séminaire d'intégration"))="Séminaire d'intégration"</formula>
    </cfRule>
    <cfRule type="beginsWith" dxfId="3099" priority="4145" operator="beginsWith" text="Accueil">
      <formula>LEFT(AS181,LEN("Accueil"))="Accueil"</formula>
    </cfRule>
    <cfRule type="beginsWith" dxfId="3098" priority="4146" operator="beginsWith" text="TOPHYC">
      <formula>LEFT(AS181,LEN("TOPHYC"))="TOPHYC"</formula>
    </cfRule>
    <cfRule type="beginsWith" dxfId="3097" priority="4147" operator="beginsWith" text="Global Exam">
      <formula>LEFT(AS181,LEN("Global Exam"))="Global Exam"</formula>
    </cfRule>
    <cfRule type="beginsWith" dxfId="3096" priority="4148" operator="beginsWith" text="Stage">
      <formula>LEFT(AS181,LEN("Stage"))="Stage"</formula>
    </cfRule>
    <cfRule type="beginsWith" dxfId="3095" priority="4149" operator="beginsWith" text="Entreprise">
      <formula>LEFT(AS181,LEN("Entreprise"))="Entreprise"</formula>
    </cfRule>
    <cfRule type="beginsWith" dxfId="3094" priority="4150" operator="beginsWith" text="TOMIC">
      <formula>LEFT(AS181,LEN("TOMIC"))="TOMIC"</formula>
    </cfRule>
    <cfRule type="beginsWith" dxfId="3093" priority="4151" operator="beginsWith" text="Voltaire">
      <formula>LEFT(AS181,LEN("Voltaire"))="Voltaire"</formula>
    </cfRule>
  </conditionalFormatting>
  <conditionalFormatting sqref="AS189">
    <cfRule type="beginsWith" dxfId="3092" priority="3604" operator="beginsWith" text="Lancement Projet fil rouge">
      <formula>LEFT(AS189,LEN("Lancement Projet fil rouge"))="Lancement Projet fil rouge"</formula>
    </cfRule>
    <cfRule type="beginsWith" dxfId="3091" priority="3605" operator="beginsWith" text="Vacances">
      <formula>LEFT(AS189,LEN("Vacances"))="Vacances"</formula>
    </cfRule>
    <cfRule type="beginsWith" dxfId="3090" priority="3606" operator="beginsWith" text="Séminaire d'intégration">
      <formula>LEFT(AS189,LEN("Séminaire d'intégration"))="Séminaire d'intégration"</formula>
    </cfRule>
    <cfRule type="beginsWith" dxfId="3089" priority="3607" operator="beginsWith" text="Accueil">
      <formula>LEFT(AS189,LEN("Accueil"))="Accueil"</formula>
    </cfRule>
    <cfRule type="beginsWith" dxfId="3088" priority="3608" operator="beginsWith" text="TOPHYC">
      <formula>LEFT(AS189,LEN("TOPHYC"))="TOPHYC"</formula>
    </cfRule>
    <cfRule type="beginsWith" dxfId="3087" priority="3609" operator="beginsWith" text="Global Exam">
      <formula>LEFT(AS189,LEN("Global Exam"))="Global Exam"</formula>
    </cfRule>
    <cfRule type="beginsWith" dxfId="3086" priority="3610" operator="beginsWith" text="Stage">
      <formula>LEFT(AS189,LEN("Stage"))="Stage"</formula>
    </cfRule>
    <cfRule type="beginsWith" dxfId="3085" priority="3611" operator="beginsWith" text="Entreprise">
      <formula>LEFT(AS189,LEN("Entreprise"))="Entreprise"</formula>
    </cfRule>
    <cfRule type="beginsWith" dxfId="3084" priority="3612" operator="beginsWith" text="TOMIC">
      <formula>LEFT(AS189,LEN("TOMIC"))="TOMIC"</formula>
    </cfRule>
    <cfRule type="beginsWith" dxfId="3083" priority="3613" operator="beginsWith" text="Voltaire">
      <formula>LEFT(AS189,LEN("Voltaire"))="Voltaire"</formula>
    </cfRule>
  </conditionalFormatting>
  <conditionalFormatting sqref="AS193">
    <cfRule type="beginsWith" dxfId="3082" priority="3657" operator="beginsWith" text="Lancement Projet fil rouge">
      <formula>LEFT(AS193,LEN("Lancement Projet fil rouge"))="Lancement Projet fil rouge"</formula>
    </cfRule>
    <cfRule type="beginsWith" dxfId="3081" priority="3658" operator="beginsWith" text="Vacances">
      <formula>LEFT(AS193,LEN("Vacances"))="Vacances"</formula>
    </cfRule>
    <cfRule type="beginsWith" dxfId="3080" priority="3659" operator="beginsWith" text="Séminaire d'intégration">
      <formula>LEFT(AS193,LEN("Séminaire d'intégration"))="Séminaire d'intégration"</formula>
    </cfRule>
    <cfRule type="beginsWith" dxfId="3079" priority="3660" operator="beginsWith" text="Accueil">
      <formula>LEFT(AS193,LEN("Accueil"))="Accueil"</formula>
    </cfRule>
    <cfRule type="beginsWith" dxfId="3078" priority="3661" operator="beginsWith" text="TOPHYC">
      <formula>LEFT(AS193,LEN("TOPHYC"))="TOPHYC"</formula>
    </cfRule>
    <cfRule type="beginsWith" dxfId="3077" priority="3662" operator="beginsWith" text="Global Exam">
      <formula>LEFT(AS193,LEN("Global Exam"))="Global Exam"</formula>
    </cfRule>
    <cfRule type="beginsWith" dxfId="3076" priority="3663" operator="beginsWith" text="Stage">
      <formula>LEFT(AS193,LEN("Stage"))="Stage"</formula>
    </cfRule>
    <cfRule type="beginsWith" dxfId="3075" priority="3664" operator="beginsWith" text="Entreprise">
      <formula>LEFT(AS193,LEN("Entreprise"))="Entreprise"</formula>
    </cfRule>
    <cfRule type="beginsWith" dxfId="3074" priority="3665" operator="beginsWith" text="TOMIC">
      <formula>LEFT(AS193,LEN("TOMIC"))="TOMIC"</formula>
    </cfRule>
    <cfRule type="beginsWith" dxfId="3073" priority="3666" operator="beginsWith" text="Voltaire">
      <formula>LEFT(AS193,LEN("Voltaire"))="Voltaire"</formula>
    </cfRule>
  </conditionalFormatting>
  <conditionalFormatting sqref="AS196">
    <cfRule type="beginsWith" dxfId="3072" priority="3640" operator="beginsWith" text="Lancement Projet fil rouge">
      <formula>LEFT(AS196,LEN("Lancement Projet fil rouge"))="Lancement Projet fil rouge"</formula>
    </cfRule>
    <cfRule type="beginsWith" dxfId="3071" priority="3641" operator="beginsWith" text="Vacances">
      <formula>LEFT(AS196,LEN("Vacances"))="Vacances"</formula>
    </cfRule>
    <cfRule type="beginsWith" dxfId="3070" priority="3642" operator="beginsWith" text="Séminaire d'intégration">
      <formula>LEFT(AS196,LEN("Séminaire d'intégration"))="Séminaire d'intégration"</formula>
    </cfRule>
    <cfRule type="beginsWith" dxfId="3069" priority="3643" operator="beginsWith" text="Accueil">
      <formula>LEFT(AS196,LEN("Accueil"))="Accueil"</formula>
    </cfRule>
    <cfRule type="beginsWith" dxfId="3068" priority="3644" operator="beginsWith" text="TOPHYC">
      <formula>LEFT(AS196,LEN("TOPHYC"))="TOPHYC"</formula>
    </cfRule>
    <cfRule type="beginsWith" dxfId="3067" priority="3645" operator="beginsWith" text="Global Exam">
      <formula>LEFT(AS196,LEN("Global Exam"))="Global Exam"</formula>
    </cfRule>
    <cfRule type="beginsWith" dxfId="3066" priority="3646" operator="beginsWith" text="Stage">
      <formula>LEFT(AS196,LEN("Stage"))="Stage"</formula>
    </cfRule>
    <cfRule type="beginsWith" dxfId="3065" priority="3647" operator="beginsWith" text="Entreprise">
      <formula>LEFT(AS196,LEN("Entreprise"))="Entreprise"</formula>
    </cfRule>
    <cfRule type="beginsWith" dxfId="3064" priority="3648" operator="beginsWith" text="TOMIC">
      <formula>LEFT(AS196,LEN("TOMIC"))="TOMIC"</formula>
    </cfRule>
    <cfRule type="beginsWith" dxfId="3063" priority="3649" operator="beginsWith" text="Voltaire">
      <formula>LEFT(AS196,LEN("Voltaire"))="Voltaire"</formula>
    </cfRule>
  </conditionalFormatting>
  <conditionalFormatting sqref="AS204">
    <cfRule type="beginsWith" dxfId="3062" priority="3513" operator="beginsWith" text="Lancement Projet fil rouge">
      <formula>LEFT(AS204,LEN("Lancement Projet fil rouge"))="Lancement Projet fil rouge"</formula>
    </cfRule>
    <cfRule type="beginsWith" dxfId="3061" priority="3514" operator="beginsWith" text="Vacances">
      <formula>LEFT(AS204,LEN("Vacances"))="Vacances"</formula>
    </cfRule>
    <cfRule type="beginsWith" dxfId="3060" priority="3515" operator="beginsWith" text="Séminaire d'intégration">
      <formula>LEFT(AS204,LEN("Séminaire d'intégration"))="Séminaire d'intégration"</formula>
    </cfRule>
    <cfRule type="beginsWith" dxfId="3059" priority="3516" operator="beginsWith" text="Accueil">
      <formula>LEFT(AS204,LEN("Accueil"))="Accueil"</formula>
    </cfRule>
    <cfRule type="beginsWith" dxfId="3058" priority="3517" operator="beginsWith" text="TOPHYC">
      <formula>LEFT(AS204,LEN("TOPHYC"))="TOPHYC"</formula>
    </cfRule>
    <cfRule type="beginsWith" dxfId="3057" priority="3518" operator="beginsWith" text="Global Exam">
      <formula>LEFT(AS204,LEN("Global Exam"))="Global Exam"</formula>
    </cfRule>
    <cfRule type="beginsWith" dxfId="3056" priority="3519" operator="beginsWith" text="Stage">
      <formula>LEFT(AS204,LEN("Stage"))="Stage"</formula>
    </cfRule>
    <cfRule type="beginsWith" dxfId="3055" priority="3520" operator="beginsWith" text="Entreprise">
      <formula>LEFT(AS204,LEN("Entreprise"))="Entreprise"</formula>
    </cfRule>
    <cfRule type="beginsWith" dxfId="3054" priority="3521" operator="beginsWith" text="TOMIC">
      <formula>LEFT(AS204,LEN("TOMIC"))="TOMIC"</formula>
    </cfRule>
    <cfRule type="beginsWith" dxfId="3053" priority="3522" operator="beginsWith" text="Voltaire">
      <formula>LEFT(AS204,LEN("Voltaire"))="Voltaire"</formula>
    </cfRule>
  </conditionalFormatting>
  <conditionalFormatting sqref="AS206">
    <cfRule type="beginsWith" dxfId="3052" priority="4021" operator="beginsWith" text="Lancement Projet fil rouge">
      <formula>LEFT(AS206,LEN("Lancement Projet fil rouge"))="Lancement Projet fil rouge"</formula>
    </cfRule>
    <cfRule type="beginsWith" dxfId="3051" priority="4022" operator="beginsWith" text="Vacances">
      <formula>LEFT(AS206,LEN("Vacances"))="Vacances"</formula>
    </cfRule>
    <cfRule type="beginsWith" dxfId="3050" priority="4023" operator="beginsWith" text="Séminaire d'intégration">
      <formula>LEFT(AS206,LEN("Séminaire d'intégration"))="Séminaire d'intégration"</formula>
    </cfRule>
    <cfRule type="beginsWith" dxfId="3049" priority="4024" operator="beginsWith" text="Accueil">
      <formula>LEFT(AS206,LEN("Accueil"))="Accueil"</formula>
    </cfRule>
    <cfRule type="beginsWith" dxfId="3048" priority="4025" operator="beginsWith" text="TOPHYC">
      <formula>LEFT(AS206,LEN("TOPHYC"))="TOPHYC"</formula>
    </cfRule>
    <cfRule type="beginsWith" dxfId="3047" priority="4026" operator="beginsWith" text="Global Exam">
      <formula>LEFT(AS206,LEN("Global Exam"))="Global Exam"</formula>
    </cfRule>
    <cfRule type="beginsWith" dxfId="3046" priority="4027" operator="beginsWith" text="Stage">
      <formula>LEFT(AS206,LEN("Stage"))="Stage"</formula>
    </cfRule>
    <cfRule type="beginsWith" dxfId="3045" priority="4028" operator="beginsWith" text="Entreprise">
      <formula>LEFT(AS206,LEN("Entreprise"))="Entreprise"</formula>
    </cfRule>
    <cfRule type="beginsWith" dxfId="3044" priority="4029" operator="beginsWith" text="TOMIC">
      <formula>LEFT(AS206,LEN("TOMIC"))="TOMIC"</formula>
    </cfRule>
    <cfRule type="beginsWith" dxfId="3043" priority="4030" operator="beginsWith" text="Voltaire">
      <formula>LEFT(AS206,LEN("Voltaire"))="Voltaire"</formula>
    </cfRule>
  </conditionalFormatting>
  <conditionalFormatting sqref="AS207">
    <cfRule type="beginsWith" dxfId="3042" priority="3714" operator="beginsWith" text="Lancement Projet fil rouge">
      <formula>LEFT(AS207,LEN("Lancement Projet fil rouge"))="Lancement Projet fil rouge"</formula>
    </cfRule>
    <cfRule type="beginsWith" dxfId="3041" priority="3715" operator="beginsWith" text="Vacances">
      <formula>LEFT(AS207,LEN("Vacances"))="Vacances"</formula>
    </cfRule>
    <cfRule type="beginsWith" dxfId="3040" priority="3716" operator="beginsWith" text="Séminaire d'intégration">
      <formula>LEFT(AS207,LEN("Séminaire d'intégration"))="Séminaire d'intégration"</formula>
    </cfRule>
    <cfRule type="beginsWith" dxfId="3039" priority="3717" operator="beginsWith" text="Accueil">
      <formula>LEFT(AS207,LEN("Accueil"))="Accueil"</formula>
    </cfRule>
    <cfRule type="beginsWith" dxfId="3038" priority="3718" operator="beginsWith" text="TOPHYC">
      <formula>LEFT(AS207,LEN("TOPHYC"))="TOPHYC"</formula>
    </cfRule>
    <cfRule type="beginsWith" dxfId="3037" priority="3719" operator="beginsWith" text="Global Exam">
      <formula>LEFT(AS207,LEN("Global Exam"))="Global Exam"</formula>
    </cfRule>
    <cfRule type="beginsWith" dxfId="3036" priority="3720" operator="beginsWith" text="Stage">
      <formula>LEFT(AS207,LEN("Stage"))="Stage"</formula>
    </cfRule>
    <cfRule type="beginsWith" dxfId="3035" priority="3721" operator="beginsWith" text="Entreprise">
      <formula>LEFT(AS207,LEN("Entreprise"))="Entreprise"</formula>
    </cfRule>
    <cfRule type="beginsWith" dxfId="3034" priority="3722" operator="beginsWith" text="TOMIC">
      <formula>LEFT(AS207,LEN("TOMIC"))="TOMIC"</formula>
    </cfRule>
    <cfRule type="beginsWith" dxfId="3033" priority="3723" operator="beginsWith" text="Voltaire">
      <formula>LEFT(AS207,LEN("Voltaire"))="Voltaire"</formula>
    </cfRule>
  </conditionalFormatting>
  <conditionalFormatting sqref="AS208">
    <cfRule type="beginsWith" dxfId="3032" priority="4011" operator="beginsWith" text="Lancement Projet fil rouge">
      <formula>LEFT(AS208,LEN("Lancement Projet fil rouge"))="Lancement Projet fil rouge"</formula>
    </cfRule>
    <cfRule type="beginsWith" dxfId="3031" priority="4012" operator="beginsWith" text="Vacances">
      <formula>LEFT(AS208,LEN("Vacances"))="Vacances"</formula>
    </cfRule>
    <cfRule type="beginsWith" dxfId="3030" priority="4013" operator="beginsWith" text="Séminaire d'intégration">
      <formula>LEFT(AS208,LEN("Séminaire d'intégration"))="Séminaire d'intégration"</formula>
    </cfRule>
    <cfRule type="beginsWith" dxfId="3029" priority="4014" operator="beginsWith" text="Accueil">
      <formula>LEFT(AS208,LEN("Accueil"))="Accueil"</formula>
    </cfRule>
    <cfRule type="beginsWith" dxfId="3028" priority="4015" operator="beginsWith" text="TOPHYC">
      <formula>LEFT(AS208,LEN("TOPHYC"))="TOPHYC"</formula>
    </cfRule>
    <cfRule type="beginsWith" dxfId="3027" priority="4016" operator="beginsWith" text="Global Exam">
      <formula>LEFT(AS208,LEN("Global Exam"))="Global Exam"</formula>
    </cfRule>
    <cfRule type="beginsWith" dxfId="3026" priority="4017" operator="beginsWith" text="Stage">
      <formula>LEFT(AS208,LEN("Stage"))="Stage"</formula>
    </cfRule>
    <cfRule type="beginsWith" dxfId="3025" priority="4018" operator="beginsWith" text="Entreprise">
      <formula>LEFT(AS208,LEN("Entreprise"))="Entreprise"</formula>
    </cfRule>
    <cfRule type="beginsWith" dxfId="3024" priority="4019" operator="beginsWith" text="TOMIC">
      <formula>LEFT(AS208,LEN("TOMIC"))="TOMIC"</formula>
    </cfRule>
    <cfRule type="beginsWith" dxfId="3023" priority="4020" operator="beginsWith" text="Voltaire">
      <formula>LEFT(AS208,LEN("Voltaire"))="Voltaire"</formula>
    </cfRule>
  </conditionalFormatting>
  <conditionalFormatting sqref="AS209">
    <cfRule type="beginsWith" dxfId="3022" priority="3503" operator="beginsWith" text="Lancement Projet fil rouge">
      <formula>LEFT(AS209,LEN("Lancement Projet fil rouge"))="Lancement Projet fil rouge"</formula>
    </cfRule>
    <cfRule type="beginsWith" dxfId="3021" priority="3504" operator="beginsWith" text="Vacances">
      <formula>LEFT(AS209,LEN("Vacances"))="Vacances"</formula>
    </cfRule>
    <cfRule type="beginsWith" dxfId="3020" priority="3505" operator="beginsWith" text="Séminaire d'intégration">
      <formula>LEFT(AS209,LEN("Séminaire d'intégration"))="Séminaire d'intégration"</formula>
    </cfRule>
    <cfRule type="beginsWith" dxfId="3019" priority="3506" operator="beginsWith" text="Accueil">
      <formula>LEFT(AS209,LEN("Accueil"))="Accueil"</formula>
    </cfRule>
    <cfRule type="beginsWith" dxfId="3018" priority="3507" operator="beginsWith" text="TOPHYC">
      <formula>LEFT(AS209,LEN("TOPHYC"))="TOPHYC"</formula>
    </cfRule>
    <cfRule type="beginsWith" dxfId="3017" priority="3508" operator="beginsWith" text="Global Exam">
      <formula>LEFT(AS209,LEN("Global Exam"))="Global Exam"</formula>
    </cfRule>
    <cfRule type="beginsWith" dxfId="3016" priority="3509" operator="beginsWith" text="Stage">
      <formula>LEFT(AS209,LEN("Stage"))="Stage"</formula>
    </cfRule>
    <cfRule type="beginsWith" dxfId="3015" priority="3510" operator="beginsWith" text="Entreprise">
      <formula>LEFT(AS209,LEN("Entreprise"))="Entreprise"</formula>
    </cfRule>
    <cfRule type="beginsWith" dxfId="3014" priority="3511" operator="beginsWith" text="TOMIC">
      <formula>LEFT(AS209,LEN("TOMIC"))="TOMIC"</formula>
    </cfRule>
    <cfRule type="beginsWith" dxfId="3013" priority="3512" operator="beginsWith" text="Voltaire">
      <formula>LEFT(AS209,LEN("Voltaire"))="Voltaire"</formula>
    </cfRule>
  </conditionalFormatting>
  <conditionalFormatting sqref="AS213">
    <cfRule type="beginsWith" dxfId="3012" priority="3630" operator="beginsWith" text="Lancement Projet fil rouge">
      <formula>LEFT(AS213,LEN("Lancement Projet fil rouge"))="Lancement Projet fil rouge"</formula>
    </cfRule>
    <cfRule type="beginsWith" dxfId="3011" priority="3631" operator="beginsWith" text="Vacances">
      <formula>LEFT(AS213,LEN("Vacances"))="Vacances"</formula>
    </cfRule>
    <cfRule type="beginsWith" dxfId="3010" priority="3632" operator="beginsWith" text="Séminaire d'intégration">
      <formula>LEFT(AS213,LEN("Séminaire d'intégration"))="Séminaire d'intégration"</formula>
    </cfRule>
    <cfRule type="beginsWith" dxfId="3009" priority="3633" operator="beginsWith" text="Accueil">
      <formula>LEFT(AS213,LEN("Accueil"))="Accueil"</formula>
    </cfRule>
    <cfRule type="beginsWith" dxfId="3008" priority="3634" operator="beginsWith" text="TOPHYC">
      <formula>LEFT(AS213,LEN("TOPHYC"))="TOPHYC"</formula>
    </cfRule>
    <cfRule type="beginsWith" dxfId="3007" priority="3635" operator="beginsWith" text="Global Exam">
      <formula>LEFT(AS213,LEN("Global Exam"))="Global Exam"</formula>
    </cfRule>
    <cfRule type="beginsWith" dxfId="3006" priority="3636" operator="beginsWith" text="Stage">
      <formula>LEFT(AS213,LEN("Stage"))="Stage"</formula>
    </cfRule>
    <cfRule type="beginsWith" dxfId="3005" priority="3637" operator="beginsWith" text="Entreprise">
      <formula>LEFT(AS213,LEN("Entreprise"))="Entreprise"</formula>
    </cfRule>
    <cfRule type="beginsWith" dxfId="3004" priority="3638" operator="beginsWith" text="TOMIC">
      <formula>LEFT(AS213,LEN("TOMIC"))="TOMIC"</formula>
    </cfRule>
    <cfRule type="beginsWith" dxfId="3003" priority="3639" operator="beginsWith" text="Voltaire">
      <formula>LEFT(AS213,LEN("Voltaire"))="Voltaire"</formula>
    </cfRule>
  </conditionalFormatting>
  <conditionalFormatting sqref="AS216:AS217">
    <cfRule type="beginsWith" dxfId="3002" priority="4110" operator="beginsWith" text="TOPHYC">
      <formula>LEFT(AS216,LEN("TOPHYC"))="TOPHYC"</formula>
    </cfRule>
    <cfRule type="beginsWith" dxfId="3001" priority="4111" operator="beginsWith" text="Global Exam">
      <formula>LEFT(AS216,LEN("Global Exam"))="Global Exam"</formula>
    </cfRule>
    <cfRule type="beginsWith" dxfId="3000" priority="4114" operator="beginsWith" text="TOMIC">
      <formula>LEFT(AS216,LEN("TOMIC"))="TOMIC"</formula>
    </cfRule>
  </conditionalFormatting>
  <conditionalFormatting sqref="AS218">
    <cfRule type="beginsWith" dxfId="2999" priority="3771" operator="beginsWith" text="Lancement Projet fil rouge">
      <formula>LEFT(AS218,LEN("Lancement Projet fil rouge"))="Lancement Projet fil rouge"</formula>
    </cfRule>
    <cfRule type="beginsWith" dxfId="2998" priority="3772" operator="beginsWith" text="Vacances">
      <formula>LEFT(AS218,LEN("Vacances"))="Vacances"</formula>
    </cfRule>
    <cfRule type="beginsWith" dxfId="2997" priority="3773" operator="beginsWith" text="Séminaire d'intégration">
      <formula>LEFT(AS218,LEN("Séminaire d'intégration"))="Séminaire d'intégration"</formula>
    </cfRule>
    <cfRule type="beginsWith" dxfId="2996" priority="3774" operator="beginsWith" text="Accueil">
      <formula>LEFT(AS218,LEN("Accueil"))="Accueil"</formula>
    </cfRule>
    <cfRule type="beginsWith" dxfId="2995" priority="3775" operator="beginsWith" text="TOPHYC">
      <formula>LEFT(AS218,LEN("TOPHYC"))="TOPHYC"</formula>
    </cfRule>
    <cfRule type="beginsWith" dxfId="2994" priority="3776" operator="beginsWith" text="Global Exam">
      <formula>LEFT(AS218,LEN("Global Exam"))="Global Exam"</formula>
    </cfRule>
    <cfRule type="beginsWith" dxfId="2993" priority="3777" operator="beginsWith" text="Stage">
      <formula>LEFT(AS218,LEN("Stage"))="Stage"</formula>
    </cfRule>
    <cfRule type="beginsWith" dxfId="2992" priority="3778" operator="beginsWith" text="Entreprise">
      <formula>LEFT(AS218,LEN("Entreprise"))="Entreprise"</formula>
    </cfRule>
    <cfRule type="beginsWith" dxfId="2991" priority="3779" operator="beginsWith" text="TOMIC">
      <formula>LEFT(AS218,LEN("TOMIC"))="TOMIC"</formula>
    </cfRule>
    <cfRule type="beginsWith" dxfId="2990" priority="3780" operator="beginsWith" text="Voltaire">
      <formula>LEFT(AS218,LEN("Voltaire"))="Voltaire"</formula>
    </cfRule>
  </conditionalFormatting>
  <conditionalFormatting sqref="AS219">
    <cfRule type="beginsWith" dxfId="2989" priority="3523" operator="beginsWith" text="Lancement Projet fil rouge">
      <formula>LEFT(AS219,LEN("Lancement Projet fil rouge"))="Lancement Projet fil rouge"</formula>
    </cfRule>
    <cfRule type="beginsWith" dxfId="2988" priority="3524" operator="beginsWith" text="Vacances">
      <formula>LEFT(AS219,LEN("Vacances"))="Vacances"</formula>
    </cfRule>
    <cfRule type="beginsWith" dxfId="2987" priority="3525" operator="beginsWith" text="Séminaire d'intégration">
      <formula>LEFT(AS219,LEN("Séminaire d'intégration"))="Séminaire d'intégration"</formula>
    </cfRule>
    <cfRule type="beginsWith" dxfId="2986" priority="3526" operator="beginsWith" text="Accueil">
      <formula>LEFT(AS219,LEN("Accueil"))="Accueil"</formula>
    </cfRule>
    <cfRule type="beginsWith" dxfId="2985" priority="3527" operator="beginsWith" text="TOPHYC">
      <formula>LEFT(AS219,LEN("TOPHYC"))="TOPHYC"</formula>
    </cfRule>
    <cfRule type="beginsWith" dxfId="2984" priority="3528" operator="beginsWith" text="Global Exam">
      <formula>LEFT(AS219,LEN("Global Exam"))="Global Exam"</formula>
    </cfRule>
    <cfRule type="beginsWith" dxfId="2983" priority="3529" operator="beginsWith" text="Stage">
      <formula>LEFT(AS219,LEN("Stage"))="Stage"</formula>
    </cfRule>
    <cfRule type="beginsWith" dxfId="2982" priority="3530" operator="beginsWith" text="Entreprise">
      <formula>LEFT(AS219,LEN("Entreprise"))="Entreprise"</formula>
    </cfRule>
    <cfRule type="beginsWith" dxfId="2981" priority="3531" operator="beginsWith" text="TOMIC">
      <formula>LEFT(AS219,LEN("TOMIC"))="TOMIC"</formula>
    </cfRule>
    <cfRule type="beginsWith" dxfId="2980" priority="3532" operator="beginsWith" text="Voltaire">
      <formula>LEFT(AS219,LEN("Voltaire"))="Voltaire"</formula>
    </cfRule>
  </conditionalFormatting>
  <conditionalFormatting sqref="AS220">
    <cfRule type="beginsWith" dxfId="2979" priority="3781" operator="beginsWith" text="Lancement Projet fil rouge">
      <formula>LEFT(AS220,LEN("Lancement Projet fil rouge"))="Lancement Projet fil rouge"</formula>
    </cfRule>
    <cfRule type="beginsWith" dxfId="2978" priority="3782" operator="beginsWith" text="Vacances">
      <formula>LEFT(AS220,LEN("Vacances"))="Vacances"</formula>
    </cfRule>
    <cfRule type="beginsWith" dxfId="2977" priority="3783" operator="beginsWith" text="Séminaire d'intégration">
      <formula>LEFT(AS220,LEN("Séminaire d'intégration"))="Séminaire d'intégration"</formula>
    </cfRule>
    <cfRule type="beginsWith" dxfId="2976" priority="3784" operator="beginsWith" text="Accueil">
      <formula>LEFT(AS220,LEN("Accueil"))="Accueil"</formula>
    </cfRule>
    <cfRule type="beginsWith" dxfId="2975" priority="3785" operator="beginsWith" text="TOPHYC">
      <formula>LEFT(AS220,LEN("TOPHYC"))="TOPHYC"</formula>
    </cfRule>
    <cfRule type="beginsWith" dxfId="2974" priority="3786" operator="beginsWith" text="Global Exam">
      <formula>LEFT(AS220,LEN("Global Exam"))="Global Exam"</formula>
    </cfRule>
    <cfRule type="beginsWith" dxfId="2973" priority="3787" operator="beginsWith" text="Stage">
      <formula>LEFT(AS220,LEN("Stage"))="Stage"</formula>
    </cfRule>
    <cfRule type="beginsWith" dxfId="2972" priority="3788" operator="beginsWith" text="Entreprise">
      <formula>LEFT(AS220,LEN("Entreprise"))="Entreprise"</formula>
    </cfRule>
    <cfRule type="beginsWith" dxfId="2971" priority="3789" operator="beginsWith" text="TOMIC">
      <formula>LEFT(AS220,LEN("TOMIC"))="TOMIC"</formula>
    </cfRule>
    <cfRule type="beginsWith" dxfId="2970" priority="3790" operator="beginsWith" text="Voltaire">
      <formula>LEFT(AS220,LEN("Voltaire"))="Voltaire"</formula>
    </cfRule>
  </conditionalFormatting>
  <conditionalFormatting sqref="AS223">
    <cfRule type="beginsWith" dxfId="2969" priority="3446" operator="beginsWith" text="Lancement Projet fil rouge">
      <formula>LEFT(AS223,LEN("Lancement Projet fil rouge"))="Lancement Projet fil rouge"</formula>
    </cfRule>
    <cfRule type="beginsWith" dxfId="2968" priority="3447" operator="beginsWith" text="Vacances">
      <formula>LEFT(AS223,LEN("Vacances"))="Vacances"</formula>
    </cfRule>
    <cfRule type="beginsWith" dxfId="2967" priority="3448" operator="beginsWith" text="Séminaire d'intégration">
      <formula>LEFT(AS223,LEN("Séminaire d'intégration"))="Séminaire d'intégration"</formula>
    </cfRule>
    <cfRule type="beginsWith" dxfId="2966" priority="3449" operator="beginsWith" text="Accueil">
      <formula>LEFT(AS223,LEN("Accueil"))="Accueil"</formula>
    </cfRule>
    <cfRule type="beginsWith" dxfId="2965" priority="3450" operator="beginsWith" text="TOPHYC">
      <formula>LEFT(AS223,LEN("TOPHYC"))="TOPHYC"</formula>
    </cfRule>
    <cfRule type="beginsWith" dxfId="2964" priority="3451" operator="beginsWith" text="Global Exam">
      <formula>LEFT(AS223,LEN("Global Exam"))="Global Exam"</formula>
    </cfRule>
    <cfRule type="beginsWith" dxfId="2963" priority="3452" operator="beginsWith" text="Stage">
      <formula>LEFT(AS223,LEN("Stage"))="Stage"</formula>
    </cfRule>
    <cfRule type="beginsWith" dxfId="2962" priority="3453" operator="beginsWith" text="Entreprise">
      <formula>LEFT(AS223,LEN("Entreprise"))="Entreprise"</formula>
    </cfRule>
    <cfRule type="beginsWith" dxfId="2961" priority="3454" operator="beginsWith" text="TOMIC">
      <formula>LEFT(AS223,LEN("TOMIC"))="TOMIC"</formula>
    </cfRule>
    <cfRule type="beginsWith" dxfId="2960" priority="3455" operator="beginsWith" text="Voltaire">
      <formula>LEFT(AS223,LEN("Voltaire"))="Voltaire"</formula>
    </cfRule>
  </conditionalFormatting>
  <conditionalFormatting sqref="AS224">
    <cfRule type="beginsWith" dxfId="2959" priority="3456" operator="beginsWith" text="Lancement Projet fil rouge">
      <formula>LEFT(AS224,LEN("Lancement Projet fil rouge"))="Lancement Projet fil rouge"</formula>
    </cfRule>
    <cfRule type="beginsWith" dxfId="2958" priority="3457" operator="beginsWith" text="Vacances">
      <formula>LEFT(AS224,LEN("Vacances"))="Vacances"</formula>
    </cfRule>
    <cfRule type="beginsWith" dxfId="2957" priority="3458" operator="beginsWith" text="Séminaire d'intégration">
      <formula>LEFT(AS224,LEN("Séminaire d'intégration"))="Séminaire d'intégration"</formula>
    </cfRule>
    <cfRule type="beginsWith" dxfId="2956" priority="3459" operator="beginsWith" text="Accueil">
      <formula>LEFT(AS224,LEN("Accueil"))="Accueil"</formula>
    </cfRule>
    <cfRule type="beginsWith" dxfId="2955" priority="3460" operator="beginsWith" text="TOPHYC">
      <formula>LEFT(AS224,LEN("TOPHYC"))="TOPHYC"</formula>
    </cfRule>
    <cfRule type="beginsWith" dxfId="2954" priority="3461" operator="beginsWith" text="Global Exam">
      <formula>LEFT(AS224,LEN("Global Exam"))="Global Exam"</formula>
    </cfRule>
    <cfRule type="beginsWith" dxfId="2953" priority="3462" operator="beginsWith" text="Stage">
      <formula>LEFT(AS224,LEN("Stage"))="Stage"</formula>
    </cfRule>
    <cfRule type="beginsWith" dxfId="2952" priority="3463" operator="beginsWith" text="Entreprise">
      <formula>LEFT(AS224,LEN("Entreprise"))="Entreprise"</formula>
    </cfRule>
    <cfRule type="beginsWith" dxfId="2951" priority="3464" operator="beginsWith" text="TOMIC">
      <formula>LEFT(AS224,LEN("TOMIC"))="TOMIC"</formula>
    </cfRule>
    <cfRule type="beginsWith" dxfId="2950" priority="3465" operator="beginsWith" text="Voltaire">
      <formula>LEFT(AS224,LEN("Voltaire"))="Voltaire"</formula>
    </cfRule>
  </conditionalFormatting>
  <conditionalFormatting sqref="AS228:AS229">
    <cfRule type="beginsWith" dxfId="2949" priority="3553" operator="beginsWith" text="Lancement Projet fil rouge">
      <formula>LEFT(AS228,LEN("Lancement Projet fil rouge"))="Lancement Projet fil rouge"</formula>
    </cfRule>
    <cfRule type="beginsWith" dxfId="2948" priority="3554" operator="beginsWith" text="Vacances">
      <formula>LEFT(AS228,LEN("Vacances"))="Vacances"</formula>
    </cfRule>
    <cfRule type="beginsWith" dxfId="2947" priority="3555" operator="beginsWith" text="Séminaire d'intégration">
      <formula>LEFT(AS228,LEN("Séminaire d'intégration"))="Séminaire d'intégration"</formula>
    </cfRule>
    <cfRule type="beginsWith" dxfId="2946" priority="3556" operator="beginsWith" text="Accueil">
      <formula>LEFT(AS228,LEN("Accueil"))="Accueil"</formula>
    </cfRule>
    <cfRule type="beginsWith" dxfId="2945" priority="3557" operator="beginsWith" text="TOPHYC">
      <formula>LEFT(AS228,LEN("TOPHYC"))="TOPHYC"</formula>
    </cfRule>
    <cfRule type="beginsWith" dxfId="2944" priority="3558" operator="beginsWith" text="Global Exam">
      <formula>LEFT(AS228,LEN("Global Exam"))="Global Exam"</formula>
    </cfRule>
    <cfRule type="beginsWith" dxfId="2943" priority="3559" operator="beginsWith" text="Stage">
      <formula>LEFT(AS228,LEN("Stage"))="Stage"</formula>
    </cfRule>
    <cfRule type="beginsWith" dxfId="2942" priority="3560" operator="beginsWith" text="Entreprise">
      <formula>LEFT(AS228,LEN("Entreprise"))="Entreprise"</formula>
    </cfRule>
    <cfRule type="beginsWith" dxfId="2941" priority="3561" operator="beginsWith" text="TOMIC">
      <formula>LEFT(AS228,LEN("TOMIC"))="TOMIC"</formula>
    </cfRule>
    <cfRule type="beginsWith" dxfId="2940" priority="3562" operator="beginsWith" text="Voltaire">
      <formula>LEFT(AS228,LEN("Voltaire"))="Voltaire"</formula>
    </cfRule>
  </conditionalFormatting>
  <conditionalFormatting sqref="AS186:AT188 AS190:AT190 AT189">
    <cfRule type="beginsWith" dxfId="2939" priority="4135" operator="beginsWith" text="TOPHYC">
      <formula>LEFT(AS186,LEN("TOPHYC"))="TOPHYC"</formula>
    </cfRule>
    <cfRule type="beginsWith" dxfId="2938" priority="4136" operator="beginsWith" text="Global Exam">
      <formula>LEFT(AS186,LEN("Global Exam"))="Global Exam"</formula>
    </cfRule>
    <cfRule type="beginsWith" dxfId="2937" priority="4139" operator="beginsWith" text="TOMIC">
      <formula>LEFT(AS186,LEN("TOMIC"))="TOMIC"</formula>
    </cfRule>
  </conditionalFormatting>
  <conditionalFormatting sqref="AS210:AT210 AT206:AT209">
    <cfRule type="beginsWith" dxfId="2936" priority="4099" operator="beginsWith" text="TOPHYC">
      <formula>LEFT(AS206,LEN("TOPHYC"))="TOPHYC"</formula>
    </cfRule>
    <cfRule type="beginsWith" dxfId="2935" priority="4100" operator="beginsWith" text="Global Exam">
      <formula>LEFT(AS206,LEN("Global Exam"))="Global Exam"</formula>
    </cfRule>
    <cfRule type="beginsWith" dxfId="2934" priority="4103" operator="beginsWith" text="TOMIC">
      <formula>LEFT(AS206,LEN("TOMIC"))="TOMIC"</formula>
    </cfRule>
  </conditionalFormatting>
  <conditionalFormatting sqref="AS225:AT225 AS221:AT222 AT223:AT224">
    <cfRule type="beginsWith" dxfId="2933" priority="3764" operator="beginsWith" text="TOPHYC">
      <formula>LEFT(AS221,LEN("TOPHYC"))="TOPHYC"</formula>
    </cfRule>
    <cfRule type="beginsWith" dxfId="2932" priority="3765" operator="beginsWith" text="Global Exam">
      <formula>LEFT(AS221,LEN("Global Exam"))="Global Exam"</formula>
    </cfRule>
    <cfRule type="beginsWith" dxfId="2931" priority="3768" operator="beginsWith" text="TOMIC">
      <formula>LEFT(AS221,LEN("TOMIC"))="TOMIC"</formula>
    </cfRule>
  </conditionalFormatting>
  <conditionalFormatting sqref="AS226:AT227 AS230:AT230 AT228:AT229">
    <cfRule type="beginsWith" dxfId="2930" priority="3753" operator="beginsWith" text="TOPHYC">
      <formula>LEFT(AS226,LEN("TOPHYC"))="TOPHYC"</formula>
    </cfRule>
    <cfRule type="beginsWith" dxfId="2929" priority="3754" operator="beginsWith" text="Global Exam">
      <formula>LEFT(AS226,LEN("Global Exam"))="Global Exam"</formula>
    </cfRule>
    <cfRule type="beginsWith" dxfId="2928" priority="3757" operator="beginsWith" text="TOMIC">
      <formula>LEFT(AS226,LEN("TOMIC"))="TOMIC"</formula>
    </cfRule>
  </conditionalFormatting>
  <conditionalFormatting sqref="AT231">
    <cfRule type="beginsWith" dxfId="2927" priority="3742" operator="beginsWith" text="TOPHYC">
      <formula>LEFT(AT231,LEN("TOPHYC"))="TOPHYC"</formula>
    </cfRule>
    <cfRule type="beginsWith" dxfId="2926" priority="3743" operator="beginsWith" text="Global Exam">
      <formula>LEFT(AT231,LEN("Global Exam"))="Global Exam"</formula>
    </cfRule>
    <cfRule type="beginsWith" dxfId="2925" priority="3746" operator="beginsWith" text="TOMIC">
      <formula>LEFT(AT231,LEN("TOMIC"))="TOMIC"</formula>
    </cfRule>
  </conditionalFormatting>
  <conditionalFormatting sqref="AT26:AT30">
    <cfRule type="beginsWith" dxfId="2924" priority="3493" operator="beginsWith" text="Lancement Projet fil rouge">
      <formula>LEFT(AT26,LEN("Lancement Projet fil rouge"))="Lancement Projet fil rouge"</formula>
    </cfRule>
    <cfRule type="beginsWith" dxfId="2923" priority="3494" operator="beginsWith" text="Vacances">
      <formula>LEFT(AT26,LEN("Vacances"))="Vacances"</formula>
    </cfRule>
    <cfRule type="beginsWith" dxfId="2922" priority="3495" operator="beginsWith" text="Séminaire d'intégration">
      <formula>LEFT(AT26,LEN("Séminaire d'intégration"))="Séminaire d'intégration"</formula>
    </cfRule>
    <cfRule type="beginsWith" dxfId="2921" priority="3496" operator="beginsWith" text="Accueil">
      <formula>LEFT(AT26,LEN("Accueil"))="Accueil"</formula>
    </cfRule>
    <cfRule type="beginsWith" dxfId="2920" priority="3497" operator="beginsWith" text="TOPHYC">
      <formula>LEFT(AT26,LEN("TOPHYC"))="TOPHYC"</formula>
    </cfRule>
    <cfRule type="beginsWith" dxfId="2919" priority="3498" operator="beginsWith" text="Global Exam">
      <formula>LEFT(AT26,LEN("Global Exam"))="Global Exam"</formula>
    </cfRule>
    <cfRule type="beginsWith" dxfId="2918" priority="3499" operator="beginsWith" text="Stage">
      <formula>LEFT(AT26,LEN("Stage"))="Stage"</formula>
    </cfRule>
    <cfRule type="beginsWith" dxfId="2917" priority="3500" operator="beginsWith" text="Entreprise">
      <formula>LEFT(AT26,LEN("Entreprise"))="Entreprise"</formula>
    </cfRule>
    <cfRule type="beginsWith" dxfId="2916" priority="3501" operator="beginsWith" text="TOMIC">
      <formula>LEFT(AT26,LEN("TOMIC"))="TOMIC"</formula>
    </cfRule>
    <cfRule type="beginsWith" dxfId="2915" priority="3502" operator="beginsWith" text="Voltaire">
      <formula>LEFT(AT26,LEN("Voltaire"))="Voltaire"</formula>
    </cfRule>
  </conditionalFormatting>
  <conditionalFormatting sqref="AT31:AT35">
    <cfRule type="beginsWith" dxfId="2914" priority="3587" operator="beginsWith" text="Lancement Projet fil rouge">
      <formula>LEFT(AT31,LEN("Lancement Projet fil rouge"))="Lancement Projet fil rouge"</formula>
    </cfRule>
    <cfRule type="beginsWith" dxfId="2913" priority="3588" operator="beginsWith" text="Vacances">
      <formula>LEFT(AT31,LEN("Vacances"))="Vacances"</formula>
    </cfRule>
    <cfRule type="beginsWith" dxfId="2912" priority="3589" operator="beginsWith" text="Séminaire d'intégration">
      <formula>LEFT(AT31,LEN("Séminaire d'intégration"))="Séminaire d'intégration"</formula>
    </cfRule>
    <cfRule type="beginsWith" dxfId="2911" priority="3590" operator="beginsWith" text="Accueil">
      <formula>LEFT(AT31,LEN("Accueil"))="Accueil"</formula>
    </cfRule>
    <cfRule type="beginsWith" dxfId="2910" priority="3591" operator="beginsWith" text="TOPHYC">
      <formula>LEFT(AT31,LEN("TOPHYC"))="TOPHYC"</formula>
    </cfRule>
    <cfRule type="beginsWith" dxfId="2909" priority="3592" operator="beginsWith" text="Global Exam">
      <formula>LEFT(AT31,LEN("Global Exam"))="Global Exam"</formula>
    </cfRule>
    <cfRule type="beginsWith" dxfId="2908" priority="3593" operator="beginsWith" text="Stage">
      <formula>LEFT(AT31,LEN("Stage"))="Stage"</formula>
    </cfRule>
    <cfRule type="beginsWith" dxfId="2907" priority="3594" operator="beginsWith" text="Entreprise">
      <formula>LEFT(AT31,LEN("Entreprise"))="Entreprise"</formula>
    </cfRule>
    <cfRule type="beginsWith" dxfId="2906" priority="3595" operator="beginsWith" text="TOMIC">
      <formula>LEFT(AT31,LEN("TOMIC"))="TOMIC"</formula>
    </cfRule>
    <cfRule type="beginsWith" dxfId="2905" priority="3596" operator="beginsWith" text="Voltaire">
      <formula>LEFT(AT31,LEN("Voltaire"))="Voltaire"</formula>
    </cfRule>
  </conditionalFormatting>
  <conditionalFormatting sqref="AT51:AT55">
    <cfRule type="beginsWith" dxfId="2904" priority="3483" operator="beginsWith" text="Lancement Projet fil rouge">
      <formula>LEFT(AT51,LEN("Lancement Projet fil rouge"))="Lancement Projet fil rouge"</formula>
    </cfRule>
    <cfRule type="beginsWith" dxfId="2903" priority="3484" operator="beginsWith" text="Vacances">
      <formula>LEFT(AT51,LEN("Vacances"))="Vacances"</formula>
    </cfRule>
    <cfRule type="beginsWith" dxfId="2902" priority="3485" operator="beginsWith" text="Séminaire d'intégration">
      <formula>LEFT(AT51,LEN("Séminaire d'intégration"))="Séminaire d'intégration"</formula>
    </cfRule>
    <cfRule type="beginsWith" dxfId="2901" priority="3486" operator="beginsWith" text="Accueil">
      <formula>LEFT(AT51,LEN("Accueil"))="Accueil"</formula>
    </cfRule>
    <cfRule type="beginsWith" dxfId="2900" priority="3487" operator="beginsWith" text="TOPHYC">
      <formula>LEFT(AT51,LEN("TOPHYC"))="TOPHYC"</formula>
    </cfRule>
    <cfRule type="beginsWith" dxfId="2899" priority="3488" operator="beginsWith" text="Global Exam">
      <formula>LEFT(AT51,LEN("Global Exam"))="Global Exam"</formula>
    </cfRule>
    <cfRule type="beginsWith" dxfId="2898" priority="3489" operator="beginsWith" text="Stage">
      <formula>LEFT(AT51,LEN("Stage"))="Stage"</formula>
    </cfRule>
    <cfRule type="beginsWith" dxfId="2897" priority="3490" operator="beginsWith" text="Entreprise">
      <formula>LEFT(AT51,LEN("Entreprise"))="Entreprise"</formula>
    </cfRule>
    <cfRule type="beginsWith" dxfId="2896" priority="3491" operator="beginsWith" text="TOMIC">
      <formula>LEFT(AT51,LEN("TOMIC"))="TOMIC"</formula>
    </cfRule>
    <cfRule type="beginsWith" dxfId="2895" priority="3492" operator="beginsWith" text="Voltaire">
      <formula>LEFT(AT51,LEN("Voltaire"))="Voltaire"</formula>
    </cfRule>
  </conditionalFormatting>
  <conditionalFormatting sqref="AT66">
    <cfRule type="beginsWith" dxfId="2894" priority="4063" operator="beginsWith" text="Lancement Projet fil rouge">
      <formula>LEFT(AT66,LEN("Lancement Projet fil rouge"))="Lancement Projet fil rouge"</formula>
    </cfRule>
    <cfRule type="beginsWith" dxfId="2893" priority="4064" operator="beginsWith" text="Vacances">
      <formula>LEFT(AT66,LEN("Vacances"))="Vacances"</formula>
    </cfRule>
    <cfRule type="beginsWith" dxfId="2892" priority="4065" operator="beginsWith" text="Séminaire d'intégration">
      <formula>LEFT(AT66,LEN("Séminaire d'intégration"))="Séminaire d'intégration"</formula>
    </cfRule>
    <cfRule type="beginsWith" dxfId="2891" priority="4066" operator="beginsWith" text="Accueil">
      <formula>LEFT(AT66,LEN("Accueil"))="Accueil"</formula>
    </cfRule>
    <cfRule type="beginsWith" dxfId="2890" priority="4067" operator="beginsWith" text="TOPHYC">
      <formula>LEFT(AT66,LEN("TOPHYC"))="TOPHYC"</formula>
    </cfRule>
    <cfRule type="beginsWith" dxfId="2889" priority="4068" operator="beginsWith" text="Global Exam">
      <formula>LEFT(AT66,LEN("Global Exam"))="Global Exam"</formula>
    </cfRule>
    <cfRule type="beginsWith" dxfId="2888" priority="4069" operator="beginsWith" text="Stage">
      <formula>LEFT(AT66,LEN("Stage"))="Stage"</formula>
    </cfRule>
    <cfRule type="beginsWith" dxfId="2887" priority="4070" operator="beginsWith" text="Entreprise">
      <formula>LEFT(AT66,LEN("Entreprise"))="Entreprise"</formula>
    </cfRule>
    <cfRule type="beginsWith" dxfId="2886" priority="4071" operator="beginsWith" text="TOMIC">
      <formula>LEFT(AT66,LEN("TOMIC"))="TOMIC"</formula>
    </cfRule>
    <cfRule type="beginsWith" dxfId="2885" priority="4072" operator="beginsWith" text="Voltaire">
      <formula>LEFT(AT66,LEN("Voltaire"))="Voltaire"</formula>
    </cfRule>
  </conditionalFormatting>
  <conditionalFormatting sqref="AT67:AT70">
    <cfRule type="beginsWith" dxfId="2884" priority="4046" operator="beginsWith" text="Lancement Projet fil rouge">
      <formula>LEFT(AT67,LEN("Lancement Projet fil rouge"))="Lancement Projet fil rouge"</formula>
    </cfRule>
    <cfRule type="beginsWith" dxfId="2883" priority="4047" operator="beginsWith" text="Vacances">
      <formula>LEFT(AT67,LEN("Vacances"))="Vacances"</formula>
    </cfRule>
    <cfRule type="beginsWith" dxfId="2882" priority="4048" operator="beginsWith" text="Séminaire d'intégration">
      <formula>LEFT(AT67,LEN("Séminaire d'intégration"))="Séminaire d'intégration"</formula>
    </cfRule>
    <cfRule type="beginsWith" dxfId="2881" priority="4049" operator="beginsWith" text="Accueil">
      <formula>LEFT(AT67,LEN("Accueil"))="Accueil"</formula>
    </cfRule>
    <cfRule type="beginsWith" dxfId="2880" priority="4050" operator="beginsWith" text="TOPHYC">
      <formula>LEFT(AT67,LEN("TOPHYC"))="TOPHYC"</formula>
    </cfRule>
    <cfRule type="beginsWith" dxfId="2879" priority="4051" operator="beginsWith" text="Global Exam">
      <formula>LEFT(AT67,LEN("Global Exam"))="Global Exam"</formula>
    </cfRule>
    <cfRule type="beginsWith" dxfId="2878" priority="4052" operator="beginsWith" text="Stage">
      <formula>LEFT(AT67,LEN("Stage"))="Stage"</formula>
    </cfRule>
    <cfRule type="beginsWith" dxfId="2877" priority="4053" operator="beginsWith" text="Entreprise">
      <formula>LEFT(AT67,LEN("Entreprise"))="Entreprise"</formula>
    </cfRule>
    <cfRule type="beginsWith" dxfId="2876" priority="4054" operator="beginsWith" text="TOMIC">
      <formula>LEFT(AT67,LEN("TOMIC"))="TOMIC"</formula>
    </cfRule>
    <cfRule type="beginsWith" dxfId="2875" priority="4055" operator="beginsWith" text="Voltaire">
      <formula>LEFT(AT67,LEN("Voltaire"))="Voltaire"</formula>
    </cfRule>
  </conditionalFormatting>
  <conditionalFormatting sqref="AT172">
    <cfRule type="beginsWith" dxfId="2874" priority="3900" operator="beginsWith" text="Lancement Projet fil rouge">
      <formula>LEFT(AT172,LEN("Lancement Projet fil rouge"))="Lancement Projet fil rouge"</formula>
    </cfRule>
    <cfRule type="beginsWith" dxfId="2873" priority="3901" operator="beginsWith" text="Vacances">
      <formula>LEFT(AT172,LEN("Vacances"))="Vacances"</formula>
    </cfRule>
    <cfRule type="beginsWith" dxfId="2872" priority="3902" operator="beginsWith" text="Séminaire d'intégration">
      <formula>LEFT(AT172,LEN("Séminaire d'intégration"))="Séminaire d'intégration"</formula>
    </cfRule>
    <cfRule type="beginsWith" dxfId="2871" priority="3903" operator="beginsWith" text="Accueil">
      <formula>LEFT(AT172,LEN("Accueil"))="Accueil"</formula>
    </cfRule>
    <cfRule type="beginsWith" dxfId="2870" priority="3904" operator="beginsWith" text="TOPHYC">
      <formula>LEFT(AT172,LEN("TOPHYC"))="TOPHYC"</formula>
    </cfRule>
    <cfRule type="beginsWith" dxfId="2869" priority="3905" operator="beginsWith" text="Global Exam">
      <formula>LEFT(AT172,LEN("Global Exam"))="Global Exam"</formula>
    </cfRule>
    <cfRule type="beginsWith" dxfId="2868" priority="3906" operator="beginsWith" text="Stage">
      <formula>LEFT(AT172,LEN("Stage"))="Stage"</formula>
    </cfRule>
    <cfRule type="beginsWith" dxfId="2867" priority="3907" operator="beginsWith" text="Entreprise">
      <formula>LEFT(AT172,LEN("Entreprise"))="Entreprise"</formula>
    </cfRule>
    <cfRule type="beginsWith" dxfId="2866" priority="3908" operator="beginsWith" text="TOMIC">
      <formula>LEFT(AT172,LEN("TOMIC"))="TOMIC"</formula>
    </cfRule>
    <cfRule type="beginsWith" dxfId="2865" priority="3909" operator="beginsWith" text="Voltaire">
      <formula>LEFT(AT172,LEN("Voltaire"))="Voltaire"</formula>
    </cfRule>
  </conditionalFormatting>
  <conditionalFormatting sqref="AT181:AT185">
    <cfRule type="beginsWith" dxfId="2864" priority="3890" operator="beginsWith" text="Lancement Projet fil rouge">
      <formula>LEFT(AT181,LEN("Lancement Projet fil rouge"))="Lancement Projet fil rouge"</formula>
    </cfRule>
    <cfRule type="beginsWith" dxfId="2863" priority="3891" operator="beginsWith" text="Vacances">
      <formula>LEFT(AT181,LEN("Vacances"))="Vacances"</formula>
    </cfRule>
    <cfRule type="beginsWith" dxfId="2862" priority="3892" operator="beginsWith" text="Séminaire d'intégration">
      <formula>LEFT(AT181,LEN("Séminaire d'intégration"))="Séminaire d'intégration"</formula>
    </cfRule>
    <cfRule type="beginsWith" dxfId="2861" priority="3893" operator="beginsWith" text="Accueil">
      <formula>LEFT(AT181,LEN("Accueil"))="Accueil"</formula>
    </cfRule>
    <cfRule type="beginsWith" dxfId="2860" priority="3894" operator="beginsWith" text="TOPHYC">
      <formula>LEFT(AT181,LEN("TOPHYC"))="TOPHYC"</formula>
    </cfRule>
    <cfRule type="beginsWith" dxfId="2859" priority="3895" operator="beginsWith" text="Global Exam">
      <formula>LEFT(AT181,LEN("Global Exam"))="Global Exam"</formula>
    </cfRule>
    <cfRule type="beginsWith" dxfId="2858" priority="3896" operator="beginsWith" text="Stage">
      <formula>LEFT(AT181,LEN("Stage"))="Stage"</formula>
    </cfRule>
    <cfRule type="beginsWith" dxfId="2857" priority="3897" operator="beginsWith" text="Entreprise">
      <formula>LEFT(AT181,LEN("Entreprise"))="Entreprise"</formula>
    </cfRule>
    <cfRule type="beginsWith" dxfId="2856" priority="3898" operator="beginsWith" text="TOMIC">
      <formula>LEFT(AT181,LEN("TOMIC"))="TOMIC"</formula>
    </cfRule>
    <cfRule type="beginsWith" dxfId="2855" priority="3899" operator="beginsWith" text="Voltaire">
      <formula>LEFT(AT181,LEN("Voltaire"))="Voltaire"</formula>
    </cfRule>
  </conditionalFormatting>
  <conditionalFormatting sqref="AT216:AT220">
    <cfRule type="beginsWith" dxfId="2854" priority="3852" operator="beginsWith" text="Lancement Projet fil rouge">
      <formula>LEFT(AT216,LEN("Lancement Projet fil rouge"))="Lancement Projet fil rouge"</formula>
    </cfRule>
    <cfRule type="beginsWith" dxfId="2853" priority="3853" operator="beginsWith" text="Vacances">
      <formula>LEFT(AT216,LEN("Vacances"))="Vacances"</formula>
    </cfRule>
    <cfRule type="beginsWith" dxfId="2852" priority="3854" operator="beginsWith" text="Séminaire d'intégration">
      <formula>LEFT(AT216,LEN("Séminaire d'intégration"))="Séminaire d'intégration"</formula>
    </cfRule>
    <cfRule type="beginsWith" dxfId="2851" priority="3855" operator="beginsWith" text="Accueil">
      <formula>LEFT(AT216,LEN("Accueil"))="Accueil"</formula>
    </cfRule>
    <cfRule type="beginsWith" dxfId="2850" priority="3856" operator="beginsWith" text="TOPHYC">
      <formula>LEFT(AT216,LEN("TOPHYC"))="TOPHYC"</formula>
    </cfRule>
    <cfRule type="beginsWith" dxfId="2849" priority="3857" operator="beginsWith" text="Global Exam">
      <formula>LEFT(AT216,LEN("Global Exam"))="Global Exam"</formula>
    </cfRule>
    <cfRule type="beginsWith" dxfId="2848" priority="3858" operator="beginsWith" text="Stage">
      <formula>LEFT(AT216,LEN("Stage"))="Stage"</formula>
    </cfRule>
    <cfRule type="beginsWith" dxfId="2847" priority="3859" operator="beginsWith" text="Entreprise">
      <formula>LEFT(AT216,LEN("Entreprise"))="Entreprise"</formula>
    </cfRule>
    <cfRule type="beginsWith" dxfId="2846" priority="3860" operator="beginsWith" text="TOMIC">
      <formula>LEFT(AT216,LEN("TOMIC"))="TOMIC"</formula>
    </cfRule>
    <cfRule type="beginsWith" dxfId="2845" priority="3861" operator="beginsWith" text="Voltaire">
      <formula>LEFT(AT216,LEN("Voltaire"))="Voltaire"</formula>
    </cfRule>
  </conditionalFormatting>
  <conditionalFormatting sqref="AS6:AT10">
    <cfRule type="beginsWith" dxfId="2844" priority="3950" operator="beginsWith" text="TOPHYC">
      <formula>LEFT(AS6,LEN("TOPHYC"))="TOPHYC"</formula>
    </cfRule>
    <cfRule type="beginsWith" dxfId="2843" priority="3951" operator="beginsWith" text="Global Exam">
      <formula>LEFT(AS6,LEN("Global Exam"))="Global Exam"</formula>
    </cfRule>
    <cfRule type="beginsWith" dxfId="2842" priority="3954" operator="beginsWith" text="TOMIC">
      <formula>LEFT(AS6,LEN("TOMIC"))="TOMIC"</formula>
    </cfRule>
  </conditionalFormatting>
  <conditionalFormatting sqref="AS11:AT15">
    <cfRule type="beginsWith" dxfId="2841" priority="4157" operator="beginsWith" text="TOPHYC">
      <formula>LEFT(AS11,LEN("TOPHYC"))="TOPHYC"</formula>
    </cfRule>
    <cfRule type="beginsWith" dxfId="2840" priority="4158" operator="beginsWith" text="Global Exam">
      <formula>LEFT(AS11,LEN("Global Exam"))="Global Exam"</formula>
    </cfRule>
    <cfRule type="beginsWith" dxfId="2839" priority="4161" operator="beginsWith" text="TOMIC">
      <formula>LEFT(AS11,LEN("TOMIC"))="TOMIC"</formula>
    </cfRule>
  </conditionalFormatting>
  <conditionalFormatting sqref="AO252:AO1048576">
    <cfRule type="beginsWith" dxfId="2838" priority="3441" operator="beginsWith" text="Séminaire d'intégration">
      <formula>LEFT(AO252,LEN("Séminaire d'intégration"))="Séminaire d'intégration"</formula>
    </cfRule>
  </conditionalFormatting>
  <conditionalFormatting sqref="AO252:AO1048576">
    <cfRule type="beginsWith" dxfId="2837" priority="3442" operator="beginsWith" text="Accueil">
      <formula>LEFT(AO252,LEN("Accueil"))="Accueil"</formula>
    </cfRule>
  </conditionalFormatting>
  <conditionalFormatting sqref="AO66">
    <cfRule type="beginsWith" dxfId="2836" priority="3423" operator="beginsWith" text="Lancement Projet fil rouge">
      <formula>LEFT(AO66,LEN("Lancement Projet fil rouge"))="Lancement Projet fil rouge"</formula>
    </cfRule>
  </conditionalFormatting>
  <conditionalFormatting sqref="AO236">
    <cfRule type="beginsWith" dxfId="2835" priority="3415" operator="beginsWith" text="Lancement Projet fil rouge">
      <formula>LEFT(AO236,LEN("Lancement Projet fil rouge"))="Lancement Projet fil rouge"</formula>
    </cfRule>
  </conditionalFormatting>
  <conditionalFormatting sqref="AO3">
    <cfRule type="beginsWith" dxfId="2834" priority="3343" operator="beginsWith" text="Lancement Projet fil rouge">
      <formula>LEFT(AO3,LEN("Lancement Projet fil rouge"))="Lancement Projet fil rouge"</formula>
    </cfRule>
    <cfRule type="beginsWith" dxfId="2833" priority="3344" operator="beginsWith" text="Vacances">
      <formula>LEFT(AO3,LEN("Vacances"))="Vacances"</formula>
    </cfRule>
    <cfRule type="beginsWith" dxfId="2832" priority="3345" operator="beginsWith" text="Séminaire d'intégration">
      <formula>LEFT(AO3,LEN("Séminaire d'intégration"))="Séminaire d'intégration"</formula>
    </cfRule>
    <cfRule type="beginsWith" dxfId="2831" priority="3346" operator="beginsWith" text="Accueil">
      <formula>LEFT(AO3,LEN("Accueil"))="Accueil"</formula>
    </cfRule>
    <cfRule type="beginsWith" dxfId="2830" priority="3347" operator="beginsWith" text="Stage">
      <formula>LEFT(AO3,LEN("Stage"))="Stage"</formula>
    </cfRule>
    <cfRule type="beginsWith" dxfId="2829" priority="3348" operator="beginsWith" text="Entreprise">
      <formula>LEFT(AO3,LEN("Entreprise"))="Entreprise"</formula>
    </cfRule>
    <cfRule type="beginsWith" dxfId="2828" priority="3349" operator="beginsWith" text="Voltaire">
      <formula>LEFT(AO3,LEN("Voltaire"))="Voltaire"</formula>
    </cfRule>
  </conditionalFormatting>
  <conditionalFormatting sqref="AO6">
    <cfRule type="beginsWith" dxfId="2827" priority="3311" operator="beginsWith" text="Projet professionnel : Séminaire PFI">
      <formula>LEFT(AO6,LEN("Projet professionnel : Séminaire PFI"))="Projet professionnel : Séminaire PFI"</formula>
    </cfRule>
    <cfRule type="beginsWith" dxfId="2826" priority="3312" operator="beginsWith" text="Lancement Projet fil rouge">
      <formula>LEFT(AO6,LEN("Lancement Projet fil rouge"))="Lancement Projet fil rouge"</formula>
    </cfRule>
    <cfRule type="beginsWith" dxfId="2825" priority="3313" operator="beginsWith" text="Vacances">
      <formula>LEFT(AO6,LEN("Vacances"))="Vacances"</formula>
    </cfRule>
    <cfRule type="beginsWith" dxfId="2824" priority="3314" operator="beginsWith" text="Séminaire d'intégration">
      <formula>LEFT(AO6,LEN("Séminaire d'intégration"))="Séminaire d'intégration"</formula>
    </cfRule>
    <cfRule type="beginsWith" dxfId="2823" priority="3315" operator="beginsWith" text="Accueil">
      <formula>LEFT(AO6,LEN("Accueil"))="Accueil"</formula>
    </cfRule>
    <cfRule type="beginsWith" dxfId="2822" priority="3316" operator="beginsWith" text="Stage">
      <formula>LEFT(AO6,LEN("Stage"))="Stage"</formula>
    </cfRule>
    <cfRule type="beginsWith" dxfId="2821" priority="3317" operator="beginsWith" text="Entreprise">
      <formula>LEFT(AO6,LEN("Entreprise"))="Entreprise"</formula>
    </cfRule>
    <cfRule type="beginsWith" dxfId="2820" priority="3318" operator="beginsWith" text="Voltaire">
      <formula>LEFT(AO6,LEN("Voltaire"))="Voltaire"</formula>
    </cfRule>
  </conditionalFormatting>
  <conditionalFormatting sqref="AO16">
    <cfRule type="beginsWith" dxfId="2819" priority="3398" operator="beginsWith" text="Projet professionnel : Séminaire PFI">
      <formula>LEFT(AO16,LEN("Projet professionnel : Séminaire PFI"))="Projet professionnel : Séminaire PFI"</formula>
    </cfRule>
    <cfRule type="beginsWith" dxfId="2818" priority="3399" operator="beginsWith" text="Lancement Projet fil rouge">
      <formula>LEFT(AO16,LEN("Lancement Projet fil rouge"))="Lancement Projet fil rouge"</formula>
    </cfRule>
    <cfRule type="beginsWith" dxfId="2817" priority="3400" operator="beginsWith" text="Vacances">
      <formula>LEFT(AO16,LEN("Vacances"))="Vacances"</formula>
    </cfRule>
    <cfRule type="beginsWith" dxfId="2816" priority="3401" operator="beginsWith" text="Séminaire d'intégration">
      <formula>LEFT(AO16,LEN("Séminaire d'intégration"))="Séminaire d'intégration"</formula>
    </cfRule>
    <cfRule type="beginsWith" dxfId="2815" priority="3402" operator="beginsWith" text="Accueil">
      <formula>LEFT(AO16,LEN("Accueil"))="Accueil"</formula>
    </cfRule>
    <cfRule type="beginsWith" dxfId="2814" priority="3403" operator="beginsWith" text="Stage">
      <formula>LEFT(AO16,LEN("Stage"))="Stage"</formula>
    </cfRule>
    <cfRule type="beginsWith" dxfId="2813" priority="3404" operator="beginsWith" text="Entreprise">
      <formula>LEFT(AO16,LEN("Entreprise"))="Entreprise"</formula>
    </cfRule>
    <cfRule type="beginsWith" dxfId="2812" priority="3405" operator="beginsWith" text="Voltaire">
      <formula>LEFT(AO16,LEN("Voltaire"))="Voltaire"</formula>
    </cfRule>
  </conditionalFormatting>
  <conditionalFormatting sqref="AO26">
    <cfRule type="beginsWith" dxfId="2811" priority="3406" operator="beginsWith" text="Projet professionnel : Séminaire PFI">
      <formula>LEFT(AO26,LEN("Projet professionnel : Séminaire PFI"))="Projet professionnel : Séminaire PFI"</formula>
    </cfRule>
    <cfRule type="beginsWith" dxfId="2810" priority="3407" operator="beginsWith" text="Lancement Projet fil rouge">
      <formula>LEFT(AO26,LEN("Lancement Projet fil rouge"))="Lancement Projet fil rouge"</formula>
    </cfRule>
    <cfRule type="beginsWith" dxfId="2809" priority="3408" operator="beginsWith" text="Vacances">
      <formula>LEFT(AO26,LEN("Vacances"))="Vacances"</formula>
    </cfRule>
    <cfRule type="beginsWith" dxfId="2808" priority="3409" operator="beginsWith" text="Séminaire d'intégration">
      <formula>LEFT(AO26,LEN("Séminaire d'intégration"))="Séminaire d'intégration"</formula>
    </cfRule>
    <cfRule type="beginsWith" dxfId="2807" priority="3410" operator="beginsWith" text="Accueil">
      <formula>LEFT(AO26,LEN("Accueil"))="Accueil"</formula>
    </cfRule>
    <cfRule type="beginsWith" dxfId="2806" priority="3411" operator="beginsWith" text="Stage">
      <formula>LEFT(AO26,LEN("Stage"))="Stage"</formula>
    </cfRule>
    <cfRule type="beginsWith" dxfId="2805" priority="3412" operator="beginsWith" text="Entreprise">
      <formula>LEFT(AO26,LEN("Entreprise"))="Entreprise"</formula>
    </cfRule>
    <cfRule type="beginsWith" dxfId="2804" priority="3413" operator="beginsWith" text="Voltaire">
      <formula>LEFT(AO26,LEN("Voltaire"))="Voltaire"</formula>
    </cfRule>
  </conditionalFormatting>
  <conditionalFormatting sqref="AO36 AO102:AO105 AO116:AO124 AO1:AO2 AO5 AO46:AO61">
    <cfRule type="beginsWith" dxfId="2803" priority="3430" operator="beginsWith" text="Projet professionnel : Séminaire PFI">
      <formula>LEFT(AO1,LEN("Projet professionnel : Séminaire PFI"))="Projet professionnel : Séminaire PFI"</formula>
    </cfRule>
    <cfRule type="beginsWith" dxfId="2802" priority="3432" operator="beginsWith" text="Vacances">
      <formula>LEFT(AO1,LEN("Vacances"))="Vacances"</formula>
    </cfRule>
    <cfRule type="beginsWith" dxfId="2801" priority="3433" operator="beginsWith" text="Séminaire d'intégration">
      <formula>LEFT(AO1,LEN("Séminaire d'intégration"))="Séminaire d'intégration"</formula>
    </cfRule>
    <cfRule type="beginsWith" dxfId="2800" priority="3434" operator="beginsWith" text="Accueil">
      <formula>LEFT(AO1,LEN("Accueil"))="Accueil"</formula>
    </cfRule>
    <cfRule type="beginsWith" dxfId="2799" priority="3435" operator="beginsWith" text="Stage">
      <formula>LEFT(AO1,LEN("Stage"))="Stage"</formula>
    </cfRule>
    <cfRule type="beginsWith" dxfId="2798" priority="3436" operator="beginsWith" text="Entreprise">
      <formula>LEFT(AO1,LEN("Entreprise"))="Entreprise"</formula>
    </cfRule>
    <cfRule type="beginsWith" dxfId="2797" priority="3437" operator="beginsWith" text="Voltaire">
      <formula>LEFT(AO1,LEN("Voltaire"))="Voltaire"</formula>
    </cfRule>
  </conditionalFormatting>
  <conditionalFormatting sqref="AO41">
    <cfRule type="beginsWith" dxfId="2796" priority="3335" operator="beginsWith" text="Projet professionnel : Séminaire PFI">
      <formula>LEFT(AO41,LEN("Projet professionnel : Séminaire PFI"))="Projet professionnel : Séminaire PFI"</formula>
    </cfRule>
    <cfRule type="beginsWith" dxfId="2795" priority="3337" operator="beginsWith" text="Vacances">
      <formula>LEFT(AO41,LEN("Vacances"))="Vacances"</formula>
    </cfRule>
    <cfRule type="beginsWith" dxfId="2794" priority="3338" operator="beginsWith" text="Séminaire d'intégration">
      <formula>LEFT(AO41,LEN("Séminaire d'intégration"))="Séminaire d'intégration"</formula>
    </cfRule>
    <cfRule type="beginsWith" dxfId="2793" priority="3339" operator="beginsWith" text="Accueil">
      <formula>LEFT(AO41,LEN("Accueil"))="Accueil"</formula>
    </cfRule>
    <cfRule type="beginsWith" dxfId="2792" priority="3340" operator="beginsWith" text="Stage">
      <formula>LEFT(AO41,LEN("Stage"))="Stage"</formula>
    </cfRule>
    <cfRule type="beginsWith" dxfId="2791" priority="3341" operator="beginsWith" text="Entreprise">
      <formula>LEFT(AO41,LEN("Entreprise"))="Entreprise"</formula>
    </cfRule>
    <cfRule type="beginsWith" dxfId="2790" priority="3342" operator="beginsWith" text="Voltaire">
      <formula>LEFT(AO41,LEN("Voltaire"))="Voltaire"</formula>
    </cfRule>
  </conditionalFormatting>
  <conditionalFormatting sqref="AO66">
    <cfRule type="beginsWith" dxfId="2789" priority="3422" operator="beginsWith" text="Projet professionnel : Séminaire PFI">
      <formula>LEFT(AO66,LEN("Projet professionnel : Séminaire PFI"))="Projet professionnel : Séminaire PFI"</formula>
    </cfRule>
    <cfRule type="beginsWith" dxfId="2788" priority="3424" operator="beginsWith" text="Vacances">
      <formula>LEFT(AO66,LEN("Vacances"))="Vacances"</formula>
    </cfRule>
    <cfRule type="beginsWith" dxfId="2787" priority="3425" operator="beginsWith" text="Séminaire d'intégration">
      <formula>LEFT(AO66,LEN("Séminaire d'intégration"))="Séminaire d'intégration"</formula>
    </cfRule>
    <cfRule type="beginsWith" dxfId="2786" priority="3426" operator="beginsWith" text="Accueil">
      <formula>LEFT(AO66,LEN("Accueil"))="Accueil"</formula>
    </cfRule>
    <cfRule type="beginsWith" dxfId="2785" priority="3427" operator="beginsWith" text="Stage">
      <formula>LEFT(AO66,LEN("Stage"))="Stage"</formula>
    </cfRule>
    <cfRule type="beginsWith" dxfId="2784" priority="3428" operator="beginsWith" text="Entreprise">
      <formula>LEFT(AO66,LEN("Entreprise"))="Entreprise"</formula>
    </cfRule>
    <cfRule type="beginsWith" dxfId="2783" priority="3429" operator="beginsWith" text="Voltaire">
      <formula>LEFT(AO66,LEN("Voltaire"))="Voltaire"</formula>
    </cfRule>
  </conditionalFormatting>
  <conditionalFormatting sqref="AO71">
    <cfRule type="beginsWith" dxfId="2782" priority="3382" operator="beginsWith" text="Projet professionnel : Séminaire PFI">
      <formula>LEFT(AO71,LEN("Projet professionnel : Séminaire PFI"))="Projet professionnel : Séminaire PFI"</formula>
    </cfRule>
    <cfRule type="beginsWith" dxfId="2781" priority="3383" operator="beginsWith" text="Lancement Projet fil rouge">
      <formula>LEFT(AO71,LEN("Lancement Projet fil rouge"))="Lancement Projet fil rouge"</formula>
    </cfRule>
    <cfRule type="beginsWith" dxfId="2780" priority="3384" operator="beginsWith" text="Vacances">
      <formula>LEFT(AO71,LEN("Vacances"))="Vacances"</formula>
    </cfRule>
    <cfRule type="beginsWith" dxfId="2779" priority="3385" operator="beginsWith" text="Séminaire d'intégration">
      <formula>LEFT(AO71,LEN("Séminaire d'intégration"))="Séminaire d'intégration"</formula>
    </cfRule>
    <cfRule type="beginsWith" dxfId="2778" priority="3386" operator="beginsWith" text="Accueil">
      <formula>LEFT(AO71,LEN("Accueil"))="Accueil"</formula>
    </cfRule>
    <cfRule type="beginsWith" dxfId="2777" priority="3387" operator="beginsWith" text="Stage">
      <formula>LEFT(AO71,LEN("Stage"))="Stage"</formula>
    </cfRule>
    <cfRule type="beginsWith" dxfId="2776" priority="3388" operator="beginsWith" text="Entreprise">
      <formula>LEFT(AO71,LEN("Entreprise"))="Entreprise"</formula>
    </cfRule>
    <cfRule type="beginsWith" dxfId="2775" priority="3389" operator="beginsWith" text="Voltaire">
      <formula>LEFT(AO71,LEN("Voltaire"))="Voltaire"</formula>
    </cfRule>
  </conditionalFormatting>
  <conditionalFormatting sqref="AO81">
    <cfRule type="beginsWith" dxfId="2774" priority="3390" operator="beginsWith" text="Projet professionnel : Séminaire PFI">
      <formula>LEFT(AO81,LEN("Projet professionnel : Séminaire PFI"))="Projet professionnel : Séminaire PFI"</formula>
    </cfRule>
    <cfRule type="beginsWith" dxfId="2773" priority="3391" operator="beginsWith" text="Lancement Projet fil rouge">
      <formula>LEFT(AO81,LEN("Lancement Projet fil rouge"))="Lancement Projet fil rouge"</formula>
    </cfRule>
    <cfRule type="beginsWith" dxfId="2772" priority="3392" operator="beginsWith" text="Vacances">
      <formula>LEFT(AO81,LEN("Vacances"))="Vacances"</formula>
    </cfRule>
    <cfRule type="beginsWith" dxfId="2771" priority="3393" operator="beginsWith" text="Séminaire d'intégration">
      <formula>LEFT(AO81,LEN("Séminaire d'intégration"))="Séminaire d'intégration"</formula>
    </cfRule>
    <cfRule type="beginsWith" dxfId="2770" priority="3394" operator="beginsWith" text="Accueil">
      <formula>LEFT(AO81,LEN("Accueil"))="Accueil"</formula>
    </cfRule>
    <cfRule type="beginsWith" dxfId="2769" priority="3395" operator="beginsWith" text="Stage">
      <formula>LEFT(AO81,LEN("Stage"))="Stage"</formula>
    </cfRule>
    <cfRule type="beginsWith" dxfId="2768" priority="3396" operator="beginsWith" text="Entreprise">
      <formula>LEFT(AO81,LEN("Entreprise"))="Entreprise"</formula>
    </cfRule>
    <cfRule type="beginsWith" dxfId="2767" priority="3397" operator="beginsWith" text="Voltaire">
      <formula>LEFT(AO81,LEN("Voltaire"))="Voltaire"</formula>
    </cfRule>
  </conditionalFormatting>
  <conditionalFormatting sqref="AO96:AO101">
    <cfRule type="beginsWith" dxfId="2766" priority="3319" operator="beginsWith" text="Projet professionnel : Séminaire PFI">
      <formula>LEFT(AO96,LEN("Projet professionnel : Séminaire PFI"))="Projet professionnel : Séminaire PFI"</formula>
    </cfRule>
    <cfRule type="beginsWith" dxfId="2765" priority="3320" operator="beginsWith" text="Lancement Projet fil rouge">
      <formula>LEFT(AO96,LEN("Lancement Projet fil rouge"))="Lancement Projet fil rouge"</formula>
    </cfRule>
    <cfRule type="beginsWith" dxfId="2764" priority="3321" operator="beginsWith" text="Vacances">
      <formula>LEFT(AO96,LEN("Vacances"))="Vacances"</formula>
    </cfRule>
    <cfRule type="beginsWith" dxfId="2763" priority="3322" operator="beginsWith" text="Séminaire d'intégration">
      <formula>LEFT(AO96,LEN("Séminaire d'intégration"))="Séminaire d'intégration"</formula>
    </cfRule>
    <cfRule type="beginsWith" dxfId="2762" priority="3323" operator="beginsWith" text="Accueil">
      <formula>LEFT(AO96,LEN("Accueil"))="Accueil"</formula>
    </cfRule>
    <cfRule type="beginsWith" dxfId="2761" priority="3324" operator="beginsWith" text="Stage">
      <formula>LEFT(AO96,LEN("Stage"))="Stage"</formula>
    </cfRule>
    <cfRule type="beginsWith" dxfId="2760" priority="3325" operator="beginsWith" text="Entreprise">
      <formula>LEFT(AO96,LEN("Entreprise"))="Entreprise"</formula>
    </cfRule>
    <cfRule type="beginsWith" dxfId="2759" priority="3326" operator="beginsWith" text="Voltaire">
      <formula>LEFT(AO96,LEN("Voltaire"))="Voltaire"</formula>
    </cfRule>
  </conditionalFormatting>
  <conditionalFormatting sqref="AO106">
    <cfRule type="beginsWith" dxfId="2758" priority="3327" operator="beginsWith" text="Projet professionnel : Séminaire PFI">
      <formula>LEFT(AO106,LEN("Projet professionnel : Séminaire PFI"))="Projet professionnel : Séminaire PFI"</formula>
    </cfRule>
    <cfRule type="beginsWith" dxfId="2757" priority="3328" operator="beginsWith" text="Lancement Projet fil rouge">
      <formula>LEFT(AO106,LEN("Lancement Projet fil rouge"))="Lancement Projet fil rouge"</formula>
    </cfRule>
    <cfRule type="beginsWith" dxfId="2756" priority="3329" operator="beginsWith" text="Vacances">
      <formula>LEFT(AO106,LEN("Vacances"))="Vacances"</formula>
    </cfRule>
    <cfRule type="beginsWith" dxfId="2755" priority="3330" operator="beginsWith" text="Séminaire d'intégration">
      <formula>LEFT(AO106,LEN("Séminaire d'intégration"))="Séminaire d'intégration"</formula>
    </cfRule>
    <cfRule type="beginsWith" dxfId="2754" priority="3331" operator="beginsWith" text="Accueil">
      <formula>LEFT(AO106,LEN("Accueil"))="Accueil"</formula>
    </cfRule>
    <cfRule type="beginsWith" dxfId="2753" priority="3332" operator="beginsWith" text="Stage">
      <formula>LEFT(AO106,LEN("Stage"))="Stage"</formula>
    </cfRule>
    <cfRule type="beginsWith" dxfId="2752" priority="3333" operator="beginsWith" text="Entreprise">
      <formula>LEFT(AO106,LEN("Entreprise"))="Entreprise"</formula>
    </cfRule>
    <cfRule type="beginsWith" dxfId="2751" priority="3334" operator="beginsWith" text="Voltaire">
      <formula>LEFT(AO106,LEN("Voltaire"))="Voltaire"</formula>
    </cfRule>
  </conditionalFormatting>
  <conditionalFormatting sqref="AO111">
    <cfRule type="beginsWith" dxfId="2750" priority="3374" operator="beginsWith" text="Projet professionnel : Séminaire PFI">
      <formula>LEFT(AO111,LEN("Projet professionnel : Séminaire PFI"))="Projet professionnel : Séminaire PFI"</formula>
    </cfRule>
    <cfRule type="beginsWith" dxfId="2749" priority="3375" operator="beginsWith" text="Lancement Projet fil rouge">
      <formula>LEFT(AO111,LEN("Lancement Projet fil rouge"))="Lancement Projet fil rouge"</formula>
    </cfRule>
    <cfRule type="beginsWith" dxfId="2748" priority="3376" operator="beginsWith" text="Vacances">
      <formula>LEFT(AO111,LEN("Vacances"))="Vacances"</formula>
    </cfRule>
    <cfRule type="beginsWith" dxfId="2747" priority="3377" operator="beginsWith" text="Séminaire d'intégration">
      <formula>LEFT(AO111,LEN("Séminaire d'intégration"))="Séminaire d'intégration"</formula>
    </cfRule>
    <cfRule type="beginsWith" dxfId="2746" priority="3378" operator="beginsWith" text="Accueil">
      <formula>LEFT(AO111,LEN("Accueil"))="Accueil"</formula>
    </cfRule>
    <cfRule type="beginsWith" dxfId="2745" priority="3379" operator="beginsWith" text="Stage">
      <formula>LEFT(AO111,LEN("Stage"))="Stage"</formula>
    </cfRule>
    <cfRule type="beginsWith" dxfId="2744" priority="3380" operator="beginsWith" text="Entreprise">
      <formula>LEFT(AO111,LEN("Entreprise"))="Entreprise"</formula>
    </cfRule>
    <cfRule type="beginsWith" dxfId="2743" priority="3381" operator="beginsWith" text="Voltaire">
      <formula>LEFT(AO111,LEN("Voltaire"))="Voltaire"</formula>
    </cfRule>
  </conditionalFormatting>
  <conditionalFormatting sqref="AO125">
    <cfRule type="beginsWith" dxfId="2742" priority="3366" operator="beginsWith" text="Projet professionnel : Séminaire PFI">
      <formula>LEFT(AO125,LEN("Projet professionnel : Séminaire PFI"))="Projet professionnel : Séminaire PFI"</formula>
    </cfRule>
    <cfRule type="beginsWith" dxfId="2741" priority="3367" operator="beginsWith" text="Lancement Projet fil rouge">
      <formula>LEFT(AO125,LEN("Lancement Projet fil rouge"))="Lancement Projet fil rouge"</formula>
    </cfRule>
    <cfRule type="beginsWith" dxfId="2740" priority="3368" operator="beginsWith" text="Vacances">
      <formula>LEFT(AO125,LEN("Vacances"))="Vacances"</formula>
    </cfRule>
    <cfRule type="beginsWith" dxfId="2739" priority="3369" operator="beginsWith" text="Séminaire d'intégration">
      <formula>LEFT(AO125,LEN("Séminaire d'intégration"))="Séminaire d'intégration"</formula>
    </cfRule>
    <cfRule type="beginsWith" dxfId="2738" priority="3370" operator="beginsWith" text="Accueil">
      <formula>LEFT(AO125,LEN("Accueil"))="Accueil"</formula>
    </cfRule>
    <cfRule type="beginsWith" dxfId="2737" priority="3371" operator="beginsWith" text="Stage">
      <formula>LEFT(AO125,LEN("Stage"))="Stage"</formula>
    </cfRule>
    <cfRule type="beginsWith" dxfId="2736" priority="3372" operator="beginsWith" text="Entreprise">
      <formula>LEFT(AO125,LEN("Entreprise"))="Entreprise"</formula>
    </cfRule>
    <cfRule type="beginsWith" dxfId="2735" priority="3373" operator="beginsWith" text="Voltaire">
      <formula>LEFT(AO125,LEN("Voltaire"))="Voltaire"</formula>
    </cfRule>
  </conditionalFormatting>
  <conditionalFormatting sqref="AO171">
    <cfRule type="beginsWith" dxfId="2734" priority="3295" operator="beginsWith" text="Projet professionnel : Séminaire PFI">
      <formula>LEFT(AO171,LEN("Projet professionnel : Séminaire PFI"))="Projet professionnel : Séminaire PFI"</formula>
    </cfRule>
    <cfRule type="beginsWith" dxfId="2733" priority="3296" operator="beginsWith" text="Lancement Projet fil rouge">
      <formula>LEFT(AO171,LEN("Lancement Projet fil rouge"))="Lancement Projet fil rouge"</formula>
    </cfRule>
    <cfRule type="beginsWith" dxfId="2732" priority="3297" operator="beginsWith" text="Vacances">
      <formula>LEFT(AO171,LEN("Vacances"))="Vacances"</formula>
    </cfRule>
    <cfRule type="beginsWith" dxfId="2731" priority="3298" operator="beginsWith" text="Séminaire d'intégration">
      <formula>LEFT(AO171,LEN("Séminaire d'intégration"))="Séminaire d'intégration"</formula>
    </cfRule>
    <cfRule type="beginsWith" dxfId="2730" priority="3299" operator="beginsWith" text="Accueil">
      <formula>LEFT(AO171,LEN("Accueil"))="Accueil"</formula>
    </cfRule>
    <cfRule type="beginsWith" dxfId="2729" priority="3300" operator="beginsWith" text="Stage">
      <formula>LEFT(AO171,LEN("Stage"))="Stage"</formula>
    </cfRule>
    <cfRule type="beginsWith" dxfId="2728" priority="3301" operator="beginsWith" text="Entreprise">
      <formula>LEFT(AO171,LEN("Entreprise"))="Entreprise"</formula>
    </cfRule>
    <cfRule type="beginsWith" dxfId="2727" priority="3302" operator="beginsWith" text="Voltaire">
      <formula>LEFT(AO171,LEN("Voltaire"))="Voltaire"</formula>
    </cfRule>
    <cfRule type="beginsWith" dxfId="2726" priority="3303" operator="beginsWith" text="Projet professionnel : Séminaire PFI">
      <formula>LEFT(AO171,LEN("Projet professionnel : Séminaire PFI"))="Projet professionnel : Séminaire PFI"</formula>
    </cfRule>
    <cfRule type="beginsWith" dxfId="2725" priority="3304" operator="beginsWith" text="Lancement Projet fil rouge">
      <formula>LEFT(AO171,LEN("Lancement Projet fil rouge"))="Lancement Projet fil rouge"</formula>
    </cfRule>
    <cfRule type="beginsWith" dxfId="2724" priority="3305" operator="beginsWith" text="Vacances">
      <formula>LEFT(AO171,LEN("Vacances"))="Vacances"</formula>
    </cfRule>
    <cfRule type="beginsWith" dxfId="2723" priority="3306" operator="beginsWith" text="Séminaire d'intégration">
      <formula>LEFT(AO171,LEN("Séminaire d'intégration"))="Séminaire d'intégration"</formula>
    </cfRule>
    <cfRule type="beginsWith" dxfId="2722" priority="3307" operator="beginsWith" text="Accueil">
      <formula>LEFT(AO171,LEN("Accueil"))="Accueil"</formula>
    </cfRule>
    <cfRule type="beginsWith" dxfId="2721" priority="3308" operator="beginsWith" text="Stage">
      <formula>LEFT(AO171,LEN("Stage"))="Stage"</formula>
    </cfRule>
    <cfRule type="beginsWith" dxfId="2720" priority="3309" operator="beginsWith" text="Entreprise">
      <formula>LEFT(AO171,LEN("Entreprise"))="Entreprise"</formula>
    </cfRule>
    <cfRule type="beginsWith" dxfId="2719" priority="3310" operator="beginsWith" text="Voltaire">
      <formula>LEFT(AO171,LEN("Voltaire"))="Voltaire"</formula>
    </cfRule>
  </conditionalFormatting>
  <conditionalFormatting sqref="AO176:AO188">
    <cfRule type="beginsWith" dxfId="2718" priority="3287" operator="beginsWith" text="Projet professionnel : Séminaire PFI">
      <formula>LEFT(AO176,LEN("Projet professionnel : Séminaire PFI"))="Projet professionnel : Séminaire PFI"</formula>
    </cfRule>
    <cfRule type="beginsWith" dxfId="2717" priority="3288" operator="beginsWith" text="Lancement Projet fil rouge">
      <formula>LEFT(AO176,LEN("Lancement Projet fil rouge"))="Lancement Projet fil rouge"</formula>
    </cfRule>
    <cfRule type="beginsWith" dxfId="2716" priority="3289" operator="beginsWith" text="Vacances">
      <formula>LEFT(AO176,LEN("Vacances"))="Vacances"</formula>
    </cfRule>
    <cfRule type="beginsWith" dxfId="2715" priority="3290" operator="beginsWith" text="Séminaire d'intégration">
      <formula>LEFT(AO176,LEN("Séminaire d'intégration"))="Séminaire d'intégration"</formula>
    </cfRule>
    <cfRule type="beginsWith" dxfId="2714" priority="3291" operator="beginsWith" text="Accueil">
      <formula>LEFT(AO176,LEN("Accueil"))="Accueil"</formula>
    </cfRule>
    <cfRule type="beginsWith" dxfId="2713" priority="3292" operator="beginsWith" text="Stage">
      <formula>LEFT(AO176,LEN("Stage"))="Stage"</formula>
    </cfRule>
    <cfRule type="beginsWith" dxfId="2712" priority="3293" operator="beginsWith" text="Entreprise">
      <formula>LEFT(AO176,LEN("Entreprise"))="Entreprise"</formula>
    </cfRule>
    <cfRule type="beginsWith" dxfId="2711" priority="3294" operator="beginsWith" text="Voltaire">
      <formula>LEFT(AO176,LEN("Voltaire"))="Voltaire"</formula>
    </cfRule>
  </conditionalFormatting>
  <conditionalFormatting sqref="AO189:AO190">
    <cfRule type="beginsWith" dxfId="2710" priority="3358" operator="beginsWith" text="Projet professionnel : Séminaire PFI">
      <formula>LEFT(AO189,LEN("Projet professionnel : Séminaire PFI"))="Projet professionnel : Séminaire PFI"</formula>
    </cfRule>
    <cfRule type="beginsWith" dxfId="2709" priority="3359" operator="beginsWith" text="Lancement Projet fil rouge">
      <formula>LEFT(AO189,LEN("Lancement Projet fil rouge"))="Lancement Projet fil rouge"</formula>
    </cfRule>
    <cfRule type="beginsWith" dxfId="2708" priority="3360" operator="beginsWith" text="Vacances">
      <formula>LEFT(AO189,LEN("Vacances"))="Vacances"</formula>
    </cfRule>
    <cfRule type="beginsWith" dxfId="2707" priority="3361" operator="beginsWith" text="Séminaire d'intégration">
      <formula>LEFT(AO189,LEN("Séminaire d'intégration"))="Séminaire d'intégration"</formula>
    </cfRule>
    <cfRule type="beginsWith" dxfId="2706" priority="3362" operator="beginsWith" text="Accueil">
      <formula>LEFT(AO189,LEN("Accueil"))="Accueil"</formula>
    </cfRule>
    <cfRule type="beginsWith" dxfId="2705" priority="3363" operator="beginsWith" text="Stage">
      <formula>LEFT(AO189,LEN("Stage"))="Stage"</formula>
    </cfRule>
    <cfRule type="beginsWith" dxfId="2704" priority="3364" operator="beginsWith" text="Entreprise">
      <formula>LEFT(AO189,LEN("Entreprise"))="Entreprise"</formula>
    </cfRule>
    <cfRule type="beginsWith" dxfId="2703" priority="3365" operator="beginsWith" text="Voltaire">
      <formula>LEFT(AO189,LEN("Voltaire"))="Voltaire"</formula>
    </cfRule>
  </conditionalFormatting>
  <conditionalFormatting sqref="AO221">
    <cfRule type="beginsWith" dxfId="2702" priority="3263" operator="beginsWith" text="Projet professionnel : Séminaire PFI">
      <formula>LEFT(AO221,LEN("Projet professionnel : Séminaire PFI"))="Projet professionnel : Séminaire PFI"</formula>
    </cfRule>
    <cfRule type="beginsWith" dxfId="2701" priority="3264" operator="beginsWith" text="Lancement Projet fil rouge">
      <formula>LEFT(AO221,LEN("Lancement Projet fil rouge"))="Lancement Projet fil rouge"</formula>
    </cfRule>
    <cfRule type="beginsWith" dxfId="2700" priority="3265" operator="beginsWith" text="Vacances">
      <formula>LEFT(AO221,LEN("Vacances"))="Vacances"</formula>
    </cfRule>
    <cfRule type="beginsWith" dxfId="2699" priority="3266" operator="beginsWith" text="Séminaire d'intégration">
      <formula>LEFT(AO221,LEN("Séminaire d'intégration"))="Séminaire d'intégration"</formula>
    </cfRule>
    <cfRule type="beginsWith" dxfId="2698" priority="3267" operator="beginsWith" text="Accueil">
      <formula>LEFT(AO221,LEN("Accueil"))="Accueil"</formula>
    </cfRule>
    <cfRule type="beginsWith" dxfId="2697" priority="3268" operator="beginsWith" text="Stage">
      <formula>LEFT(AO221,LEN("Stage"))="Stage"</formula>
    </cfRule>
    <cfRule type="beginsWith" dxfId="2696" priority="3269" operator="beginsWith" text="Entreprise">
      <formula>LEFT(AO221,LEN("Entreprise"))="Entreprise"</formula>
    </cfRule>
    <cfRule type="beginsWith" dxfId="2695" priority="3270" operator="beginsWith" text="Voltaire">
      <formula>LEFT(AO221,LEN("Voltaire"))="Voltaire"</formula>
    </cfRule>
  </conditionalFormatting>
  <conditionalFormatting sqref="AO201">
    <cfRule type="beginsWith" dxfId="2694" priority="3279" operator="beginsWith" text="Projet professionnel : Séminaire PFI">
      <formula>LEFT(AO201,LEN("Projet professionnel : Séminaire PFI"))="Projet professionnel : Séminaire PFI"</formula>
    </cfRule>
    <cfRule type="beginsWith" dxfId="2693" priority="3280" operator="beginsWith" text="Lancement Projet fil rouge">
      <formula>LEFT(AO201,LEN("Lancement Projet fil rouge"))="Lancement Projet fil rouge"</formula>
    </cfRule>
    <cfRule type="beginsWith" dxfId="2692" priority="3281" operator="beginsWith" text="Vacances">
      <formula>LEFT(AO201,LEN("Vacances"))="Vacances"</formula>
    </cfRule>
    <cfRule type="beginsWith" dxfId="2691" priority="3282" operator="beginsWith" text="Séminaire d'intégration">
      <formula>LEFT(AO201,LEN("Séminaire d'intégration"))="Séminaire d'intégration"</formula>
    </cfRule>
    <cfRule type="beginsWith" dxfId="2690" priority="3283" operator="beginsWith" text="Accueil">
      <formula>LEFT(AO201,LEN("Accueil"))="Accueil"</formula>
    </cfRule>
    <cfRule type="beginsWith" dxfId="2689" priority="3284" operator="beginsWith" text="Stage">
      <formula>LEFT(AO201,LEN("Stage"))="Stage"</formula>
    </cfRule>
    <cfRule type="beginsWith" dxfId="2688" priority="3285" operator="beginsWith" text="Entreprise">
      <formula>LEFT(AO201,LEN("Entreprise"))="Entreprise"</formula>
    </cfRule>
    <cfRule type="beginsWith" dxfId="2687" priority="3286" operator="beginsWith" text="Voltaire">
      <formula>LEFT(AO201,LEN("Voltaire"))="Voltaire"</formula>
    </cfRule>
  </conditionalFormatting>
  <conditionalFormatting sqref="AO206">
    <cfRule type="beginsWith" dxfId="2686" priority="3247" operator="beginsWith" text="Projet professionnel : Séminaire PFI">
      <formula>LEFT(AO206,LEN("Projet professionnel : Séminaire PFI"))="Projet professionnel : Séminaire PFI"</formula>
    </cfRule>
    <cfRule type="beginsWith" dxfId="2685" priority="3248" operator="beginsWith" text="Lancement Projet fil rouge">
      <formula>LEFT(AO206,LEN("Lancement Projet fil rouge"))="Lancement Projet fil rouge"</formula>
    </cfRule>
    <cfRule type="beginsWith" dxfId="2684" priority="3249" operator="beginsWith" text="Vacances">
      <formula>LEFT(AO206,LEN("Vacances"))="Vacances"</formula>
    </cfRule>
    <cfRule type="beginsWith" dxfId="2683" priority="3250" operator="beginsWith" text="Séminaire d'intégration">
      <formula>LEFT(AO206,LEN("Séminaire d'intégration"))="Séminaire d'intégration"</formula>
    </cfRule>
    <cfRule type="beginsWith" dxfId="2682" priority="3251" operator="beginsWith" text="Accueil">
      <formula>LEFT(AO206,LEN("Accueil"))="Accueil"</formula>
    </cfRule>
    <cfRule type="beginsWith" dxfId="2681" priority="3252" operator="beginsWith" text="Stage">
      <formula>LEFT(AO206,LEN("Stage"))="Stage"</formula>
    </cfRule>
    <cfRule type="beginsWith" dxfId="2680" priority="3253" operator="beginsWith" text="Entreprise">
      <formula>LEFT(AO206,LEN("Entreprise"))="Entreprise"</formula>
    </cfRule>
    <cfRule type="beginsWith" dxfId="2679" priority="3254" operator="beginsWith" text="Voltaire">
      <formula>LEFT(AO206,LEN("Voltaire"))="Voltaire"</formula>
    </cfRule>
  </conditionalFormatting>
  <conditionalFormatting sqref="AO226">
    <cfRule type="beginsWith" dxfId="2678" priority="3255" operator="beginsWith" text="Projet professionnel : Séminaire PFI">
      <formula>LEFT(AO226,LEN("Projet professionnel : Séminaire PFI"))="Projet professionnel : Séminaire PFI"</formula>
    </cfRule>
    <cfRule type="beginsWith" dxfId="2677" priority="3256" operator="beginsWith" text="Lancement Projet fil rouge">
      <formula>LEFT(AO226,LEN("Lancement Projet fil rouge"))="Lancement Projet fil rouge"</formula>
    </cfRule>
    <cfRule type="beginsWith" dxfId="2676" priority="3257" operator="beginsWith" text="Vacances">
      <formula>LEFT(AO226,LEN("Vacances"))="Vacances"</formula>
    </cfRule>
    <cfRule type="beginsWith" dxfId="2675" priority="3258" operator="beginsWith" text="Séminaire d'intégration">
      <formula>LEFT(AO226,LEN("Séminaire d'intégration"))="Séminaire d'intégration"</formula>
    </cfRule>
    <cfRule type="beginsWith" dxfId="2674" priority="3259" operator="beginsWith" text="Accueil">
      <formula>LEFT(AO226,LEN("Accueil"))="Accueil"</formula>
    </cfRule>
    <cfRule type="beginsWith" dxfId="2673" priority="3260" operator="beginsWith" text="Stage">
      <formula>LEFT(AO226,LEN("Stage"))="Stage"</formula>
    </cfRule>
    <cfRule type="beginsWith" dxfId="2672" priority="3261" operator="beginsWith" text="Entreprise">
      <formula>LEFT(AO226,LEN("Entreprise"))="Entreprise"</formula>
    </cfRule>
    <cfRule type="beginsWith" dxfId="2671" priority="3262" operator="beginsWith" text="Voltaire">
      <formula>LEFT(AO226,LEN("Voltaire"))="Voltaire"</formula>
    </cfRule>
  </conditionalFormatting>
  <conditionalFormatting sqref="AO236">
    <cfRule type="beginsWith" dxfId="2670" priority="3414" operator="beginsWith" text="Projet professionnel : Séminaire PFI">
      <formula>LEFT(AO236,LEN("Projet professionnel : Séminaire PFI"))="Projet professionnel : Séminaire PFI"</formula>
    </cfRule>
    <cfRule type="beginsWith" dxfId="2669" priority="3416" operator="beginsWith" text="Vacances">
      <formula>LEFT(AO236,LEN("Vacances"))="Vacances"</formula>
    </cfRule>
    <cfRule type="beginsWith" dxfId="2668" priority="3417" operator="beginsWith" text="Séminaire d'intégration">
      <formula>LEFT(AO236,LEN("Séminaire d'intégration"))="Séminaire d'intégration"</formula>
    </cfRule>
    <cfRule type="beginsWith" dxfId="2667" priority="3418" operator="beginsWith" text="Accueil">
      <formula>LEFT(AO236,LEN("Accueil"))="Accueil"</formula>
    </cfRule>
    <cfRule type="beginsWith" dxfId="2666" priority="3419" operator="beginsWith" text="Stage">
      <formula>LEFT(AO236,LEN("Stage"))="Stage"</formula>
    </cfRule>
    <cfRule type="beginsWith" dxfId="2665" priority="3420" operator="beginsWith" text="Entreprise">
      <formula>LEFT(AO236,LEN("Entreprise"))="Entreprise"</formula>
    </cfRule>
    <cfRule type="beginsWith" dxfId="2664" priority="3421" operator="beginsWith" text="Voltaire">
      <formula>LEFT(AO236,LEN("Voltaire"))="Voltaire"</formula>
    </cfRule>
  </conditionalFormatting>
  <conditionalFormatting sqref="AO250:AO251">
    <cfRule type="beginsWith" dxfId="2663" priority="3350" operator="beginsWith" text="Projet professionnel : Séminaire PFI">
      <formula>LEFT(AO250,LEN("Projet professionnel : Séminaire PFI"))="Projet professionnel : Séminaire PFI"</formula>
    </cfRule>
    <cfRule type="beginsWith" dxfId="2662" priority="3351" operator="beginsWith" text="Lancement Projet fil rouge">
      <formula>LEFT(AO250,LEN("Lancement Projet fil rouge"))="Lancement Projet fil rouge"</formula>
    </cfRule>
    <cfRule type="beginsWith" dxfId="2661" priority="3352" operator="beginsWith" text="Vacances">
      <formula>LEFT(AO250,LEN("Vacances"))="Vacances"</formula>
    </cfRule>
    <cfRule type="beginsWith" dxfId="2660" priority="3353" operator="beginsWith" text="Séminaire d'intégration">
      <formula>LEFT(AO250,LEN("Séminaire d'intégration"))="Séminaire d'intégration"</formula>
    </cfRule>
    <cfRule type="beginsWith" dxfId="2659" priority="3354" operator="beginsWith" text="Accueil">
      <formula>LEFT(AO250,LEN("Accueil"))="Accueil"</formula>
    </cfRule>
    <cfRule type="beginsWith" dxfId="2658" priority="3355" operator="beginsWith" text="Stage">
      <formula>LEFT(AO250,LEN("Stage"))="Stage"</formula>
    </cfRule>
    <cfRule type="beginsWith" dxfId="2657" priority="3356" operator="beginsWith" text="Entreprise">
      <formula>LEFT(AO250,LEN("Entreprise"))="Entreprise"</formula>
    </cfRule>
    <cfRule type="beginsWith" dxfId="2656" priority="3357" operator="beginsWith" text="Voltaire">
      <formula>LEFT(AO250,LEN("Voltaire"))="Voltaire"</formula>
    </cfRule>
  </conditionalFormatting>
  <conditionalFormatting sqref="AO1:AO2 AO5 AO36 AO46:AO61 AO102:AO105 AO116:AO124">
    <cfRule type="beginsWith" dxfId="2655" priority="3431" operator="beginsWith" text="Lancement Projet fil rouge">
      <formula>LEFT(AO1,LEN("Lancement Projet fil rouge"))="Lancement Projet fil rouge"</formula>
    </cfRule>
  </conditionalFormatting>
  <conditionalFormatting sqref="AO41">
    <cfRule type="beginsWith" dxfId="2654" priority="3336" operator="beginsWith" text="Lancement Projet fil rouge">
      <formula>LEFT(AO41,LEN("Lancement Projet fil rouge"))="Lancement Projet fil rouge"</formula>
    </cfRule>
  </conditionalFormatting>
  <conditionalFormatting sqref="AO252:AO1048576">
    <cfRule type="beginsWith" dxfId="2653" priority="3443" operator="beginsWith" text="Stage">
      <formula>LEFT(AO252,LEN("Stage"))="Stage"</formula>
    </cfRule>
    <cfRule type="beginsWith" dxfId="2652" priority="3444" operator="beginsWith" text="Entreprise">
      <formula>LEFT(AO252,LEN("Entreprise"))="Entreprise"</formula>
    </cfRule>
    <cfRule type="beginsWith" dxfId="2651" priority="3445" operator="beginsWith" text="Voltaire">
      <formula>LEFT(AO252,LEN("Voltaire"))="Voltaire"</formula>
    </cfRule>
  </conditionalFormatting>
  <conditionalFormatting sqref="AO252:AO1048576">
    <cfRule type="beginsWith" dxfId="2650" priority="3438" operator="beginsWith" text="Projet professionnel : Séminaire PFI">
      <formula>LEFT(AO252,LEN("Projet professionnel : Séminaire PFI"))="Projet professionnel : Séminaire PFI"</formula>
    </cfRule>
    <cfRule type="beginsWith" dxfId="2649" priority="3440" operator="beginsWith" text="Vacances">
      <formula>LEFT(AO252,LEN("Vacances"))="Vacances"</formula>
    </cfRule>
  </conditionalFormatting>
  <conditionalFormatting sqref="AO252:AO1048576">
    <cfRule type="beginsWith" dxfId="2648" priority="3439" operator="beginsWith" text="Lancement Projet fil rouge">
      <formula>LEFT(AO252,LEN("Lancement Projet fil rouge"))="Lancement Projet fil rouge"</formula>
    </cfRule>
  </conditionalFormatting>
  <conditionalFormatting sqref="AO76">
    <cfRule type="beginsWith" dxfId="2647" priority="3239" operator="beginsWith" text="Projet professionnel : Séminaire PFI">
      <formula>LEFT(AO76,LEN("Projet professionnel : Séminaire PFI"))="Projet professionnel : Séminaire PFI"</formula>
    </cfRule>
    <cfRule type="beginsWith" dxfId="2646" priority="3240" operator="beginsWith" text="Lancement Projet fil rouge">
      <formula>LEFT(AO76,LEN("Lancement Projet fil rouge"))="Lancement Projet fil rouge"</formula>
    </cfRule>
    <cfRule type="beginsWith" dxfId="2645" priority="3241" operator="beginsWith" text="Vacances">
      <formula>LEFT(AO76,LEN("Vacances"))="Vacances"</formula>
    </cfRule>
    <cfRule type="beginsWith" dxfId="2644" priority="3242" operator="beginsWith" text="Séminaire d'intégration">
      <formula>LEFT(AO76,LEN("Séminaire d'intégration"))="Séminaire d'intégration"</formula>
    </cfRule>
    <cfRule type="beginsWith" dxfId="2643" priority="3243" operator="beginsWith" text="Accueil">
      <formula>LEFT(AO76,LEN("Accueil"))="Accueil"</formula>
    </cfRule>
    <cfRule type="beginsWith" dxfId="2642" priority="3244" operator="beginsWith" text="Stage">
      <formula>LEFT(AO76,LEN("Stage"))="Stage"</formula>
    </cfRule>
    <cfRule type="beginsWith" dxfId="2641" priority="3245" operator="beginsWith" text="Entreprise">
      <formula>LEFT(AO76,LEN("Entreprise"))="Entreprise"</formula>
    </cfRule>
    <cfRule type="beginsWith" dxfId="2640" priority="3246" operator="beginsWith" text="Voltaire">
      <formula>LEFT(AO76,LEN("Voltaire"))="Voltaire"</formula>
    </cfRule>
  </conditionalFormatting>
  <conditionalFormatting sqref="AO136:AO138">
    <cfRule type="beginsWith" dxfId="2639" priority="3231" operator="beginsWith" text="Projet professionnel : Séminaire PFI">
      <formula>LEFT(AO136,LEN("Projet professionnel : Séminaire PFI"))="Projet professionnel : Séminaire PFI"</formula>
    </cfRule>
    <cfRule type="beginsWith" dxfId="2638" priority="3232" operator="beginsWith" text="Lancement Projet fil rouge">
      <formula>LEFT(AO136,LEN("Lancement Projet fil rouge"))="Lancement Projet fil rouge"</formula>
    </cfRule>
    <cfRule type="beginsWith" dxfId="2637" priority="3233" operator="beginsWith" text="Vacances">
      <formula>LEFT(AO136,LEN("Vacances"))="Vacances"</formula>
    </cfRule>
    <cfRule type="beginsWith" dxfId="2636" priority="3234" operator="beginsWith" text="Séminaire d'intégration">
      <formula>LEFT(AO136,LEN("Séminaire d'intégration"))="Séminaire d'intégration"</formula>
    </cfRule>
    <cfRule type="beginsWith" dxfId="2635" priority="3235" operator="beginsWith" text="Accueil">
      <formula>LEFT(AO136,LEN("Accueil"))="Accueil"</formula>
    </cfRule>
    <cfRule type="beginsWith" dxfId="2634" priority="3236" operator="beginsWith" text="Stage">
      <formula>LEFT(AO136,LEN("Stage"))="Stage"</formula>
    </cfRule>
    <cfRule type="beginsWith" dxfId="2633" priority="3237" operator="beginsWith" text="Entreprise">
      <formula>LEFT(AO136,LEN("Entreprise"))="Entreprise"</formula>
    </cfRule>
    <cfRule type="beginsWith" dxfId="2632" priority="3238" operator="beginsWith" text="Voltaire">
      <formula>LEFT(AO136,LEN("Voltaire"))="Voltaire"</formula>
    </cfRule>
  </conditionalFormatting>
  <conditionalFormatting sqref="AO161">
    <cfRule type="beginsWith" dxfId="2631" priority="3215" operator="beginsWith" text="Projet professionnel : Séminaire PFI">
      <formula>LEFT(AO161,LEN("Projet professionnel : Séminaire PFI"))="Projet professionnel : Séminaire PFI"</formula>
    </cfRule>
    <cfRule type="beginsWith" dxfId="2630" priority="3216" operator="beginsWith" text="Lancement Projet fil rouge">
      <formula>LEFT(AO161,LEN("Lancement Projet fil rouge"))="Lancement Projet fil rouge"</formula>
    </cfRule>
    <cfRule type="beginsWith" dxfId="2629" priority="3217" operator="beginsWith" text="Vacances">
      <formula>LEFT(AO161,LEN("Vacances"))="Vacances"</formula>
    </cfRule>
    <cfRule type="beginsWith" dxfId="2628" priority="3218" operator="beginsWith" text="Séminaire d'intégration">
      <formula>LEFT(AO161,LEN("Séminaire d'intégration"))="Séminaire d'intégration"</formula>
    </cfRule>
    <cfRule type="beginsWith" dxfId="2627" priority="3219" operator="beginsWith" text="Accueil">
      <formula>LEFT(AO161,LEN("Accueil"))="Accueil"</formula>
    </cfRule>
    <cfRule type="beginsWith" dxfId="2626" priority="3220" operator="beginsWith" text="Stage">
      <formula>LEFT(AO161,LEN("Stage"))="Stage"</formula>
    </cfRule>
    <cfRule type="beginsWith" dxfId="2625" priority="3221" operator="beginsWith" text="Entreprise">
      <formula>LEFT(AO161,LEN("Entreprise"))="Entreprise"</formula>
    </cfRule>
    <cfRule type="beginsWith" dxfId="2624" priority="3222" operator="beginsWith" text="Voltaire">
      <formula>LEFT(AO161,LEN("Voltaire"))="Voltaire"</formula>
    </cfRule>
    <cfRule type="beginsWith" dxfId="2623" priority="3223" operator="beginsWith" text="Projet professionnel : Séminaire PFI">
      <formula>LEFT(AO161,LEN("Projet professionnel : Séminaire PFI"))="Projet professionnel : Séminaire PFI"</formula>
    </cfRule>
    <cfRule type="beginsWith" dxfId="2622" priority="3224" operator="beginsWith" text="Lancement Projet fil rouge">
      <formula>LEFT(AO161,LEN("Lancement Projet fil rouge"))="Lancement Projet fil rouge"</formula>
    </cfRule>
    <cfRule type="beginsWith" dxfId="2621" priority="3225" operator="beginsWith" text="Vacances">
      <formula>LEFT(AO161,LEN("Vacances"))="Vacances"</formula>
    </cfRule>
    <cfRule type="beginsWith" dxfId="2620" priority="3226" operator="beginsWith" text="Séminaire d'intégration">
      <formula>LEFT(AO161,LEN("Séminaire d'intégration"))="Séminaire d'intégration"</formula>
    </cfRule>
    <cfRule type="beginsWith" dxfId="2619" priority="3227" operator="beginsWith" text="Accueil">
      <formula>LEFT(AO161,LEN("Accueil"))="Accueil"</formula>
    </cfRule>
    <cfRule type="beginsWith" dxfId="2618" priority="3228" operator="beginsWith" text="Stage">
      <formula>LEFT(AO161,LEN("Stage"))="Stage"</formula>
    </cfRule>
    <cfRule type="beginsWith" dxfId="2617" priority="3229" operator="beginsWith" text="Entreprise">
      <formula>LEFT(AO161,LEN("Entreprise"))="Entreprise"</formula>
    </cfRule>
    <cfRule type="beginsWith" dxfId="2616" priority="3230" operator="beginsWith" text="Voltaire">
      <formula>LEFT(AO161,LEN("Voltaire"))="Voltaire"</formula>
    </cfRule>
  </conditionalFormatting>
  <conditionalFormatting sqref="AO126">
    <cfRule type="beginsWith" dxfId="2615" priority="3207" operator="beginsWith" text="Projet professionnel : Séminaire PFI">
      <formula>LEFT(AO126,LEN("Projet professionnel : Séminaire PFI"))="Projet professionnel : Séminaire PFI"</formula>
    </cfRule>
    <cfRule type="beginsWith" dxfId="2614" priority="3208" operator="beginsWith" text="Lancement Projet fil rouge">
      <formula>LEFT(AO126,LEN("Lancement Projet fil rouge"))="Lancement Projet fil rouge"</formula>
    </cfRule>
    <cfRule type="beginsWith" dxfId="2613" priority="3209" operator="beginsWith" text="Vacances">
      <formula>LEFT(AO126,LEN("Vacances"))="Vacances"</formula>
    </cfRule>
    <cfRule type="beginsWith" dxfId="2612" priority="3210" operator="beginsWith" text="Séminaire d'intégration">
      <formula>LEFT(AO126,LEN("Séminaire d'intégration"))="Séminaire d'intégration"</formula>
    </cfRule>
    <cfRule type="beginsWith" dxfId="2611" priority="3211" operator="beginsWith" text="Accueil">
      <formula>LEFT(AO126,LEN("Accueil"))="Accueil"</formula>
    </cfRule>
    <cfRule type="beginsWith" dxfId="2610" priority="3212" operator="beginsWith" text="Stage">
      <formula>LEFT(AO126,LEN("Stage"))="Stage"</formula>
    </cfRule>
    <cfRule type="beginsWith" dxfId="2609" priority="3213" operator="beginsWith" text="Entreprise">
      <formula>LEFT(AO126,LEN("Entreprise"))="Entreprise"</formula>
    </cfRule>
    <cfRule type="beginsWith" dxfId="2608" priority="3214" operator="beginsWith" text="Voltaire">
      <formula>LEFT(AO126,LEN("Voltaire"))="Voltaire"</formula>
    </cfRule>
  </conditionalFormatting>
  <conditionalFormatting sqref="AO139:AO150">
    <cfRule type="beginsWith" dxfId="2607" priority="3199" operator="beginsWith" text="Projet professionnel : Séminaire PFI">
      <formula>LEFT(AO139,LEN("Projet professionnel : Séminaire PFI"))="Projet professionnel : Séminaire PFI"</formula>
    </cfRule>
    <cfRule type="beginsWith" dxfId="2606" priority="3200" operator="beginsWith" text="Lancement Projet fil rouge">
      <formula>LEFT(AO139,LEN("Lancement Projet fil rouge"))="Lancement Projet fil rouge"</formula>
    </cfRule>
    <cfRule type="beginsWith" dxfId="2605" priority="3201" operator="beginsWith" text="Vacances">
      <formula>LEFT(AO139,LEN("Vacances"))="Vacances"</formula>
    </cfRule>
    <cfRule type="beginsWith" dxfId="2604" priority="3202" operator="beginsWith" text="Séminaire d'intégration">
      <formula>LEFT(AO139,LEN("Séminaire d'intégration"))="Séminaire d'intégration"</formula>
    </cfRule>
    <cfRule type="beginsWith" dxfId="2603" priority="3203" operator="beginsWith" text="Accueil">
      <formula>LEFT(AO139,LEN("Accueil"))="Accueil"</formula>
    </cfRule>
    <cfRule type="beginsWith" dxfId="2602" priority="3204" operator="beginsWith" text="Stage">
      <formula>LEFT(AO139,LEN("Stage"))="Stage"</formula>
    </cfRule>
    <cfRule type="beginsWith" dxfId="2601" priority="3205" operator="beginsWith" text="Entreprise">
      <formula>LEFT(AO139,LEN("Entreprise"))="Entreprise"</formula>
    </cfRule>
    <cfRule type="beginsWith" dxfId="2600" priority="3206" operator="beginsWith" text="Voltaire">
      <formula>LEFT(AO139,LEN("Voltaire"))="Voltaire"</formula>
    </cfRule>
  </conditionalFormatting>
  <conditionalFormatting sqref="AO191">
    <cfRule type="beginsWith" dxfId="2599" priority="3191" operator="beginsWith" text="Projet professionnel : Séminaire PFI">
      <formula>LEFT(AO191,LEN("Projet professionnel : Séminaire PFI"))="Projet professionnel : Séminaire PFI"</formula>
    </cfRule>
    <cfRule type="beginsWith" dxfId="2598" priority="3192" operator="beginsWith" text="Lancement Projet fil rouge">
      <formula>LEFT(AO191,LEN("Lancement Projet fil rouge"))="Lancement Projet fil rouge"</formula>
    </cfRule>
    <cfRule type="beginsWith" dxfId="2597" priority="3193" operator="beginsWith" text="Vacances">
      <formula>LEFT(AO191,LEN("Vacances"))="Vacances"</formula>
    </cfRule>
    <cfRule type="beginsWith" dxfId="2596" priority="3194" operator="beginsWith" text="Séminaire d'intégration">
      <formula>LEFT(AO191,LEN("Séminaire d'intégration"))="Séminaire d'intégration"</formula>
    </cfRule>
    <cfRule type="beginsWith" dxfId="2595" priority="3195" operator="beginsWith" text="Accueil">
      <formula>LEFT(AO191,LEN("Accueil"))="Accueil"</formula>
    </cfRule>
    <cfRule type="beginsWith" dxfId="2594" priority="3196" operator="beginsWith" text="Stage">
      <formula>LEFT(AO191,LEN("Stage"))="Stage"</formula>
    </cfRule>
    <cfRule type="beginsWith" dxfId="2593" priority="3197" operator="beginsWith" text="Entreprise">
      <formula>LEFT(AO191,LEN("Entreprise"))="Entreprise"</formula>
    </cfRule>
    <cfRule type="beginsWith" dxfId="2592" priority="3198" operator="beginsWith" text="Voltaire">
      <formula>LEFT(AO191,LEN("Voltaire"))="Voltaire"</formula>
    </cfRule>
  </conditionalFormatting>
  <conditionalFormatting sqref="AO241">
    <cfRule type="beginsWith" dxfId="2591" priority="3183" operator="beginsWith" text="Projet professionnel : Séminaire PFI">
      <formula>LEFT(AO241,LEN("Projet professionnel : Séminaire PFI"))="Projet professionnel : Séminaire PFI"</formula>
    </cfRule>
    <cfRule type="beginsWith" dxfId="2590" priority="3184" operator="beginsWith" text="Lancement Projet fil rouge">
      <formula>LEFT(AO241,LEN("Lancement Projet fil rouge"))="Lancement Projet fil rouge"</formula>
    </cfRule>
    <cfRule type="beginsWith" dxfId="2589" priority="3185" operator="beginsWith" text="Vacances">
      <formula>LEFT(AO241,LEN("Vacances"))="Vacances"</formula>
    </cfRule>
    <cfRule type="beginsWith" dxfId="2588" priority="3186" operator="beginsWith" text="Séminaire d'intégration">
      <formula>LEFT(AO241,LEN("Séminaire d'intégration"))="Séminaire d'intégration"</formula>
    </cfRule>
    <cfRule type="beginsWith" dxfId="2587" priority="3187" operator="beginsWith" text="Accueil">
      <formula>LEFT(AO241,LEN("Accueil"))="Accueil"</formula>
    </cfRule>
    <cfRule type="beginsWith" dxfId="2586" priority="3188" operator="beginsWith" text="Stage">
      <formula>LEFT(AO241,LEN("Stage"))="Stage"</formula>
    </cfRule>
    <cfRule type="beginsWith" dxfId="2585" priority="3189" operator="beginsWith" text="Entreprise">
      <formula>LEFT(AO241,LEN("Entreprise"))="Entreprise"</formula>
    </cfRule>
    <cfRule type="beginsWith" dxfId="2584" priority="3190" operator="beginsWith" text="Voltaire">
      <formula>LEFT(AO241,LEN("Voltaire"))="Voltaire"</formula>
    </cfRule>
  </conditionalFormatting>
  <conditionalFormatting sqref="AO216">
    <cfRule type="beginsWith" dxfId="2583" priority="3175" operator="beginsWith" text="Projet professionnel : Séminaire PFI">
      <formula>LEFT(AO216,LEN("Projet professionnel : Séminaire PFI"))="Projet professionnel : Séminaire PFI"</formula>
    </cfRule>
    <cfRule type="beginsWith" dxfId="2582" priority="3176" operator="beginsWith" text="Lancement Projet fil rouge">
      <formula>LEFT(AO216,LEN("Lancement Projet fil rouge"))="Lancement Projet fil rouge"</formula>
    </cfRule>
    <cfRule type="beginsWith" dxfId="2581" priority="3177" operator="beginsWith" text="Vacances">
      <formula>LEFT(AO216,LEN("Vacances"))="Vacances"</formula>
    </cfRule>
    <cfRule type="beginsWith" dxfId="2580" priority="3178" operator="beginsWith" text="Séminaire d'intégration">
      <formula>LEFT(AO216,LEN("Séminaire d'intégration"))="Séminaire d'intégration"</formula>
    </cfRule>
    <cfRule type="beginsWith" dxfId="2579" priority="3179" operator="beginsWith" text="Accueil">
      <formula>LEFT(AO216,LEN("Accueil"))="Accueil"</formula>
    </cfRule>
    <cfRule type="beginsWith" dxfId="2578" priority="3180" operator="beginsWith" text="Stage">
      <formula>LEFT(AO216,LEN("Stage"))="Stage"</formula>
    </cfRule>
    <cfRule type="beginsWith" dxfId="2577" priority="3181" operator="beginsWith" text="Entreprise">
      <formula>LEFT(AO216,LEN("Entreprise"))="Entreprise"</formula>
    </cfRule>
    <cfRule type="beginsWith" dxfId="2576" priority="3182" operator="beginsWith" text="Voltaire">
      <formula>LEFT(AO216,LEN("Voltaire"))="Voltaire"</formula>
    </cfRule>
  </conditionalFormatting>
  <conditionalFormatting sqref="AS239:AS240">
    <cfRule type="beginsWith" dxfId="2575" priority="3168" operator="beginsWith" text="Lancement Projet fil rouge">
      <formula>LEFT(AS239,LEN("Lancement Projet fil rouge"))="Lancement Projet fil rouge"</formula>
    </cfRule>
  </conditionalFormatting>
  <conditionalFormatting sqref="AS239:AS240">
    <cfRule type="beginsWith" dxfId="2574" priority="3169" operator="beginsWith" text="Vacances">
      <formula>LEFT(AS239,LEN("Vacances"))="Vacances"</formula>
    </cfRule>
  </conditionalFormatting>
  <conditionalFormatting sqref="AS239:AS240">
    <cfRule type="beginsWith" dxfId="2573" priority="3170" operator="beginsWith" text="Séminaire d'intégration">
      <formula>LEFT(AS239,LEN("Séminaire d'intégration"))="Séminaire d'intégration"</formula>
    </cfRule>
  </conditionalFormatting>
  <conditionalFormatting sqref="AS239:AS240">
    <cfRule type="beginsWith" dxfId="2572" priority="3171" operator="beginsWith" text="Accueil">
      <formula>LEFT(AS239,LEN("Accueil"))="Accueil"</formula>
    </cfRule>
  </conditionalFormatting>
  <conditionalFormatting sqref="AS239:AS240">
    <cfRule type="beginsWith" dxfId="2571" priority="3172" operator="beginsWith" text="Stage">
      <formula>LEFT(AS239,LEN("Stage"))="Stage"</formula>
    </cfRule>
    <cfRule type="beginsWith" dxfId="2570" priority="3173" operator="beginsWith" text="Entreprise">
      <formula>LEFT(AS239,LEN("Entreprise"))="Entreprise"</formula>
    </cfRule>
    <cfRule type="beginsWith" dxfId="2569" priority="3174" operator="beginsWith" text="Voltaire">
      <formula>LEFT(AS239,LEN("Voltaire"))="Voltaire"</formula>
    </cfRule>
  </conditionalFormatting>
  <conditionalFormatting sqref="AS236">
    <cfRule type="beginsWith" dxfId="2568" priority="3158" operator="beginsWith" text="Lancement Projet fil rouge">
      <formula>LEFT(AS236,LEN("Lancement Projet fil rouge"))="Lancement Projet fil rouge"</formula>
    </cfRule>
  </conditionalFormatting>
  <conditionalFormatting sqref="AS236">
    <cfRule type="beginsWith" dxfId="2567" priority="3159" operator="beginsWith" text="Vacances">
      <formula>LEFT(AS236,LEN("Vacances"))="Vacances"</formula>
    </cfRule>
  </conditionalFormatting>
  <conditionalFormatting sqref="AS236">
    <cfRule type="beginsWith" dxfId="2566" priority="3160" operator="beginsWith" text="Séminaire d'intégration">
      <formula>LEFT(AS236,LEN("Séminaire d'intégration"))="Séminaire d'intégration"</formula>
    </cfRule>
  </conditionalFormatting>
  <conditionalFormatting sqref="AS236">
    <cfRule type="beginsWith" dxfId="2565" priority="3161" operator="beginsWith" text="Accueil">
      <formula>LEFT(AS236,LEN("Accueil"))="Accueil"</formula>
    </cfRule>
  </conditionalFormatting>
  <conditionalFormatting sqref="AS236">
    <cfRule type="beginsWith" dxfId="2564" priority="3164" operator="beginsWith" text="Stage">
      <formula>LEFT(AS236,LEN("Stage"))="Stage"</formula>
    </cfRule>
    <cfRule type="beginsWith" dxfId="2563" priority="3165" operator="beginsWith" text="Entreprise">
      <formula>LEFT(AS236,LEN("Entreprise"))="Entreprise"</formula>
    </cfRule>
    <cfRule type="beginsWith" dxfId="2562" priority="3167" operator="beginsWith" text="Voltaire">
      <formula>LEFT(AS236,LEN("Voltaire"))="Voltaire"</formula>
    </cfRule>
  </conditionalFormatting>
  <conditionalFormatting sqref="AS236">
    <cfRule type="beginsWith" dxfId="2561" priority="3162" operator="beginsWith" text="TOPHYC">
      <formula>LEFT(AS236,LEN("TOPHYC"))="TOPHYC"</formula>
    </cfRule>
    <cfRule type="beginsWith" dxfId="2560" priority="3163" operator="beginsWith" text="Global Exam">
      <formula>LEFT(AS236,LEN("Global Exam"))="Global Exam"</formula>
    </cfRule>
    <cfRule type="beginsWith" dxfId="2559" priority="3166" operator="beginsWith" text="TOMIC">
      <formula>LEFT(AS236,LEN("TOMIC"))="TOMIC"</formula>
    </cfRule>
  </conditionalFormatting>
  <conditionalFormatting sqref="AS231:AS235">
    <cfRule type="beginsWith" dxfId="2558" priority="3151" operator="beginsWith" text="Lancement Projet fil rouge">
      <formula>LEFT(AS231,LEN("Lancement Projet fil rouge"))="Lancement Projet fil rouge"</formula>
    </cfRule>
  </conditionalFormatting>
  <conditionalFormatting sqref="AS231:AS235">
    <cfRule type="beginsWith" dxfId="2557" priority="3152" operator="beginsWith" text="Vacances">
      <formula>LEFT(AS231,LEN("Vacances"))="Vacances"</formula>
    </cfRule>
  </conditionalFormatting>
  <conditionalFormatting sqref="AS231:AS235">
    <cfRule type="beginsWith" dxfId="2556" priority="3153" operator="beginsWith" text="Séminaire d'intégration">
      <formula>LEFT(AS231,LEN("Séminaire d'intégration"))="Séminaire d'intégration"</formula>
    </cfRule>
  </conditionalFormatting>
  <conditionalFormatting sqref="AS231:AS235">
    <cfRule type="beginsWith" dxfId="2555" priority="3154" operator="beginsWith" text="Accueil">
      <formula>LEFT(AS231,LEN("Accueil"))="Accueil"</formula>
    </cfRule>
  </conditionalFormatting>
  <conditionalFormatting sqref="AS231:AS235">
    <cfRule type="beginsWith" dxfId="2554" priority="3155" operator="beginsWith" text="Stage">
      <formula>LEFT(AS231,LEN("Stage"))="Stage"</formula>
    </cfRule>
    <cfRule type="beginsWith" dxfId="2553" priority="3156" operator="beginsWith" text="Entreprise">
      <formula>LEFT(AS231,LEN("Entreprise"))="Entreprise"</formula>
    </cfRule>
    <cfRule type="beginsWith" dxfId="2552" priority="3157" operator="beginsWith" text="Voltaire">
      <formula>LEFT(AS231,LEN("Voltaire"))="Voltaire"</formula>
    </cfRule>
  </conditionalFormatting>
  <conditionalFormatting sqref="AO196">
    <cfRule type="beginsWith" dxfId="2551" priority="3143" operator="beginsWith" text="Projet professionnel : Séminaire PFI">
      <formula>LEFT(AO196,LEN("Projet professionnel : Séminaire PFI"))="Projet professionnel : Séminaire PFI"</formula>
    </cfRule>
    <cfRule type="beginsWith" dxfId="2550" priority="3144" operator="beginsWith" text="Lancement Projet fil rouge">
      <formula>LEFT(AO196,LEN("Lancement Projet fil rouge"))="Lancement Projet fil rouge"</formula>
    </cfRule>
    <cfRule type="beginsWith" dxfId="2549" priority="3145" operator="beginsWith" text="Vacances">
      <formula>LEFT(AO196,LEN("Vacances"))="Vacances"</formula>
    </cfRule>
    <cfRule type="beginsWith" dxfId="2548" priority="3146" operator="beginsWith" text="Séminaire d'intégration">
      <formula>LEFT(AO196,LEN("Séminaire d'intégration"))="Séminaire d'intégration"</formula>
    </cfRule>
    <cfRule type="beginsWith" dxfId="2547" priority="3147" operator="beginsWith" text="Accueil">
      <formula>LEFT(AO196,LEN("Accueil"))="Accueil"</formula>
    </cfRule>
    <cfRule type="beginsWith" dxfId="2546" priority="3148" operator="beginsWith" text="Stage">
      <formula>LEFT(AO196,LEN("Stage"))="Stage"</formula>
    </cfRule>
    <cfRule type="beginsWith" dxfId="2545" priority="3149" operator="beginsWith" text="Entreprise">
      <formula>LEFT(AO196,LEN("Entreprise"))="Entreprise"</formula>
    </cfRule>
    <cfRule type="beginsWith" dxfId="2544" priority="3150" operator="beginsWith" text="Voltaire">
      <formula>LEFT(AO196,LEN("Voltaire"))="Voltaire"</formula>
    </cfRule>
  </conditionalFormatting>
  <conditionalFormatting sqref="BO1:BO2 BM1:BM5 BO5 BM61:BM1048576 BT169:BT170 BT172 BT174 BT179:BT180 BT214 BS224:BT224 BO261:BO274 BO290:BO1048576 BQ290:BQ1048576 BQ261:BQ274 BQ5 BQ1:BQ2 BS231:BT240">
    <cfRule type="beginsWith" dxfId="2543" priority="3133" operator="beginsWith" text="Lancement Projet fil rouge">
      <formula>LEFT(BM1,LEN("Lancement Projet fil rouge"))="Lancement Projet fil rouge"</formula>
    </cfRule>
  </conditionalFormatting>
  <conditionalFormatting sqref="BO1:BO2 BM1:BM5 BO5 BM16:BM1048576 BT169:BT170 BT172 BT174 BT179:BT180 BT214 BS224:BT224 BO261:BO274 BO290:BO1048576 BQ290:BQ1048576 BQ261:BQ274 BQ5 BQ1:BQ2 BS231:BT240">
    <cfRule type="beginsWith" dxfId="2542" priority="3134" operator="beginsWith" text="Vacances">
      <formula>LEFT(BM1,LEN("Vacances"))="Vacances"</formula>
    </cfRule>
  </conditionalFormatting>
  <conditionalFormatting sqref="BO1:BO2 BM1:BM5 BO5 BM16:BM1048576 BT169:BT170 BT172 BT174 BT179:BT180 BT214 BS224:BT224 BO261:BO274 BO290:BO1048576 BN254:BN1048576 BQ290:BQ1048576 BQ261:BQ274 BQ5 BQ1:BQ2 BS231:BT240">
    <cfRule type="beginsWith" dxfId="2541" priority="3135" operator="beginsWith" text="Séminaire d'intégration">
      <formula>LEFT(BM1,LEN("Séminaire d'intégration"))="Séminaire d'intégration"</formula>
    </cfRule>
  </conditionalFormatting>
  <conditionalFormatting sqref="BO1:BO2 BM1:BM5 BO5 BM16:BM1048576 BT169:BT170 BT172 BT174 BT179:BT180 BT214 BS224:BT224 BN254:BN1048576 BO261:BO274 BO290:BO1048576 BQ290:BQ1048576 BQ261:BQ274 BQ5 BQ1:BQ2 BS231:BT240">
    <cfRule type="beginsWith" dxfId="2540" priority="3136" operator="beginsWith" text="Accueil">
      <formula>LEFT(BM1,LEN("Accueil"))="Accueil"</formula>
    </cfRule>
  </conditionalFormatting>
  <conditionalFormatting sqref="BM6:BM10">
    <cfRule type="beginsWith" dxfId="2539" priority="2812" operator="beginsWith" text="Lancement Projet fil rouge">
      <formula>LEFT(BM6,LEN("Lancement Projet fil rouge"))="Lancement Projet fil rouge"</formula>
    </cfRule>
    <cfRule type="beginsWith" dxfId="2538" priority="2813" operator="beginsWith" text="Vacances">
      <formula>LEFT(BM6,LEN("Vacances"))="Vacances"</formula>
    </cfRule>
    <cfRule type="beginsWith" dxfId="2537" priority="2814" operator="beginsWith" text="Séminaire d'intégration">
      <formula>LEFT(BM6,LEN("Séminaire d'intégration"))="Séminaire d'intégration"</formula>
    </cfRule>
    <cfRule type="beginsWith" dxfId="2536" priority="2815" operator="beginsWith" text="Accueil">
      <formula>LEFT(BM6,LEN("Accueil"))="Accueil"</formula>
    </cfRule>
    <cfRule type="beginsWith" dxfId="2535" priority="2816" operator="beginsWith" text="Stage">
      <formula>LEFT(BM6,LEN("Stage"))="Stage"</formula>
    </cfRule>
    <cfRule type="beginsWith" dxfId="2534" priority="2817" operator="beginsWith" text="Entreprise">
      <formula>LEFT(BM6,LEN("Entreprise"))="Entreprise"</formula>
    </cfRule>
    <cfRule type="beginsWith" dxfId="2533" priority="2818" operator="beginsWith" text="Voltaire">
      <formula>LEFT(BM6,LEN("Voltaire"))="Voltaire"</formula>
    </cfRule>
  </conditionalFormatting>
  <conditionalFormatting sqref="BM11:BM15">
    <cfRule type="beginsWith" dxfId="2532" priority="3124" operator="beginsWith" text="Vacances">
      <formula>LEFT(BM11,LEN("Vacances"))="Vacances"</formula>
    </cfRule>
    <cfRule type="beginsWith" dxfId="2531" priority="3125" operator="beginsWith" text="Séminaire d'intégration">
      <formula>LEFT(BM11,LEN("Séminaire d'intégration"))="Séminaire d'intégration"</formula>
    </cfRule>
    <cfRule type="beginsWith" dxfId="2530" priority="3126" operator="beginsWith" text="Accueil">
      <formula>LEFT(BM11,LEN("Accueil"))="Accueil"</formula>
    </cfRule>
    <cfRule type="beginsWith" dxfId="2529" priority="3127" operator="beginsWith" text="Stage">
      <formula>LEFT(BM11,LEN("Stage"))="Stage"</formula>
    </cfRule>
    <cfRule type="beginsWith" dxfId="2528" priority="3128" operator="beginsWith" text="Entreprise">
      <formula>LEFT(BM11,LEN("Entreprise"))="Entreprise"</formula>
    </cfRule>
    <cfRule type="beginsWith" dxfId="2527" priority="3129" operator="beginsWith" text="Voltaire">
      <formula>LEFT(BM11,LEN("Voltaire"))="Voltaire"</formula>
    </cfRule>
  </conditionalFormatting>
  <conditionalFormatting sqref="BO1:BO2 BO5 BT169:BT170 BT172 BT174 BT179:BT180 BT214 BO261:BO274 BO290:BO1048576 BM1:BM5 BM16:BM1048576 BS224:BT224 BN254:BN1048576 BQ290:BQ1048576 BQ261:BQ274 BQ5 BQ1:BQ2 BS231:BT240">
    <cfRule type="beginsWith" dxfId="2526" priority="3139" operator="beginsWith" text="Stage">
      <formula>LEFT(BM1,LEN("Stage"))="Stage"</formula>
    </cfRule>
    <cfRule type="beginsWith" dxfId="2525" priority="3140" operator="beginsWith" text="Entreprise">
      <formula>LEFT(BM1,LEN("Entreprise"))="Entreprise"</formula>
    </cfRule>
    <cfRule type="beginsWith" dxfId="2524" priority="3142" operator="beginsWith" text="Voltaire">
      <formula>LEFT(BM1,LEN("Voltaire"))="Voltaire"</formula>
    </cfRule>
  </conditionalFormatting>
  <conditionalFormatting sqref="BT169:BT170 BT172 BT174 BT179:BT180 BT214 BT224 BT231:BT240">
    <cfRule type="beginsWith" dxfId="2523" priority="3137" operator="beginsWith" text="TOPHYC">
      <formula>LEFT(BT169,LEN("TOPHYC"))="TOPHYC"</formula>
    </cfRule>
    <cfRule type="beginsWith" dxfId="2522" priority="3138" operator="beginsWith" text="Global Exam">
      <formula>LEFT(BT169,LEN("Global Exam"))="Global Exam"</formula>
    </cfRule>
    <cfRule type="beginsWith" dxfId="2521" priority="3141" operator="beginsWith" text="TOMIC">
      <formula>LEFT(BT169,LEN("TOMIC"))="TOMIC"</formula>
    </cfRule>
  </conditionalFormatting>
  <conditionalFormatting sqref="BM11:BM60">
    <cfRule type="beginsWith" dxfId="2520" priority="3123" operator="beginsWith" text="Lancement Projet fil rouge">
      <formula>LEFT(BM11,LEN("Lancement Projet fil rouge"))="Lancement Projet fil rouge"</formula>
    </cfRule>
  </conditionalFormatting>
  <conditionalFormatting sqref="BN1:BN2 BN5 BN44:BN50">
    <cfRule type="beginsWith" dxfId="2519" priority="3115" operator="beginsWith" text="Projet professionnel : Séminaire PFI">
      <formula>LEFT(BN1,LEN("Projet professionnel : Séminaire PFI"))="Projet professionnel : Séminaire PFI"</formula>
    </cfRule>
    <cfRule type="beginsWith" dxfId="2518" priority="3116" operator="beginsWith" text="Lancement Projet fil rouge">
      <formula>LEFT(BN1,LEN("Lancement Projet fil rouge"))="Lancement Projet fil rouge"</formula>
    </cfRule>
    <cfRule type="beginsWith" dxfId="2517" priority="3117" operator="beginsWith" text="Vacances">
      <formula>LEFT(BN1,LEN("Vacances"))="Vacances"</formula>
    </cfRule>
    <cfRule type="beginsWith" dxfId="2516" priority="3118" operator="beginsWith" text="Séminaire d'intégration">
      <formula>LEFT(BN1,LEN("Séminaire d'intégration"))="Séminaire d'intégration"</formula>
    </cfRule>
    <cfRule type="beginsWith" dxfId="2515" priority="3119" operator="beginsWith" text="Accueil">
      <formula>LEFT(BN1,LEN("Accueil"))="Accueil"</formula>
    </cfRule>
    <cfRule type="beginsWith" dxfId="2514" priority="3120" operator="beginsWith" text="Stage">
      <formula>LEFT(BN1,LEN("Stage"))="Stage"</formula>
    </cfRule>
    <cfRule type="beginsWith" dxfId="2513" priority="3121" operator="beginsWith" text="Entreprise">
      <formula>LEFT(BN1,LEN("Entreprise"))="Entreprise"</formula>
    </cfRule>
    <cfRule type="beginsWith" dxfId="2512" priority="3122" operator="beginsWith" text="Voltaire">
      <formula>LEFT(BN1,LEN("Voltaire"))="Voltaire"</formula>
    </cfRule>
  </conditionalFormatting>
  <conditionalFormatting sqref="BN3">
    <cfRule type="beginsWith" dxfId="2511" priority="3068" operator="beginsWith" text="Lancement Projet fil rouge">
      <formula>LEFT(BN3,LEN("Lancement Projet fil rouge"))="Lancement Projet fil rouge"</formula>
    </cfRule>
    <cfRule type="beginsWith" dxfId="2510" priority="3069" operator="beginsWith" text="Vacances">
      <formula>LEFT(BN3,LEN("Vacances"))="Vacances"</formula>
    </cfRule>
    <cfRule type="beginsWith" dxfId="2509" priority="3070" operator="beginsWith" text="Séminaire d'intégration">
      <formula>LEFT(BN3,LEN("Séminaire d'intégration"))="Séminaire d'intégration"</formula>
    </cfRule>
    <cfRule type="beginsWith" dxfId="2508" priority="3071" operator="beginsWith" text="Accueil">
      <formula>LEFT(BN3,LEN("Accueil"))="Accueil"</formula>
    </cfRule>
    <cfRule type="beginsWith" dxfId="2507" priority="3072" operator="beginsWith" text="Stage">
      <formula>LEFT(BN3,LEN("Stage"))="Stage"</formula>
    </cfRule>
    <cfRule type="beginsWith" dxfId="2506" priority="3073" operator="beginsWith" text="Entreprise">
      <formula>LEFT(BN3,LEN("Entreprise"))="Entreprise"</formula>
    </cfRule>
    <cfRule type="beginsWith" dxfId="2505" priority="3074" operator="beginsWith" text="Voltaire">
      <formula>LEFT(BN3,LEN("Voltaire"))="Voltaire"</formula>
    </cfRule>
  </conditionalFormatting>
  <conditionalFormatting sqref="BN6">
    <cfRule type="beginsWith" dxfId="2504" priority="2794" operator="beginsWith" text="Projet professionnel : Séminaire PFI">
      <formula>LEFT(BN6,LEN("Projet professionnel : Séminaire PFI"))="Projet professionnel : Séminaire PFI"</formula>
    </cfRule>
    <cfRule type="beginsWith" dxfId="2503" priority="2795" operator="beginsWith" text="Lancement Projet fil rouge">
      <formula>LEFT(BN6,LEN("Lancement Projet fil rouge"))="Lancement Projet fil rouge"</formula>
    </cfRule>
    <cfRule type="beginsWith" dxfId="2502" priority="2796" operator="beginsWith" text="Vacances">
      <formula>LEFT(BN6,LEN("Vacances"))="Vacances"</formula>
    </cfRule>
    <cfRule type="beginsWith" dxfId="2501" priority="2797" operator="beginsWith" text="Séminaire d'intégration">
      <formula>LEFT(BN6,LEN("Séminaire d'intégration"))="Séminaire d'intégration"</formula>
    </cfRule>
    <cfRule type="beginsWith" dxfId="2500" priority="2798" operator="beginsWith" text="Accueil">
      <formula>LEFT(BN6,LEN("Accueil"))="Accueil"</formula>
    </cfRule>
    <cfRule type="beginsWith" dxfId="2499" priority="2799" operator="beginsWith" text="Stage">
      <formula>LEFT(BN6,LEN("Stage"))="Stage"</formula>
    </cfRule>
    <cfRule type="beginsWith" dxfId="2498" priority="2800" operator="beginsWith" text="Entreprise">
      <formula>LEFT(BN6,LEN("Entreprise"))="Entreprise"</formula>
    </cfRule>
    <cfRule type="beginsWith" dxfId="2497" priority="2801" operator="beginsWith" text="Voltaire">
      <formula>LEFT(BN6,LEN("Voltaire"))="Voltaire"</formula>
    </cfRule>
  </conditionalFormatting>
  <conditionalFormatting sqref="BN16">
    <cfRule type="beginsWith" dxfId="2496" priority="3099" operator="beginsWith" text="Projet professionnel : Séminaire PFI">
      <formula>LEFT(BN16,LEN("Projet professionnel : Séminaire PFI"))="Projet professionnel : Séminaire PFI"</formula>
    </cfRule>
    <cfRule type="beginsWith" dxfId="2495" priority="3100" operator="beginsWith" text="Lancement Projet fil rouge">
      <formula>LEFT(BN16,LEN("Lancement Projet fil rouge"))="Lancement Projet fil rouge"</formula>
    </cfRule>
    <cfRule type="beginsWith" dxfId="2494" priority="3101" operator="beginsWith" text="Vacances">
      <formula>LEFT(BN16,LEN("Vacances"))="Vacances"</formula>
    </cfRule>
    <cfRule type="beginsWith" dxfId="2493" priority="3102" operator="beginsWith" text="Séminaire d'intégration">
      <formula>LEFT(BN16,LEN("Séminaire d'intégration"))="Séminaire d'intégration"</formula>
    </cfRule>
    <cfRule type="beginsWith" dxfId="2492" priority="3103" operator="beginsWith" text="Accueil">
      <formula>LEFT(BN16,LEN("Accueil"))="Accueil"</formula>
    </cfRule>
    <cfRule type="beginsWith" dxfId="2491" priority="3104" operator="beginsWith" text="Stage">
      <formula>LEFT(BN16,LEN("Stage"))="Stage"</formula>
    </cfRule>
    <cfRule type="beginsWith" dxfId="2490" priority="3105" operator="beginsWith" text="Entreprise">
      <formula>LEFT(BN16,LEN("Entreprise"))="Entreprise"</formula>
    </cfRule>
    <cfRule type="beginsWith" dxfId="2489" priority="3106" operator="beginsWith" text="Voltaire">
      <formula>LEFT(BN16,LEN("Voltaire"))="Voltaire"</formula>
    </cfRule>
  </conditionalFormatting>
  <conditionalFormatting sqref="BN26">
    <cfRule type="beginsWith" dxfId="2488" priority="3107" operator="beginsWith" text="Projet professionnel : Séminaire PFI">
      <formula>LEFT(BN26,LEN("Projet professionnel : Séminaire PFI"))="Projet professionnel : Séminaire PFI"</formula>
    </cfRule>
    <cfRule type="beginsWith" dxfId="2487" priority="3108" operator="beginsWith" text="Lancement Projet fil rouge">
      <formula>LEFT(BN26,LEN("Lancement Projet fil rouge"))="Lancement Projet fil rouge"</formula>
    </cfRule>
    <cfRule type="beginsWith" dxfId="2486" priority="3109" operator="beginsWith" text="Vacances">
      <formula>LEFT(BN26,LEN("Vacances"))="Vacances"</formula>
    </cfRule>
    <cfRule type="beginsWith" dxfId="2485" priority="3110" operator="beginsWith" text="Séminaire d'intégration">
      <formula>LEFT(BN26,LEN("Séminaire d'intégration"))="Séminaire d'intégration"</formula>
    </cfRule>
    <cfRule type="beginsWith" dxfId="2484" priority="3111" operator="beginsWith" text="Accueil">
      <formula>LEFT(BN26,LEN("Accueil"))="Accueil"</formula>
    </cfRule>
    <cfRule type="beginsWith" dxfId="2483" priority="3112" operator="beginsWith" text="Stage">
      <formula>LEFT(BN26,LEN("Stage"))="Stage"</formula>
    </cfRule>
    <cfRule type="beginsWith" dxfId="2482" priority="3113" operator="beginsWith" text="Entreprise">
      <formula>LEFT(BN26,LEN("Entreprise"))="Entreprise"</formula>
    </cfRule>
    <cfRule type="beginsWith" dxfId="2481" priority="3114" operator="beginsWith" text="Voltaire">
      <formula>LEFT(BN26,LEN("Voltaire"))="Voltaire"</formula>
    </cfRule>
  </conditionalFormatting>
  <conditionalFormatting sqref="BN36:BN43">
    <cfRule type="beginsWith" dxfId="2480" priority="3083" operator="beginsWith" text="Projet professionnel : Séminaire PFI">
      <formula>LEFT(BN36,LEN("Projet professionnel : Séminaire PFI"))="Projet professionnel : Séminaire PFI"</formula>
    </cfRule>
    <cfRule type="beginsWith" dxfId="2479" priority="3084" operator="beginsWith" text="Lancement Projet fil rouge">
      <formula>LEFT(BN36,LEN("Lancement Projet fil rouge"))="Lancement Projet fil rouge"</formula>
    </cfRule>
    <cfRule type="beginsWith" dxfId="2478" priority="3085" operator="beginsWith" text="Vacances">
      <formula>LEFT(BN36,LEN("Vacances"))="Vacances"</formula>
    </cfRule>
    <cfRule type="beginsWith" dxfId="2477" priority="3086" operator="beginsWith" text="Séminaire d'intégration">
      <formula>LEFT(BN36,LEN("Séminaire d'intégration"))="Séminaire d'intégration"</formula>
    </cfRule>
    <cfRule type="beginsWith" dxfId="2476" priority="3087" operator="beginsWith" text="Accueil">
      <formula>LEFT(BN36,LEN("Accueil"))="Accueil"</formula>
    </cfRule>
    <cfRule type="beginsWith" dxfId="2475" priority="3088" operator="beginsWith" text="Stage">
      <formula>LEFT(BN36,LEN("Stage"))="Stage"</formula>
    </cfRule>
    <cfRule type="beginsWith" dxfId="2474" priority="3089" operator="beginsWith" text="Entreprise">
      <formula>LEFT(BN36,LEN("Entreprise"))="Entreprise"</formula>
    </cfRule>
    <cfRule type="beginsWith" dxfId="2473" priority="3090" operator="beginsWith" text="Voltaire">
      <formula>LEFT(BN36,LEN("Voltaire"))="Voltaire"</formula>
    </cfRule>
  </conditionalFormatting>
  <conditionalFormatting sqref="BN111">
    <cfRule type="beginsWith" dxfId="2472" priority="2772" operator="beginsWith" text="Projet professionnel : Séminaire PFI">
      <formula>LEFT(BN111,LEN("Projet professionnel : Séminaire PFI"))="Projet professionnel : Séminaire PFI"</formula>
    </cfRule>
    <cfRule type="beginsWith" dxfId="2471" priority="2773" operator="beginsWith" text="Lancement Projet fil rouge">
      <formula>LEFT(BN111,LEN("Lancement Projet fil rouge"))="Lancement Projet fil rouge"</formula>
    </cfRule>
    <cfRule type="beginsWith" dxfId="2470" priority="2774" operator="beginsWith" text="Vacances">
      <formula>LEFT(BN111,LEN("Vacances"))="Vacances"</formula>
    </cfRule>
    <cfRule type="beginsWith" dxfId="2469" priority="2775" operator="beginsWith" text="Séminaire d'intégration">
      <formula>LEFT(BN111,LEN("Séminaire d'intégration"))="Séminaire d'intégration"</formula>
    </cfRule>
    <cfRule type="beginsWith" dxfId="2468" priority="2776" operator="beginsWith" text="Accueil">
      <formula>LEFT(BN111,LEN("Accueil"))="Accueil"</formula>
    </cfRule>
    <cfRule type="beginsWith" dxfId="2467" priority="2777" operator="beginsWith" text="Stage">
      <formula>LEFT(BN111,LEN("Stage"))="Stage"</formula>
    </cfRule>
    <cfRule type="beginsWith" dxfId="2466" priority="2778" operator="beginsWith" text="Entreprise">
      <formula>LEFT(BN111,LEN("Entreprise"))="Entreprise"</formula>
    </cfRule>
    <cfRule type="beginsWith" dxfId="2465" priority="2779" operator="beginsWith" text="Voltaire">
      <formula>LEFT(BN111,LEN("Voltaire"))="Voltaire"</formula>
    </cfRule>
  </conditionalFormatting>
  <conditionalFormatting sqref="BN116">
    <cfRule type="beginsWith" dxfId="2464" priority="2756" operator="beginsWith" text="Projet professionnel : Séminaire PFI">
      <formula>LEFT(BN116,LEN("Projet professionnel : Séminaire PFI"))="Projet professionnel : Séminaire PFI"</formula>
    </cfRule>
    <cfRule type="beginsWith" dxfId="2463" priority="2757" operator="beginsWith" text="Lancement Projet fil rouge">
      <formula>LEFT(BN116,LEN("Lancement Projet fil rouge"))="Lancement Projet fil rouge"</formula>
    </cfRule>
    <cfRule type="beginsWith" dxfId="2462" priority="2758" operator="beginsWith" text="Vacances">
      <formula>LEFT(BN116,LEN("Vacances"))="Vacances"</formula>
    </cfRule>
    <cfRule type="beginsWith" dxfId="2461" priority="2759" operator="beginsWith" text="Séminaire d'intégration">
      <formula>LEFT(BN116,LEN("Séminaire d'intégration"))="Séminaire d'intégration"</formula>
    </cfRule>
    <cfRule type="beginsWith" dxfId="2460" priority="2760" operator="beginsWith" text="Accueil">
      <formula>LEFT(BN116,LEN("Accueil"))="Accueil"</formula>
    </cfRule>
    <cfRule type="beginsWith" dxfId="2459" priority="2761" operator="beginsWith" text="Stage">
      <formula>LEFT(BN116,LEN("Stage"))="Stage"</formula>
    </cfRule>
    <cfRule type="beginsWith" dxfId="2458" priority="2762" operator="beginsWith" text="Entreprise">
      <formula>LEFT(BN116,LEN("Entreprise"))="Entreprise"</formula>
    </cfRule>
    <cfRule type="beginsWith" dxfId="2457" priority="2763" operator="beginsWith" text="Voltaire">
      <formula>LEFT(BN116,LEN("Voltaire"))="Voltaire"</formula>
    </cfRule>
    <cfRule type="beginsWith" dxfId="2456" priority="2764" operator="beginsWith" text="Projet professionnel : Séminaire PFI">
      <formula>LEFT(BN116,LEN("Projet professionnel : Séminaire PFI"))="Projet professionnel : Séminaire PFI"</formula>
    </cfRule>
    <cfRule type="beginsWith" dxfId="2455" priority="2765" operator="beginsWith" text="Lancement Projet fil rouge">
      <formula>LEFT(BN116,LEN("Lancement Projet fil rouge"))="Lancement Projet fil rouge"</formula>
    </cfRule>
    <cfRule type="beginsWith" dxfId="2454" priority="2766" operator="beginsWith" text="Vacances">
      <formula>LEFT(BN116,LEN("Vacances"))="Vacances"</formula>
    </cfRule>
    <cfRule type="beginsWith" dxfId="2453" priority="2767" operator="beginsWith" text="Séminaire d'intégration">
      <formula>LEFT(BN116,LEN("Séminaire d'intégration"))="Séminaire d'intégration"</formula>
    </cfRule>
    <cfRule type="beginsWith" dxfId="2452" priority="2768" operator="beginsWith" text="Accueil">
      <formula>LEFT(BN116,LEN("Accueil"))="Accueil"</formula>
    </cfRule>
    <cfRule type="beginsWith" dxfId="2451" priority="2769" operator="beginsWith" text="Stage">
      <formula>LEFT(BN116,LEN("Stage"))="Stage"</formula>
    </cfRule>
    <cfRule type="beginsWith" dxfId="2450" priority="2770" operator="beginsWith" text="Entreprise">
      <formula>LEFT(BN116,LEN("Entreprise"))="Entreprise"</formula>
    </cfRule>
    <cfRule type="beginsWith" dxfId="2449" priority="2771" operator="beginsWith" text="Voltaire">
      <formula>LEFT(BN116,LEN("Voltaire"))="Voltaire"</formula>
    </cfRule>
  </conditionalFormatting>
  <conditionalFormatting sqref="BN126:BN127">
    <cfRule type="beginsWith" dxfId="2448" priority="2676" operator="beginsWith" text="Projet professionnel : Séminaire PFI">
      <formula>LEFT(BN126,LEN("Projet professionnel : Séminaire PFI"))="Projet professionnel : Séminaire PFI"</formula>
    </cfRule>
    <cfRule type="beginsWith" dxfId="2447" priority="2677" operator="beginsWith" text="Lancement Projet fil rouge">
      <formula>LEFT(BN126,LEN("Lancement Projet fil rouge"))="Lancement Projet fil rouge"</formula>
    </cfRule>
    <cfRule type="beginsWith" dxfId="2446" priority="2678" operator="beginsWith" text="Vacances">
      <formula>LEFT(BN126,LEN("Vacances"))="Vacances"</formula>
    </cfRule>
    <cfRule type="beginsWith" dxfId="2445" priority="2679" operator="beginsWith" text="Séminaire d'intégration">
      <formula>LEFT(BN126,LEN("Séminaire d'intégration"))="Séminaire d'intégration"</formula>
    </cfRule>
    <cfRule type="beginsWith" dxfId="2444" priority="2680" operator="beginsWith" text="Accueil">
      <formula>LEFT(BN126,LEN("Accueil"))="Accueil"</formula>
    </cfRule>
    <cfRule type="beginsWith" dxfId="2443" priority="2681" operator="beginsWith" text="Stage">
      <formula>LEFT(BN126,LEN("Stage"))="Stage"</formula>
    </cfRule>
    <cfRule type="beginsWith" dxfId="2442" priority="2682" operator="beginsWith" text="Entreprise">
      <formula>LEFT(BN126,LEN("Entreprise"))="Entreprise"</formula>
    </cfRule>
    <cfRule type="beginsWith" dxfId="2441" priority="2683" operator="beginsWith" text="Voltaire">
      <formula>LEFT(BN126,LEN("Voltaire"))="Voltaire"</formula>
    </cfRule>
  </conditionalFormatting>
  <conditionalFormatting sqref="BN128:BN129">
    <cfRule type="beginsWith" dxfId="2440" priority="2724" operator="beginsWith" text="Projet professionnel : Séminaire PFI">
      <formula>LEFT(BN128,LEN("Projet professionnel : Séminaire PFI"))="Projet professionnel : Séminaire PFI"</formula>
    </cfRule>
    <cfRule type="beginsWith" dxfId="2439" priority="2725" operator="beginsWith" text="Lancement Projet fil rouge">
      <formula>LEFT(BN128,LEN("Lancement Projet fil rouge"))="Lancement Projet fil rouge"</formula>
    </cfRule>
    <cfRule type="beginsWith" dxfId="2438" priority="2726" operator="beginsWith" text="Vacances">
      <formula>LEFT(BN128,LEN("Vacances"))="Vacances"</formula>
    </cfRule>
    <cfRule type="beginsWith" dxfId="2437" priority="2727" operator="beginsWith" text="Séminaire d'intégration">
      <formula>LEFT(BN128,LEN("Séminaire d'intégration"))="Séminaire d'intégration"</formula>
    </cfRule>
    <cfRule type="beginsWith" dxfId="2436" priority="2728" operator="beginsWith" text="Accueil">
      <formula>LEFT(BN128,LEN("Accueil"))="Accueil"</formula>
    </cfRule>
    <cfRule type="beginsWith" dxfId="2435" priority="2729" operator="beginsWith" text="Stage">
      <formula>LEFT(BN128,LEN("Stage"))="Stage"</formula>
    </cfRule>
    <cfRule type="beginsWith" dxfId="2434" priority="2730" operator="beginsWith" text="Entreprise">
      <formula>LEFT(BN128,LEN("Entreprise"))="Entreprise"</formula>
    </cfRule>
    <cfRule type="beginsWith" dxfId="2433" priority="2731" operator="beginsWith" text="Voltaire">
      <formula>LEFT(BN128,LEN("Voltaire"))="Voltaire"</formula>
    </cfRule>
  </conditionalFormatting>
  <conditionalFormatting sqref="BN131">
    <cfRule type="beginsWith" dxfId="2432" priority="2732" operator="beginsWith" text="Projet professionnel : Séminaire PFI">
      <formula>LEFT(BN131,LEN("Projet professionnel : Séminaire PFI"))="Projet professionnel : Séminaire PFI"</formula>
    </cfRule>
    <cfRule type="beginsWith" dxfId="2431" priority="2733" operator="beginsWith" text="Lancement Projet fil rouge">
      <formula>LEFT(BN131,LEN("Lancement Projet fil rouge"))="Lancement Projet fil rouge"</formula>
    </cfRule>
    <cfRule type="beginsWith" dxfId="2430" priority="2734" operator="beginsWith" text="Vacances">
      <formula>LEFT(BN131,LEN("Vacances"))="Vacances"</formula>
    </cfRule>
    <cfRule type="beginsWith" dxfId="2429" priority="2735" operator="beginsWith" text="Séminaire d'intégration">
      <formula>LEFT(BN131,LEN("Séminaire d'intégration"))="Séminaire d'intégration"</formula>
    </cfRule>
    <cfRule type="beginsWith" dxfId="2428" priority="2736" operator="beginsWith" text="Accueil">
      <formula>LEFT(BN131,LEN("Accueil"))="Accueil"</formula>
    </cfRule>
    <cfRule type="beginsWith" dxfId="2427" priority="2737" operator="beginsWith" text="Stage">
      <formula>LEFT(BN131,LEN("Stage"))="Stage"</formula>
    </cfRule>
    <cfRule type="beginsWith" dxfId="2426" priority="2738" operator="beginsWith" text="Entreprise">
      <formula>LEFT(BN131,LEN("Entreprise"))="Entreprise"</formula>
    </cfRule>
    <cfRule type="beginsWith" dxfId="2425" priority="2739" operator="beginsWith" text="Voltaire">
      <formula>LEFT(BN131,LEN("Voltaire"))="Voltaire"</formula>
    </cfRule>
    <cfRule type="beginsWith" dxfId="2424" priority="2740" operator="beginsWith" text="Projet professionnel : Séminaire PFI">
      <formula>LEFT(BN131,LEN("Projet professionnel : Séminaire PFI"))="Projet professionnel : Séminaire PFI"</formula>
    </cfRule>
    <cfRule type="beginsWith" dxfId="2423" priority="2741" operator="beginsWith" text="Lancement Projet fil rouge">
      <formula>LEFT(BN131,LEN("Lancement Projet fil rouge"))="Lancement Projet fil rouge"</formula>
    </cfRule>
    <cfRule type="beginsWith" dxfId="2422" priority="2742" operator="beginsWith" text="Vacances">
      <formula>LEFT(BN131,LEN("Vacances"))="Vacances"</formula>
    </cfRule>
    <cfRule type="beginsWith" dxfId="2421" priority="2743" operator="beginsWith" text="Séminaire d'intégration">
      <formula>LEFT(BN131,LEN("Séminaire d'intégration"))="Séminaire d'intégration"</formula>
    </cfRule>
    <cfRule type="beginsWith" dxfId="2420" priority="2744" operator="beginsWith" text="Accueil">
      <formula>LEFT(BN131,LEN("Accueil"))="Accueil"</formula>
    </cfRule>
    <cfRule type="beginsWith" dxfId="2419" priority="2745" operator="beginsWith" text="Stage">
      <formula>LEFT(BN131,LEN("Stage"))="Stage"</formula>
    </cfRule>
    <cfRule type="beginsWith" dxfId="2418" priority="2746" operator="beginsWith" text="Entreprise">
      <formula>LEFT(BN131,LEN("Entreprise"))="Entreprise"</formula>
    </cfRule>
    <cfRule type="beginsWith" dxfId="2417" priority="2747" operator="beginsWith" text="Voltaire">
      <formula>LEFT(BN131,LEN("Voltaire"))="Voltaire"</formula>
    </cfRule>
  </conditionalFormatting>
  <conditionalFormatting sqref="BN136:BN137">
    <cfRule type="beginsWith" dxfId="2416" priority="2748" operator="beginsWith" text="Projet professionnel : Séminaire PFI">
      <formula>LEFT(BN136,LEN("Projet professionnel : Séminaire PFI"))="Projet professionnel : Séminaire PFI"</formula>
    </cfRule>
    <cfRule type="beginsWith" dxfId="2415" priority="2749" operator="beginsWith" text="Lancement Projet fil rouge">
      <formula>LEFT(BN136,LEN("Lancement Projet fil rouge"))="Lancement Projet fil rouge"</formula>
    </cfRule>
    <cfRule type="beginsWith" dxfId="2414" priority="2750" operator="beginsWith" text="Vacances">
      <formula>LEFT(BN136,LEN("Vacances"))="Vacances"</formula>
    </cfRule>
    <cfRule type="beginsWith" dxfId="2413" priority="2751" operator="beginsWith" text="Séminaire d'intégration">
      <formula>LEFT(BN136,LEN("Séminaire d'intégration"))="Séminaire d'intégration"</formula>
    </cfRule>
    <cfRule type="beginsWith" dxfId="2412" priority="2752" operator="beginsWith" text="Accueil">
      <formula>LEFT(BN136,LEN("Accueil"))="Accueil"</formula>
    </cfRule>
    <cfRule type="beginsWith" dxfId="2411" priority="2753" operator="beginsWith" text="Stage">
      <formula>LEFT(BN136,LEN("Stage"))="Stage"</formula>
    </cfRule>
    <cfRule type="beginsWith" dxfId="2410" priority="2754" operator="beginsWith" text="Entreprise">
      <formula>LEFT(BN136,LEN("Entreprise"))="Entreprise"</formula>
    </cfRule>
    <cfRule type="beginsWith" dxfId="2409" priority="2755" operator="beginsWith" text="Voltaire">
      <formula>LEFT(BN136,LEN("Voltaire"))="Voltaire"</formula>
    </cfRule>
  </conditionalFormatting>
  <conditionalFormatting sqref="BN138:BN147">
    <cfRule type="beginsWith" dxfId="2408" priority="2668" operator="beginsWith" text="Projet professionnel : Séminaire PFI">
      <formula>LEFT(BN138,LEN("Projet professionnel : Séminaire PFI"))="Projet professionnel : Séminaire PFI"</formula>
    </cfRule>
    <cfRule type="beginsWith" dxfId="2407" priority="2669" operator="beginsWith" text="Lancement Projet fil rouge">
      <formula>LEFT(BN138,LEN("Lancement Projet fil rouge"))="Lancement Projet fil rouge"</formula>
    </cfRule>
    <cfRule type="beginsWith" dxfId="2406" priority="2670" operator="beginsWith" text="Vacances">
      <formula>LEFT(BN138,LEN("Vacances"))="Vacances"</formula>
    </cfRule>
    <cfRule type="beginsWith" dxfId="2405" priority="2671" operator="beginsWith" text="Séminaire d'intégration">
      <formula>LEFT(BN138,LEN("Séminaire d'intégration"))="Séminaire d'intégration"</formula>
    </cfRule>
    <cfRule type="beginsWith" dxfId="2404" priority="2672" operator="beginsWith" text="Accueil">
      <formula>LEFT(BN138,LEN("Accueil"))="Accueil"</formula>
    </cfRule>
    <cfRule type="beginsWith" dxfId="2403" priority="2673" operator="beginsWith" text="Stage">
      <formula>LEFT(BN138,LEN("Stage"))="Stage"</formula>
    </cfRule>
    <cfRule type="beginsWith" dxfId="2402" priority="2674" operator="beginsWith" text="Entreprise">
      <formula>LEFT(BN138,LEN("Entreprise"))="Entreprise"</formula>
    </cfRule>
    <cfRule type="beginsWith" dxfId="2401" priority="2675" operator="beginsWith" text="Voltaire">
      <formula>LEFT(BN138,LEN("Voltaire"))="Voltaire"</formula>
    </cfRule>
  </conditionalFormatting>
  <conditionalFormatting sqref="BN148:BN150">
    <cfRule type="beginsWith" dxfId="2400" priority="3075" operator="beginsWith" text="Projet professionnel : Séminaire PFI">
      <formula>LEFT(BN148,LEN("Projet professionnel : Séminaire PFI"))="Projet professionnel : Séminaire PFI"</formula>
    </cfRule>
    <cfRule type="beginsWith" dxfId="2399" priority="3076" operator="beginsWith" text="Lancement Projet fil rouge">
      <formula>LEFT(BN148,LEN("Lancement Projet fil rouge"))="Lancement Projet fil rouge"</formula>
    </cfRule>
    <cfRule type="beginsWith" dxfId="2398" priority="3077" operator="beginsWith" text="Vacances">
      <formula>LEFT(BN148,LEN("Vacances"))="Vacances"</formula>
    </cfRule>
    <cfRule type="beginsWith" dxfId="2397" priority="3078" operator="beginsWith" text="Séminaire d'intégration">
      <formula>LEFT(BN148,LEN("Séminaire d'intégration"))="Séminaire d'intégration"</formula>
    </cfRule>
    <cfRule type="beginsWith" dxfId="2396" priority="3079" operator="beginsWith" text="Accueil">
      <formula>LEFT(BN148,LEN("Accueil"))="Accueil"</formula>
    </cfRule>
    <cfRule type="beginsWith" dxfId="2395" priority="3080" operator="beginsWith" text="Stage">
      <formula>LEFT(BN148,LEN("Stage"))="Stage"</formula>
    </cfRule>
    <cfRule type="beginsWith" dxfId="2394" priority="3081" operator="beginsWith" text="Entreprise">
      <formula>LEFT(BN148,LEN("Entreprise"))="Entreprise"</formula>
    </cfRule>
    <cfRule type="beginsWith" dxfId="2393" priority="3082" operator="beginsWith" text="Voltaire">
      <formula>LEFT(BN148,LEN("Voltaire"))="Voltaire"</formula>
    </cfRule>
  </conditionalFormatting>
  <conditionalFormatting sqref="BN151">
    <cfRule type="beginsWith" dxfId="2392" priority="2598" operator="beginsWith" text="Projet professionnel : Séminaire PFI">
      <formula>LEFT(BN151,LEN("Projet professionnel : Séminaire PFI"))="Projet professionnel : Séminaire PFI"</formula>
    </cfRule>
    <cfRule type="beginsWith" dxfId="2391" priority="2599" operator="beginsWith" text="Lancement Projet fil rouge">
      <formula>LEFT(BN151,LEN("Lancement Projet fil rouge"))="Lancement Projet fil rouge"</formula>
    </cfRule>
    <cfRule type="beginsWith" dxfId="2390" priority="2600" operator="beginsWith" text="Vacances">
      <formula>LEFT(BN151,LEN("Vacances"))="Vacances"</formula>
    </cfRule>
    <cfRule type="beginsWith" dxfId="2389" priority="2601" operator="beginsWith" text="Séminaire d'intégration">
      <formula>LEFT(BN151,LEN("Séminaire d'intégration"))="Séminaire d'intégration"</formula>
    </cfRule>
    <cfRule type="beginsWith" dxfId="2388" priority="2602" operator="beginsWith" text="Accueil">
      <formula>LEFT(BN151,LEN("Accueil"))="Accueil"</formula>
    </cfRule>
    <cfRule type="beginsWith" dxfId="2387" priority="2603" operator="beginsWith" text="Stage">
      <formula>LEFT(BN151,LEN("Stage"))="Stage"</formula>
    </cfRule>
    <cfRule type="beginsWith" dxfId="2386" priority="2604" operator="beginsWith" text="Entreprise">
      <formula>LEFT(BN151,LEN("Entreprise"))="Entreprise"</formula>
    </cfRule>
    <cfRule type="beginsWith" dxfId="2385" priority="2605" operator="beginsWith" text="Voltaire">
      <formula>LEFT(BN151,LEN("Voltaire"))="Voltaire"</formula>
    </cfRule>
    <cfRule type="beginsWith" dxfId="2384" priority="2606" operator="beginsWith" text="Projet professionnel : Séminaire PFI">
      <formula>LEFT(BN151,LEN("Projet professionnel : Séminaire PFI"))="Projet professionnel : Séminaire PFI"</formula>
    </cfRule>
    <cfRule type="beginsWith" dxfId="2383" priority="2607" operator="beginsWith" text="Lancement Projet fil rouge">
      <formula>LEFT(BN151,LEN("Lancement Projet fil rouge"))="Lancement Projet fil rouge"</formula>
    </cfRule>
    <cfRule type="beginsWith" dxfId="2382" priority="2608" operator="beginsWith" text="Vacances">
      <formula>LEFT(BN151,LEN("Vacances"))="Vacances"</formula>
    </cfRule>
    <cfRule type="beginsWith" dxfId="2381" priority="2609" operator="beginsWith" text="Séminaire d'intégration">
      <formula>LEFT(BN151,LEN("Séminaire d'intégration"))="Séminaire d'intégration"</formula>
    </cfRule>
    <cfRule type="beginsWith" dxfId="2380" priority="2610" operator="beginsWith" text="Accueil">
      <formula>LEFT(BN151,LEN("Accueil"))="Accueil"</formula>
    </cfRule>
    <cfRule type="beginsWith" dxfId="2379" priority="2611" operator="beginsWith" text="Stage">
      <formula>LEFT(BN151,LEN("Stage"))="Stage"</formula>
    </cfRule>
    <cfRule type="beginsWith" dxfId="2378" priority="2612" operator="beginsWith" text="Entreprise">
      <formula>LEFT(BN151,LEN("Entreprise"))="Entreprise"</formula>
    </cfRule>
    <cfRule type="beginsWith" dxfId="2377" priority="2613" operator="beginsWith" text="Voltaire">
      <formula>LEFT(BN151,LEN("Voltaire"))="Voltaire"</formula>
    </cfRule>
  </conditionalFormatting>
  <conditionalFormatting sqref="BN156">
    <cfRule type="beginsWith" dxfId="2376" priority="2253" operator="beginsWith" text="Projet professionnel : Séminaire PFI">
      <formula>LEFT(BN156,LEN("Projet professionnel : Séminaire PFI"))="Projet professionnel : Séminaire PFI"</formula>
    </cfRule>
    <cfRule type="beginsWith" dxfId="2375" priority="2254" operator="beginsWith" text="Lancement Projet fil rouge">
      <formula>LEFT(BN156,LEN("Lancement Projet fil rouge"))="Lancement Projet fil rouge"</formula>
    </cfRule>
    <cfRule type="beginsWith" dxfId="2374" priority="2255" operator="beginsWith" text="Vacances">
      <formula>LEFT(BN156,LEN("Vacances"))="Vacances"</formula>
    </cfRule>
    <cfRule type="beginsWith" dxfId="2373" priority="2256" operator="beginsWith" text="Séminaire d'intégration">
      <formula>LEFT(BN156,LEN("Séminaire d'intégration"))="Séminaire d'intégration"</formula>
    </cfRule>
    <cfRule type="beginsWith" dxfId="2372" priority="2257" operator="beginsWith" text="Accueil">
      <formula>LEFT(BN156,LEN("Accueil"))="Accueil"</formula>
    </cfRule>
    <cfRule type="beginsWith" dxfId="2371" priority="2258" operator="beginsWith" text="Stage">
      <formula>LEFT(BN156,LEN("Stage"))="Stage"</formula>
    </cfRule>
    <cfRule type="beginsWith" dxfId="2370" priority="2259" operator="beginsWith" text="Entreprise">
      <formula>LEFT(BN156,LEN("Entreprise"))="Entreprise"</formula>
    </cfRule>
    <cfRule type="beginsWith" dxfId="2369" priority="2260" operator="beginsWith" text="Voltaire">
      <formula>LEFT(BN156,LEN("Voltaire"))="Voltaire"</formula>
    </cfRule>
    <cfRule type="beginsWith" dxfId="2368" priority="2261" operator="beginsWith" text="Projet professionnel : Séminaire PFI">
      <formula>LEFT(BN156,LEN("Projet professionnel : Séminaire PFI"))="Projet professionnel : Séminaire PFI"</formula>
    </cfRule>
    <cfRule type="beginsWith" dxfId="2367" priority="2262" operator="beginsWith" text="Lancement Projet fil rouge">
      <formula>LEFT(BN156,LEN("Lancement Projet fil rouge"))="Lancement Projet fil rouge"</formula>
    </cfRule>
    <cfRule type="beginsWith" dxfId="2366" priority="2263" operator="beginsWith" text="Vacances">
      <formula>LEFT(BN156,LEN("Vacances"))="Vacances"</formula>
    </cfRule>
    <cfRule type="beginsWith" dxfId="2365" priority="2264" operator="beginsWith" text="Séminaire d'intégration">
      <formula>LEFT(BN156,LEN("Séminaire d'intégration"))="Séminaire d'intégration"</formula>
    </cfRule>
    <cfRule type="beginsWith" dxfId="2364" priority="2265" operator="beginsWith" text="Accueil">
      <formula>LEFT(BN156,LEN("Accueil"))="Accueil"</formula>
    </cfRule>
    <cfRule type="beginsWith" dxfId="2363" priority="2266" operator="beginsWith" text="Stage">
      <formula>LEFT(BN156,LEN("Stage"))="Stage"</formula>
    </cfRule>
    <cfRule type="beginsWith" dxfId="2362" priority="2267" operator="beginsWith" text="Entreprise">
      <formula>LEFT(BN156,LEN("Entreprise"))="Entreprise"</formula>
    </cfRule>
    <cfRule type="beginsWith" dxfId="2361" priority="2268" operator="beginsWith" text="Voltaire">
      <formula>LEFT(BN156,LEN("Voltaire"))="Voltaire"</formula>
    </cfRule>
  </conditionalFormatting>
  <conditionalFormatting sqref="BN186">
    <cfRule type="beginsWith" dxfId="2336" priority="2423" operator="beginsWith" text="Projet professionnel : Séminaire PFI">
      <formula>LEFT(BN186,LEN("Projet professionnel : Séminaire PFI"))="Projet professionnel : Séminaire PFI"</formula>
    </cfRule>
    <cfRule type="beginsWith" dxfId="2335" priority="2424" operator="beginsWith" text="Lancement Projet fil rouge">
      <formula>LEFT(BN186,LEN("Lancement Projet fil rouge"))="Lancement Projet fil rouge"</formula>
    </cfRule>
    <cfRule type="beginsWith" dxfId="2334" priority="2425" operator="beginsWith" text="Vacances">
      <formula>LEFT(BN186,LEN("Vacances"))="Vacances"</formula>
    </cfRule>
    <cfRule type="beginsWith" dxfId="2333" priority="2426" operator="beginsWith" text="Séminaire d'intégration">
      <formula>LEFT(BN186,LEN("Séminaire d'intégration"))="Séminaire d'intégration"</formula>
    </cfRule>
    <cfRule type="beginsWith" dxfId="2332" priority="2427" operator="beginsWith" text="Accueil">
      <formula>LEFT(BN186,LEN("Accueil"))="Accueil"</formula>
    </cfRule>
    <cfRule type="beginsWith" dxfId="2331" priority="2428" operator="beginsWith" text="Stage">
      <formula>LEFT(BN186,LEN("Stage"))="Stage"</formula>
    </cfRule>
    <cfRule type="beginsWith" dxfId="2330" priority="2429" operator="beginsWith" text="Entreprise">
      <formula>LEFT(BN186,LEN("Entreprise"))="Entreprise"</formula>
    </cfRule>
    <cfRule type="beginsWith" dxfId="2329" priority="2430" operator="beginsWith" text="Voltaire">
      <formula>LEFT(BN186,LEN("Voltaire"))="Voltaire"</formula>
    </cfRule>
  </conditionalFormatting>
  <conditionalFormatting sqref="BN191">
    <cfRule type="beginsWith" dxfId="2328" priority="2320" operator="beginsWith" text="Projet professionnel : Séminaire PFI">
      <formula>LEFT(BN191,LEN("Projet professionnel : Séminaire PFI"))="Projet professionnel : Séminaire PFI"</formula>
    </cfRule>
    <cfRule type="beginsWith" dxfId="2327" priority="2321" operator="beginsWith" text="Lancement Projet fil rouge">
      <formula>LEFT(BN191,LEN("Lancement Projet fil rouge"))="Lancement Projet fil rouge"</formula>
    </cfRule>
    <cfRule type="beginsWith" dxfId="2326" priority="2322" operator="beginsWith" text="Vacances">
      <formula>LEFT(BN191,LEN("Vacances"))="Vacances"</formula>
    </cfRule>
    <cfRule type="beginsWith" dxfId="2325" priority="2323" operator="beginsWith" text="Séminaire d'intégration">
      <formula>LEFT(BN191,LEN("Séminaire d'intégration"))="Séminaire d'intégration"</formula>
    </cfRule>
    <cfRule type="beginsWith" dxfId="2324" priority="2324" operator="beginsWith" text="Accueil">
      <formula>LEFT(BN191,LEN("Accueil"))="Accueil"</formula>
    </cfRule>
    <cfRule type="beginsWith" dxfId="2323" priority="2325" operator="beginsWith" text="Stage">
      <formula>LEFT(BN191,LEN("Stage"))="Stage"</formula>
    </cfRule>
    <cfRule type="beginsWith" dxfId="2322" priority="2326" operator="beginsWith" text="Entreprise">
      <formula>LEFT(BN191,LEN("Entreprise"))="Entreprise"</formula>
    </cfRule>
    <cfRule type="beginsWith" dxfId="2321" priority="2327" operator="beginsWith" text="Voltaire">
      <formula>LEFT(BN191,LEN("Voltaire"))="Voltaire"</formula>
    </cfRule>
  </conditionalFormatting>
  <conditionalFormatting sqref="BN196">
    <cfRule type="beginsWith" dxfId="2320" priority="2312" operator="beginsWith" text="Projet professionnel : Séminaire PFI">
      <formula>LEFT(BN196,LEN("Projet professionnel : Séminaire PFI"))="Projet professionnel : Séminaire PFI"</formula>
    </cfRule>
    <cfRule type="beginsWith" dxfId="2319" priority="2313" operator="beginsWith" text="Lancement Projet fil rouge">
      <formula>LEFT(BN196,LEN("Lancement Projet fil rouge"))="Lancement Projet fil rouge"</formula>
    </cfRule>
    <cfRule type="beginsWith" dxfId="2318" priority="2314" operator="beginsWith" text="Vacances">
      <formula>LEFT(BN196,LEN("Vacances"))="Vacances"</formula>
    </cfRule>
    <cfRule type="beginsWith" dxfId="2317" priority="2315" operator="beginsWith" text="Séminaire d'intégration">
      <formula>LEFT(BN196,LEN("Séminaire d'intégration"))="Séminaire d'intégration"</formula>
    </cfRule>
    <cfRule type="beginsWith" dxfId="2316" priority="2316" operator="beginsWith" text="Accueil">
      <formula>LEFT(BN196,LEN("Accueil"))="Accueil"</formula>
    </cfRule>
    <cfRule type="beginsWith" dxfId="2315" priority="2317" operator="beginsWith" text="Stage">
      <formula>LEFT(BN196,LEN("Stage"))="Stage"</formula>
    </cfRule>
    <cfRule type="beginsWith" dxfId="2314" priority="2318" operator="beginsWith" text="Entreprise">
      <formula>LEFT(BN196,LEN("Entreprise"))="Entreprise"</formula>
    </cfRule>
    <cfRule type="beginsWith" dxfId="2313" priority="2319" operator="beginsWith" text="Voltaire">
      <formula>LEFT(BN196,LEN("Voltaire"))="Voltaire"</formula>
    </cfRule>
  </conditionalFormatting>
  <conditionalFormatting sqref="BN201">
    <cfRule type="beginsWith" dxfId="2312" priority="3012" operator="beginsWith" text="Projet professionnel : Séminaire PFI">
      <formula>LEFT(BN201,LEN("Projet professionnel : Séminaire PFI"))="Projet professionnel : Séminaire PFI"</formula>
    </cfRule>
    <cfRule type="beginsWith" dxfId="2311" priority="3013" operator="beginsWith" text="Lancement Projet fil rouge">
      <formula>LEFT(BN201,LEN("Lancement Projet fil rouge"))="Lancement Projet fil rouge"</formula>
    </cfRule>
    <cfRule type="beginsWith" dxfId="2310" priority="3014" operator="beginsWith" text="Vacances">
      <formula>LEFT(BN201,LEN("Vacances"))="Vacances"</formula>
    </cfRule>
    <cfRule type="beginsWith" dxfId="2309" priority="3015" operator="beginsWith" text="Séminaire d'intégration">
      <formula>LEFT(BN201,LEN("Séminaire d'intégration"))="Séminaire d'intégration"</formula>
    </cfRule>
    <cfRule type="beginsWith" dxfId="2308" priority="3016" operator="beginsWith" text="Accueil">
      <formula>LEFT(BN201,LEN("Accueil"))="Accueil"</formula>
    </cfRule>
    <cfRule type="beginsWith" dxfId="2307" priority="3017" operator="beginsWith" text="Stage">
      <formula>LEFT(BN201,LEN("Stage"))="Stage"</formula>
    </cfRule>
    <cfRule type="beginsWith" dxfId="2306" priority="3018" operator="beginsWith" text="Entreprise">
      <formula>LEFT(BN201,LEN("Entreprise"))="Entreprise"</formula>
    </cfRule>
    <cfRule type="beginsWith" dxfId="2305" priority="3019" operator="beginsWith" text="Voltaire">
      <formula>LEFT(BN201,LEN("Voltaire"))="Voltaire"</formula>
    </cfRule>
  </conditionalFormatting>
  <conditionalFormatting sqref="BN211">
    <cfRule type="beginsWith" dxfId="2296" priority="3004" operator="beginsWith" text="Projet professionnel : Séminaire PFI">
      <formula>LEFT(BN211,LEN("Projet professionnel : Séminaire PFI"))="Projet professionnel : Séminaire PFI"</formula>
    </cfRule>
    <cfRule type="beginsWith" dxfId="2295" priority="3005" operator="beginsWith" text="Lancement Projet fil rouge">
      <formula>LEFT(BN211,LEN("Lancement Projet fil rouge"))="Lancement Projet fil rouge"</formula>
    </cfRule>
    <cfRule type="beginsWith" dxfId="2294" priority="3006" operator="beginsWith" text="Vacances">
      <formula>LEFT(BN211,LEN("Vacances"))="Vacances"</formula>
    </cfRule>
    <cfRule type="beginsWith" dxfId="2293" priority="3007" operator="beginsWith" text="Séminaire d'intégration">
      <formula>LEFT(BN211,LEN("Séminaire d'intégration"))="Séminaire d'intégration"</formula>
    </cfRule>
    <cfRule type="beginsWith" dxfId="2292" priority="3008" operator="beginsWith" text="Accueil">
      <formula>LEFT(BN211,LEN("Accueil"))="Accueil"</formula>
    </cfRule>
    <cfRule type="beginsWith" dxfId="2291" priority="3009" operator="beginsWith" text="Stage">
      <formula>LEFT(BN211,LEN("Stage"))="Stage"</formula>
    </cfRule>
    <cfRule type="beginsWith" dxfId="2290" priority="3010" operator="beginsWith" text="Entreprise">
      <formula>LEFT(BN211,LEN("Entreprise"))="Entreprise"</formula>
    </cfRule>
    <cfRule type="beginsWith" dxfId="2289" priority="3011" operator="beginsWith" text="Voltaire">
      <formula>LEFT(BN211,LEN("Voltaire"))="Voltaire"</formula>
    </cfRule>
  </conditionalFormatting>
  <conditionalFormatting sqref="BN216">
    <cfRule type="beginsWith" dxfId="2288" priority="2304" operator="beginsWith" text="Projet professionnel : Séminaire PFI">
      <formula>LEFT(BN216,LEN("Projet professionnel : Séminaire PFI"))="Projet professionnel : Séminaire PFI"</formula>
    </cfRule>
    <cfRule type="beginsWith" dxfId="2287" priority="2305" operator="beginsWith" text="Lancement Projet fil rouge">
      <formula>LEFT(BN216,LEN("Lancement Projet fil rouge"))="Lancement Projet fil rouge"</formula>
    </cfRule>
    <cfRule type="beginsWith" dxfId="2286" priority="2306" operator="beginsWith" text="Vacances">
      <formula>LEFT(BN216,LEN("Vacances"))="Vacances"</formula>
    </cfRule>
    <cfRule type="beginsWith" dxfId="2285" priority="2307" operator="beginsWith" text="Séminaire d'intégration">
      <formula>LEFT(BN216,LEN("Séminaire d'intégration"))="Séminaire d'intégration"</formula>
    </cfRule>
    <cfRule type="beginsWith" dxfId="2284" priority="2308" operator="beginsWith" text="Accueil">
      <formula>LEFT(BN216,LEN("Accueil"))="Accueil"</formula>
    </cfRule>
    <cfRule type="beginsWith" dxfId="2283" priority="2309" operator="beginsWith" text="Stage">
      <formula>LEFT(BN216,LEN("Stage"))="Stage"</formula>
    </cfRule>
    <cfRule type="beginsWith" dxfId="2282" priority="2310" operator="beginsWith" text="Entreprise">
      <formula>LEFT(BN216,LEN("Entreprise"))="Entreprise"</formula>
    </cfRule>
    <cfRule type="beginsWith" dxfId="2281" priority="2311" operator="beginsWith" text="Voltaire">
      <formula>LEFT(BN216,LEN("Voltaire"))="Voltaire"</formula>
    </cfRule>
  </conditionalFormatting>
  <conditionalFormatting sqref="BN221">
    <cfRule type="beginsWith" dxfId="2280" priority="2296" operator="beginsWith" text="Projet professionnel : Séminaire PFI">
      <formula>LEFT(BN221,LEN("Projet professionnel : Séminaire PFI"))="Projet professionnel : Séminaire PFI"</formula>
    </cfRule>
    <cfRule type="beginsWith" dxfId="2279" priority="2297" operator="beginsWith" text="Lancement Projet fil rouge">
      <formula>LEFT(BN221,LEN("Lancement Projet fil rouge"))="Lancement Projet fil rouge"</formula>
    </cfRule>
    <cfRule type="beginsWith" dxfId="2278" priority="2298" operator="beginsWith" text="Vacances">
      <formula>LEFT(BN221,LEN("Vacances"))="Vacances"</formula>
    </cfRule>
    <cfRule type="beginsWith" dxfId="2277" priority="2299" operator="beginsWith" text="Séminaire d'intégration">
      <formula>LEFT(BN221,LEN("Séminaire d'intégration"))="Séminaire d'intégration"</formula>
    </cfRule>
    <cfRule type="beginsWith" dxfId="2276" priority="2300" operator="beginsWith" text="Accueil">
      <formula>LEFT(BN221,LEN("Accueil"))="Accueil"</formula>
    </cfRule>
    <cfRule type="beginsWith" dxfId="2275" priority="2301" operator="beginsWith" text="Stage">
      <formula>LEFT(BN221,LEN("Stage"))="Stage"</formula>
    </cfRule>
    <cfRule type="beginsWith" dxfId="2274" priority="2302" operator="beginsWith" text="Entreprise">
      <formula>LEFT(BN221,LEN("Entreprise"))="Entreprise"</formula>
    </cfRule>
    <cfRule type="beginsWith" dxfId="2273" priority="2303" operator="beginsWith" text="Voltaire">
      <formula>LEFT(BN221,LEN("Voltaire"))="Voltaire"</formula>
    </cfRule>
  </conditionalFormatting>
  <conditionalFormatting sqref="BO126 BS126:BS130">
    <cfRule type="beginsWith" dxfId="2265" priority="2704" operator="beginsWith" text="Lancement Projet fil rouge">
      <formula>LEFT(BO126,LEN("Lancement Projet fil rouge"))="Lancement Projet fil rouge"</formula>
    </cfRule>
    <cfRule type="beginsWith" dxfId="2264" priority="2705" operator="beginsWith" text="Vacances">
      <formula>LEFT(BO126,LEN("Vacances"))="Vacances"</formula>
    </cfRule>
    <cfRule type="beginsWith" dxfId="2263" priority="2706" operator="beginsWith" text="Séminaire d'intégration">
      <formula>LEFT(BO126,LEN("Séminaire d'intégration"))="Séminaire d'intégration"</formula>
    </cfRule>
    <cfRule type="beginsWith" dxfId="2262" priority="2707" operator="beginsWith" text="Accueil">
      <formula>LEFT(BO126,LEN("Accueil"))="Accueil"</formula>
    </cfRule>
    <cfRule type="beginsWith" dxfId="2261" priority="2710" operator="beginsWith" text="Stage">
      <formula>LEFT(BO126,LEN("Stage"))="Stage"</formula>
    </cfRule>
    <cfRule type="beginsWith" dxfId="2260" priority="2711" operator="beginsWith" text="Entreprise">
      <formula>LEFT(BO126,LEN("Entreprise"))="Entreprise"</formula>
    </cfRule>
    <cfRule type="beginsWith" dxfId="2259" priority="2713" operator="beginsWith" text="Voltaire">
      <formula>LEFT(BO126,LEN("Voltaire"))="Voltaire"</formula>
    </cfRule>
  </conditionalFormatting>
  <conditionalFormatting sqref="BO131:BO132 BS131:BS135">
    <cfRule type="beginsWith" dxfId="2258" priority="2714" operator="beginsWith" text="Lancement Projet fil rouge">
      <formula>LEFT(BO131,LEN("Lancement Projet fil rouge"))="Lancement Projet fil rouge"</formula>
    </cfRule>
    <cfRule type="beginsWith" dxfId="2257" priority="2715" operator="beginsWith" text="Vacances">
      <formula>LEFT(BO131,LEN("Vacances"))="Vacances"</formula>
    </cfRule>
    <cfRule type="beginsWith" dxfId="2256" priority="2716" operator="beginsWith" text="Séminaire d'intégration">
      <formula>LEFT(BO131,LEN("Séminaire d'intégration"))="Séminaire d'intégration"</formula>
    </cfRule>
    <cfRule type="beginsWith" dxfId="2255" priority="2717" operator="beginsWith" text="Accueil">
      <formula>LEFT(BO131,LEN("Accueil"))="Accueil"</formula>
    </cfRule>
    <cfRule type="beginsWith" dxfId="2254" priority="2720" operator="beginsWith" text="Stage">
      <formula>LEFT(BO131,LEN("Stage"))="Stage"</formula>
    </cfRule>
    <cfRule type="beginsWith" dxfId="2253" priority="2721" operator="beginsWith" text="Entreprise">
      <formula>LEFT(BO131,LEN("Entreprise"))="Entreprise"</formula>
    </cfRule>
    <cfRule type="beginsWith" dxfId="2252" priority="2723" operator="beginsWith" text="Voltaire">
      <formula>LEFT(BO131,LEN("Voltaire"))="Voltaire"</formula>
    </cfRule>
  </conditionalFormatting>
  <conditionalFormatting sqref="BO136">
    <cfRule type="beginsWith" dxfId="2251" priority="2651" operator="beginsWith" text="Lancement Projet fil rouge">
      <formula>LEFT(BO136,LEN("Lancement Projet fil rouge"))="Lancement Projet fil rouge"</formula>
    </cfRule>
    <cfRule type="beginsWith" dxfId="2250" priority="2652" operator="beginsWith" text="Vacances">
      <formula>LEFT(BO136,LEN("Vacances"))="Vacances"</formula>
    </cfRule>
    <cfRule type="beginsWith" dxfId="2249" priority="2653" operator="beginsWith" text="Séminaire d'intégration">
      <formula>LEFT(BO136,LEN("Séminaire d'intégration"))="Séminaire d'intégration"</formula>
    </cfRule>
    <cfRule type="beginsWith" dxfId="2248" priority="2654" operator="beginsWith" text="Accueil">
      <formula>LEFT(BO136,LEN("Accueil"))="Accueil"</formula>
    </cfRule>
    <cfRule type="beginsWith" dxfId="2247" priority="2655" operator="beginsWith" text="Stage">
      <formula>LEFT(BO136,LEN("Stage"))="Stage"</formula>
    </cfRule>
    <cfRule type="beginsWith" dxfId="2246" priority="2656" operator="beginsWith" text="Entreprise">
      <formula>LEFT(BO136,LEN("Entreprise"))="Entreprise"</formula>
    </cfRule>
    <cfRule type="beginsWith" dxfId="2245" priority="2657" operator="beginsWith" text="Voltaire">
      <formula>LEFT(BO136,LEN("Voltaire"))="Voltaire"</formula>
    </cfRule>
  </conditionalFormatting>
  <conditionalFormatting sqref="BO151:BO155">
    <cfRule type="beginsWith" dxfId="2244" priority="2591" operator="beginsWith" text="Lancement Projet fil rouge">
      <formula>LEFT(BO151,LEN("Lancement Projet fil rouge"))="Lancement Projet fil rouge"</formula>
    </cfRule>
    <cfRule type="beginsWith" dxfId="2243" priority="2592" operator="beginsWith" text="Vacances">
      <formula>LEFT(BO151,LEN("Vacances"))="Vacances"</formula>
    </cfRule>
    <cfRule type="beginsWith" dxfId="2242" priority="2593" operator="beginsWith" text="Séminaire d'intégration">
      <formula>LEFT(BO151,LEN("Séminaire d'intégration"))="Séminaire d'intégration"</formula>
    </cfRule>
    <cfRule type="beginsWith" dxfId="2241" priority="2594" operator="beginsWith" text="Accueil">
      <formula>LEFT(BO151,LEN("Accueil"))="Accueil"</formula>
    </cfRule>
    <cfRule type="beginsWith" dxfId="2240" priority="2595" operator="beginsWith" text="Stage">
      <formula>LEFT(BO151,LEN("Stage"))="Stage"</formula>
    </cfRule>
    <cfRule type="beginsWith" dxfId="2239" priority="2596" operator="beginsWith" text="Entreprise">
      <formula>LEFT(BO151,LEN("Entreprise"))="Entreprise"</formula>
    </cfRule>
    <cfRule type="beginsWith" dxfId="2238" priority="2597" operator="beginsWith" text="Voltaire">
      <formula>LEFT(BO151,LEN("Voltaire"))="Voltaire"</formula>
    </cfRule>
  </conditionalFormatting>
  <conditionalFormatting sqref="BO156">
    <cfRule type="beginsWith" dxfId="2237" priority="2552" operator="beginsWith" text="Lancement Projet fil rouge">
      <formula>LEFT(BO156,LEN("Lancement Projet fil rouge"))="Lancement Projet fil rouge"</formula>
    </cfRule>
    <cfRule type="beginsWith" dxfId="2236" priority="2553" operator="beginsWith" text="Vacances">
      <formula>LEFT(BO156,LEN("Vacances"))="Vacances"</formula>
    </cfRule>
    <cfRule type="beginsWith" dxfId="2235" priority="2554" operator="beginsWith" text="Séminaire d'intégration">
      <formula>LEFT(BO156,LEN("Séminaire d'intégration"))="Séminaire d'intégration"</formula>
    </cfRule>
    <cfRule type="beginsWith" dxfId="2234" priority="2555" operator="beginsWith" text="Accueil">
      <formula>LEFT(BO156,LEN("Accueil"))="Accueil"</formula>
    </cfRule>
    <cfRule type="beginsWith" dxfId="2233" priority="2556" operator="beginsWith" text="Stage">
      <formula>LEFT(BO156,LEN("Stage"))="Stage"</formula>
    </cfRule>
    <cfRule type="beginsWith" dxfId="2232" priority="2557" operator="beginsWith" text="Entreprise">
      <formula>LEFT(BO156,LEN("Entreprise"))="Entreprise"</formula>
    </cfRule>
    <cfRule type="beginsWith" dxfId="2231" priority="2558" operator="beginsWith" text="Voltaire">
      <formula>LEFT(BO156,LEN("Voltaire"))="Voltaire"</formula>
    </cfRule>
  </conditionalFormatting>
  <conditionalFormatting sqref="BO181">
    <cfRule type="beginsWith" dxfId="2230" priority="2895" operator="beginsWith" text="Lancement Projet fil rouge">
      <formula>LEFT(BO181,LEN("Lancement Projet fil rouge"))="Lancement Projet fil rouge"</formula>
    </cfRule>
    <cfRule type="beginsWith" dxfId="2229" priority="2896" operator="beginsWith" text="Vacances">
      <formula>LEFT(BO181,LEN("Vacances"))="Vacances"</formula>
    </cfRule>
    <cfRule type="beginsWith" dxfId="2228" priority="2897" operator="beginsWith" text="Séminaire d'intégration">
      <formula>LEFT(BO181,LEN("Séminaire d'intégration"))="Séminaire d'intégration"</formula>
    </cfRule>
    <cfRule type="beginsWith" dxfId="2227" priority="2898" operator="beginsWith" text="Accueil">
      <formula>LEFT(BO181,LEN("Accueil"))="Accueil"</formula>
    </cfRule>
    <cfRule type="beginsWith" dxfId="2226" priority="2901" operator="beginsWith" text="Stage">
      <formula>LEFT(BO181,LEN("Stage"))="Stage"</formula>
    </cfRule>
    <cfRule type="beginsWith" dxfId="2225" priority="2902" operator="beginsWith" text="Entreprise">
      <formula>LEFT(BO181,LEN("Entreprise"))="Entreprise"</formula>
    </cfRule>
    <cfRule type="beginsWith" dxfId="2224" priority="2904" operator="beginsWith" text="Voltaire">
      <formula>LEFT(BO181,LEN("Voltaire"))="Voltaire"</formula>
    </cfRule>
  </conditionalFormatting>
  <conditionalFormatting sqref="BO186">
    <cfRule type="beginsWith" dxfId="2223" priority="2461" operator="beginsWith" text="Lancement Projet fil rouge">
      <formula>LEFT(BO186,LEN("Lancement Projet fil rouge"))="Lancement Projet fil rouge"</formula>
    </cfRule>
    <cfRule type="beginsWith" dxfId="2222" priority="2462" operator="beginsWith" text="Vacances">
      <formula>LEFT(BO186,LEN("Vacances"))="Vacances"</formula>
    </cfRule>
    <cfRule type="beginsWith" dxfId="2221" priority="2463" operator="beginsWith" text="Séminaire d'intégration">
      <formula>LEFT(BO186,LEN("Séminaire d'intégration"))="Séminaire d'intégration"</formula>
    </cfRule>
    <cfRule type="beginsWith" dxfId="2220" priority="2464" operator="beginsWith" text="Accueil">
      <formula>LEFT(BO186,LEN("Accueil"))="Accueil"</formula>
    </cfRule>
    <cfRule type="beginsWith" dxfId="2219" priority="2465" operator="beginsWith" text="Stage">
      <formula>LEFT(BO186,LEN("Stage"))="Stage"</formula>
    </cfRule>
    <cfRule type="beginsWith" dxfId="2218" priority="2466" operator="beginsWith" text="Entreprise">
      <formula>LEFT(BO186,LEN("Entreprise"))="Entreprise"</formula>
    </cfRule>
    <cfRule type="beginsWith" dxfId="2217" priority="2467" operator="beginsWith" text="Voltaire">
      <formula>LEFT(BO186,LEN("Voltaire"))="Voltaire"</formula>
    </cfRule>
  </conditionalFormatting>
  <conditionalFormatting sqref="BO191">
    <cfRule type="beginsWith" dxfId="2216" priority="2905" operator="beginsWith" text="Lancement Projet fil rouge">
      <formula>LEFT(BO191,LEN("Lancement Projet fil rouge"))="Lancement Projet fil rouge"</formula>
    </cfRule>
    <cfRule type="beginsWith" dxfId="2215" priority="2906" operator="beginsWith" text="Vacances">
      <formula>LEFT(BO191,LEN("Vacances"))="Vacances"</formula>
    </cfRule>
    <cfRule type="beginsWith" dxfId="2214" priority="2907" operator="beginsWith" text="Séminaire d'intégration">
      <formula>LEFT(BO191,LEN("Séminaire d'intégration"))="Séminaire d'intégration"</formula>
    </cfRule>
    <cfRule type="beginsWith" dxfId="2213" priority="2908" operator="beginsWith" text="Accueil">
      <formula>LEFT(BO191,LEN("Accueil"))="Accueil"</formula>
    </cfRule>
    <cfRule type="beginsWith" dxfId="2212" priority="2909" operator="beginsWith" text="Stage">
      <formula>LEFT(BO191,LEN("Stage"))="Stage"</formula>
    </cfRule>
    <cfRule type="beginsWith" dxfId="2211" priority="2910" operator="beginsWith" text="Entreprise">
      <formula>LEFT(BO191,LEN("Entreprise"))="Entreprise"</formula>
    </cfRule>
    <cfRule type="beginsWith" dxfId="2210" priority="2911" operator="beginsWith" text="Voltaire">
      <formula>LEFT(BO191,LEN("Voltaire"))="Voltaire"</formula>
    </cfRule>
  </conditionalFormatting>
  <conditionalFormatting sqref="BO196">
    <cfRule type="beginsWith" dxfId="2209" priority="2338" operator="beginsWith" text="Lancement Projet fil rouge">
      <formula>LEFT(BO196,LEN("Lancement Projet fil rouge"))="Lancement Projet fil rouge"</formula>
    </cfRule>
    <cfRule type="beginsWith" dxfId="2208" priority="2339" operator="beginsWith" text="Vacances">
      <formula>LEFT(BO196,LEN("Vacances"))="Vacances"</formula>
    </cfRule>
    <cfRule type="beginsWith" dxfId="2207" priority="2340" operator="beginsWith" text="Séminaire d'intégration">
      <formula>LEFT(BO196,LEN("Séminaire d'intégration"))="Séminaire d'intégration"</formula>
    </cfRule>
    <cfRule type="beginsWith" dxfId="2206" priority="2341" operator="beginsWith" text="Accueil">
      <formula>LEFT(BO196,LEN("Accueil"))="Accueil"</formula>
    </cfRule>
    <cfRule type="beginsWith" dxfId="2205" priority="2342" operator="beginsWith" text="Stage">
      <formula>LEFT(BO196,LEN("Stage"))="Stage"</formula>
    </cfRule>
    <cfRule type="beginsWith" dxfId="2204" priority="2343" operator="beginsWith" text="Entreprise">
      <formula>LEFT(BO196,LEN("Entreprise"))="Entreprise"</formula>
    </cfRule>
    <cfRule type="beginsWith" dxfId="2203" priority="2344" operator="beginsWith" text="Voltaire">
      <formula>LEFT(BO196,LEN("Voltaire"))="Voltaire"</formula>
    </cfRule>
  </conditionalFormatting>
  <conditionalFormatting sqref="BO201:BO205">
    <cfRule type="beginsWith" dxfId="2202" priority="3027" operator="beginsWith" text="Lancement Projet fil rouge">
      <formula>LEFT(BO201,LEN("Lancement Projet fil rouge"))="Lancement Projet fil rouge"</formula>
    </cfRule>
    <cfRule type="beginsWith" dxfId="2201" priority="3028" operator="beginsWith" text="Vacances">
      <formula>LEFT(BO201,LEN("Vacances"))="Vacances"</formula>
    </cfRule>
    <cfRule type="beginsWith" dxfId="2200" priority="3029" operator="beginsWith" text="Séminaire d'intégration">
      <formula>LEFT(BO201,LEN("Séminaire d'intégration"))="Séminaire d'intégration"</formula>
    </cfRule>
    <cfRule type="beginsWith" dxfId="2199" priority="3030" operator="beginsWith" text="Accueil">
      <formula>LEFT(BO201,LEN("Accueil"))="Accueil"</formula>
    </cfRule>
    <cfRule type="beginsWith" dxfId="2198" priority="3031" operator="beginsWith" text="Stage">
      <formula>LEFT(BO201,LEN("Stage"))="Stage"</formula>
    </cfRule>
    <cfRule type="beginsWith" dxfId="2197" priority="3032" operator="beginsWith" text="Entreprise">
      <formula>LEFT(BO201,LEN("Entreprise"))="Entreprise"</formula>
    </cfRule>
    <cfRule type="beginsWith" dxfId="2196" priority="3033" operator="beginsWith" text="Voltaire">
      <formula>LEFT(BO201,LEN("Voltaire"))="Voltaire"</formula>
    </cfRule>
  </conditionalFormatting>
  <conditionalFormatting sqref="BO207">
    <cfRule type="beginsWith" dxfId="2195" priority="2819" operator="beginsWith" text="Lancement Projet fil rouge">
      <formula>LEFT(BO207,LEN("Lancement Projet fil rouge"))="Lancement Projet fil rouge"</formula>
    </cfRule>
    <cfRule type="beginsWith" dxfId="2194" priority="2820" operator="beginsWith" text="Vacances">
      <formula>LEFT(BO207,LEN("Vacances"))="Vacances"</formula>
    </cfRule>
    <cfRule type="beginsWith" dxfId="2193" priority="2821" operator="beginsWith" text="Séminaire d'intégration">
      <formula>LEFT(BO207,LEN("Séminaire d'intégration"))="Séminaire d'intégration"</formula>
    </cfRule>
    <cfRule type="beginsWith" dxfId="2192" priority="2822" operator="beginsWith" text="Accueil">
      <formula>LEFT(BO207,LEN("Accueil"))="Accueil"</formula>
    </cfRule>
    <cfRule type="beginsWith" dxfId="2191" priority="2823" operator="beginsWith" text="Stage">
      <formula>LEFT(BO207,LEN("Stage"))="Stage"</formula>
    </cfRule>
    <cfRule type="beginsWith" dxfId="2190" priority="2824" operator="beginsWith" text="Entreprise">
      <formula>LEFT(BO207,LEN("Entreprise"))="Entreprise"</formula>
    </cfRule>
    <cfRule type="beginsWith" dxfId="2189" priority="2825" operator="beginsWith" text="Voltaire">
      <formula>LEFT(BO207,LEN("Voltaire"))="Voltaire"</formula>
    </cfRule>
  </conditionalFormatting>
  <conditionalFormatting sqref="BO221">
    <cfRule type="beginsWith" dxfId="2188" priority="2289" operator="beginsWith" text="Lancement Projet fil rouge">
      <formula>LEFT(BO221,LEN("Lancement Projet fil rouge"))="Lancement Projet fil rouge"</formula>
    </cfRule>
    <cfRule type="beginsWith" dxfId="2187" priority="2290" operator="beginsWith" text="Vacances">
      <formula>LEFT(BO221,LEN("Vacances"))="Vacances"</formula>
    </cfRule>
    <cfRule type="beginsWith" dxfId="2186" priority="2291" operator="beginsWith" text="Séminaire d'intégration">
      <formula>LEFT(BO221,LEN("Séminaire d'intégration"))="Séminaire d'intégration"</formula>
    </cfRule>
    <cfRule type="beginsWith" dxfId="2185" priority="2292" operator="beginsWith" text="Accueil">
      <formula>LEFT(BO221,LEN("Accueil"))="Accueil"</formula>
    </cfRule>
    <cfRule type="beginsWith" dxfId="2184" priority="2293" operator="beginsWith" text="Stage">
      <formula>LEFT(BO221,LEN("Stage"))="Stage"</formula>
    </cfRule>
    <cfRule type="beginsWith" dxfId="2183" priority="2294" operator="beginsWith" text="Entreprise">
      <formula>LEFT(BO221,LEN("Entreprise"))="Entreprise"</formula>
    </cfRule>
    <cfRule type="beginsWith" dxfId="2182" priority="2295" operator="beginsWith" text="Voltaire">
      <formula>LEFT(BO221,LEN("Voltaire"))="Voltaire"</formula>
    </cfRule>
  </conditionalFormatting>
  <conditionalFormatting sqref="BO6:BO10 BQ6:BQ10">
    <cfRule type="beginsWith" dxfId="2181" priority="2787" operator="beginsWith" text="Lancement Projet fil rouge">
      <formula>LEFT(BO6,LEN("Lancement Projet fil rouge"))="Lancement Projet fil rouge"</formula>
    </cfRule>
    <cfRule type="beginsWith" dxfId="2180" priority="2788" operator="beginsWith" text="Vacances">
      <formula>LEFT(BO6,LEN("Vacances"))="Vacances"</formula>
    </cfRule>
    <cfRule type="beginsWith" dxfId="2179" priority="2789" operator="beginsWith" text="Séminaire d'intégration">
      <formula>LEFT(BO6,LEN("Séminaire d'intégration"))="Séminaire d'intégration"</formula>
    </cfRule>
    <cfRule type="beginsWith" dxfId="2178" priority="2790" operator="beginsWith" text="Accueil">
      <formula>LEFT(BO6,LEN("Accueil"))="Accueil"</formula>
    </cfRule>
    <cfRule type="beginsWith" dxfId="2177" priority="2791" operator="beginsWith" text="Stage">
      <formula>LEFT(BO6,LEN("Stage"))="Stage"</formula>
    </cfRule>
    <cfRule type="beginsWith" dxfId="2176" priority="2792" operator="beginsWith" text="Entreprise">
      <formula>LEFT(BO6,LEN("Entreprise"))="Entreprise"</formula>
    </cfRule>
    <cfRule type="beginsWith" dxfId="2175" priority="2793" operator="beginsWith" text="Voltaire">
      <formula>LEFT(BO6,LEN("Voltaire"))="Voltaire"</formula>
    </cfRule>
  </conditionalFormatting>
  <conditionalFormatting sqref="BO195 BQ195">
    <cfRule type="beginsWith" dxfId="2174" priority="2989" operator="beginsWith" text="Lancement Projet fil rouge">
      <formula>LEFT(BO195,LEN("Lancement Projet fil rouge"))="Lancement Projet fil rouge"</formula>
    </cfRule>
    <cfRule type="beginsWith" dxfId="2173" priority="2990" operator="beginsWith" text="Vacances">
      <formula>LEFT(BO195,LEN("Vacances"))="Vacances"</formula>
    </cfRule>
    <cfRule type="beginsWith" dxfId="2172" priority="2991" operator="beginsWith" text="Séminaire d'intégration">
      <formula>LEFT(BO195,LEN("Séminaire d'intégration"))="Séminaire d'intégration"</formula>
    </cfRule>
    <cfRule type="beginsWith" dxfId="2171" priority="2992" operator="beginsWith" text="Accueil">
      <formula>LEFT(BO195,LEN("Accueil"))="Accueil"</formula>
    </cfRule>
    <cfRule type="beginsWith" dxfId="2170" priority="2993" operator="beginsWith" text="Stage">
      <formula>LEFT(BO195,LEN("Stage"))="Stage"</formula>
    </cfRule>
    <cfRule type="beginsWith" dxfId="2169" priority="2994" operator="beginsWith" text="Entreprise">
      <formula>LEFT(BO195,LEN("Entreprise"))="Entreprise"</formula>
    </cfRule>
    <cfRule type="beginsWith" dxfId="2168" priority="2995" operator="beginsWith" text="Voltaire">
      <formula>LEFT(BO195,LEN("Voltaire"))="Voltaire"</formula>
    </cfRule>
  </conditionalFormatting>
  <conditionalFormatting sqref="BO206 BQ206">
    <cfRule type="beginsWith" dxfId="2167" priority="3044" operator="beginsWith" text="Lancement Projet fil rouge">
      <formula>LEFT(BO206,LEN("Lancement Projet fil rouge"))="Lancement Projet fil rouge"</formula>
    </cfRule>
    <cfRule type="beginsWith" dxfId="2166" priority="3045" operator="beginsWith" text="Vacances">
      <formula>LEFT(BO206,LEN("Vacances"))="Vacances"</formula>
    </cfRule>
    <cfRule type="beginsWith" dxfId="2165" priority="3046" operator="beginsWith" text="Séminaire d'intégration">
      <formula>LEFT(BO206,LEN("Séminaire d'intégration"))="Séminaire d'intégration"</formula>
    </cfRule>
    <cfRule type="beginsWith" dxfId="2164" priority="3047" operator="beginsWith" text="Accueil">
      <formula>LEFT(BO206,LEN("Accueil"))="Accueil"</formula>
    </cfRule>
    <cfRule type="beginsWith" dxfId="2163" priority="3048" operator="beginsWith" text="Stage">
      <formula>LEFT(BO206,LEN("Stage"))="Stage"</formula>
    </cfRule>
    <cfRule type="beginsWith" dxfId="2162" priority="3049" operator="beginsWith" text="Entreprise">
      <formula>LEFT(BO206,LEN("Entreprise"))="Entreprise"</formula>
    </cfRule>
    <cfRule type="beginsWith" dxfId="2161" priority="3050" operator="beginsWith" text="Voltaire">
      <formula>LEFT(BO206,LEN("Voltaire"))="Voltaire"</formula>
    </cfRule>
  </conditionalFormatting>
  <conditionalFormatting sqref="BO190 BQ190">
    <cfRule type="beginsWith" dxfId="2160" priority="2932" operator="beginsWith" text="Lancement Projet fil rouge">
      <formula>LEFT(BO190,LEN("Lancement Projet fil rouge"))="Lancement Projet fil rouge"</formula>
    </cfRule>
    <cfRule type="beginsWith" dxfId="2159" priority="2933" operator="beginsWith" text="Vacances">
      <formula>LEFT(BO190,LEN("Vacances"))="Vacances"</formula>
    </cfRule>
    <cfRule type="beginsWith" dxfId="2158" priority="2934" operator="beginsWith" text="Séminaire d'intégration">
      <formula>LEFT(BO190,LEN("Séminaire d'intégration"))="Séminaire d'intégration"</formula>
    </cfRule>
    <cfRule type="beginsWith" dxfId="2157" priority="2935" operator="beginsWith" text="Accueil">
      <formula>LEFT(BO190,LEN("Accueil"))="Accueil"</formula>
    </cfRule>
    <cfRule type="beginsWith" dxfId="2156" priority="2938" operator="beginsWith" text="Stage">
      <formula>LEFT(BO190,LEN("Stage"))="Stage"</formula>
    </cfRule>
    <cfRule type="beginsWith" dxfId="2155" priority="2939" operator="beginsWith" text="Entreprise">
      <formula>LEFT(BO190,LEN("Entreprise"))="Entreprise"</formula>
    </cfRule>
    <cfRule type="beginsWith" dxfId="2154" priority="2941" operator="beginsWith" text="Voltaire">
      <formula>LEFT(BO190,LEN("Voltaire"))="Voltaire"</formula>
    </cfRule>
  </conditionalFormatting>
  <conditionalFormatting sqref="BQ136">
    <cfRule type="beginsWith" dxfId="2153" priority="2246" operator="beginsWith" text="Lancement Projet fil rouge">
      <formula>LEFT(BQ136,LEN("Lancement Projet fil rouge"))="Lancement Projet fil rouge"</formula>
    </cfRule>
    <cfRule type="beginsWith" dxfId="2152" priority="2247" operator="beginsWith" text="Vacances">
      <formula>LEFT(BQ136,LEN("Vacances"))="Vacances"</formula>
    </cfRule>
    <cfRule type="beginsWith" dxfId="2151" priority="2248" operator="beginsWith" text="Séminaire d'intégration">
      <formula>LEFT(BQ136,LEN("Séminaire d'intégration"))="Séminaire d'intégration"</formula>
    </cfRule>
    <cfRule type="beginsWith" dxfId="2150" priority="2249" operator="beginsWith" text="Accueil">
      <formula>LEFT(BQ136,LEN("Accueil"))="Accueil"</formula>
    </cfRule>
    <cfRule type="beginsWith" dxfId="2149" priority="2250" operator="beginsWith" text="Stage">
      <formula>LEFT(BQ136,LEN("Stage"))="Stage"</formula>
    </cfRule>
    <cfRule type="beginsWith" dxfId="2148" priority="2251" operator="beginsWith" text="Entreprise">
      <formula>LEFT(BQ136,LEN("Entreprise"))="Entreprise"</formula>
    </cfRule>
    <cfRule type="beginsWith" dxfId="2147" priority="2252" operator="beginsWith" text="Voltaire">
      <formula>LEFT(BQ136,LEN("Voltaire"))="Voltaire"</formula>
    </cfRule>
  </conditionalFormatting>
  <conditionalFormatting sqref="BQ151:BQ155">
    <cfRule type="beginsWith" dxfId="2146" priority="2239" operator="beginsWith" text="Lancement Projet fil rouge">
      <formula>LEFT(BQ151,LEN("Lancement Projet fil rouge"))="Lancement Projet fil rouge"</formula>
    </cfRule>
    <cfRule type="beginsWith" dxfId="2145" priority="2240" operator="beginsWith" text="Vacances">
      <formula>LEFT(BQ151,LEN("Vacances"))="Vacances"</formula>
    </cfRule>
    <cfRule type="beginsWith" dxfId="2144" priority="2241" operator="beginsWith" text="Séminaire d'intégration">
      <formula>LEFT(BQ151,LEN("Séminaire d'intégration"))="Séminaire d'intégration"</formula>
    </cfRule>
    <cfRule type="beginsWith" dxfId="2143" priority="2242" operator="beginsWith" text="Accueil">
      <formula>LEFT(BQ151,LEN("Accueil"))="Accueil"</formula>
    </cfRule>
    <cfRule type="beginsWith" dxfId="2142" priority="2243" operator="beginsWith" text="Stage">
      <formula>LEFT(BQ151,LEN("Stage"))="Stage"</formula>
    </cfRule>
    <cfRule type="beginsWith" dxfId="2141" priority="2244" operator="beginsWith" text="Entreprise">
      <formula>LEFT(BQ151,LEN("Entreprise"))="Entreprise"</formula>
    </cfRule>
    <cfRule type="beginsWith" dxfId="2140" priority="2245" operator="beginsWith" text="Voltaire">
      <formula>LEFT(BQ151,LEN("Voltaire"))="Voltaire"</formula>
    </cfRule>
  </conditionalFormatting>
  <conditionalFormatting sqref="BQ156">
    <cfRule type="beginsWith" dxfId="2139" priority="2232" operator="beginsWith" text="Lancement Projet fil rouge">
      <formula>LEFT(BQ156,LEN("Lancement Projet fil rouge"))="Lancement Projet fil rouge"</formula>
    </cfRule>
    <cfRule type="beginsWith" dxfId="2138" priority="2233" operator="beginsWith" text="Vacances">
      <formula>LEFT(BQ156,LEN("Vacances"))="Vacances"</formula>
    </cfRule>
    <cfRule type="beginsWith" dxfId="2137" priority="2234" operator="beginsWith" text="Séminaire d'intégration">
      <formula>LEFT(BQ156,LEN("Séminaire d'intégration"))="Séminaire d'intégration"</formula>
    </cfRule>
    <cfRule type="beginsWith" dxfId="2136" priority="2235" operator="beginsWith" text="Accueil">
      <formula>LEFT(BQ156,LEN("Accueil"))="Accueil"</formula>
    </cfRule>
    <cfRule type="beginsWith" dxfId="2135" priority="2236" operator="beginsWith" text="Stage">
      <formula>LEFT(BQ156,LEN("Stage"))="Stage"</formula>
    </cfRule>
    <cfRule type="beginsWith" dxfId="2134" priority="2237" operator="beginsWith" text="Entreprise">
      <formula>LEFT(BQ156,LEN("Entreprise"))="Entreprise"</formula>
    </cfRule>
    <cfRule type="beginsWith" dxfId="2133" priority="2238" operator="beginsWith" text="Voltaire">
      <formula>LEFT(BQ156,LEN("Voltaire"))="Voltaire"</formula>
    </cfRule>
  </conditionalFormatting>
  <conditionalFormatting sqref="BQ196">
    <cfRule type="beginsWith" dxfId="2132" priority="2225" operator="beginsWith" text="Lancement Projet fil rouge">
      <formula>LEFT(BQ196,LEN("Lancement Projet fil rouge"))="Lancement Projet fil rouge"</formula>
    </cfRule>
    <cfRule type="beginsWith" dxfId="2131" priority="2226" operator="beginsWith" text="Vacances">
      <formula>LEFT(BQ196,LEN("Vacances"))="Vacances"</formula>
    </cfRule>
    <cfRule type="beginsWith" dxfId="2130" priority="2227" operator="beginsWith" text="Séminaire d'intégration">
      <formula>LEFT(BQ196,LEN("Séminaire d'intégration"))="Séminaire d'intégration"</formula>
    </cfRule>
    <cfRule type="beginsWith" dxfId="2129" priority="2228" operator="beginsWith" text="Accueil">
      <formula>LEFT(BQ196,LEN("Accueil"))="Accueil"</formula>
    </cfRule>
    <cfRule type="beginsWith" dxfId="2128" priority="2229" operator="beginsWith" text="Stage">
      <formula>LEFT(BQ196,LEN("Stage"))="Stage"</formula>
    </cfRule>
    <cfRule type="beginsWith" dxfId="2127" priority="2230" operator="beginsWith" text="Entreprise">
      <formula>LEFT(BQ196,LEN("Entreprise"))="Entreprise"</formula>
    </cfRule>
    <cfRule type="beginsWith" dxfId="2126" priority="2231" operator="beginsWith" text="Voltaire">
      <formula>LEFT(BQ196,LEN("Voltaire"))="Voltaire"</formula>
    </cfRule>
  </conditionalFormatting>
  <conditionalFormatting sqref="BQ201:BQ205">
    <cfRule type="beginsWith" dxfId="2125" priority="2218" operator="beginsWith" text="Lancement Projet fil rouge">
      <formula>LEFT(BQ201,LEN("Lancement Projet fil rouge"))="Lancement Projet fil rouge"</formula>
    </cfRule>
    <cfRule type="beginsWith" dxfId="2124" priority="2219" operator="beginsWith" text="Vacances">
      <formula>LEFT(BQ201,LEN("Vacances"))="Vacances"</formula>
    </cfRule>
    <cfRule type="beginsWith" dxfId="2123" priority="2220" operator="beginsWith" text="Séminaire d'intégration">
      <formula>LEFT(BQ201,LEN("Séminaire d'intégration"))="Séminaire d'intégration"</formula>
    </cfRule>
    <cfRule type="beginsWith" dxfId="2122" priority="2221" operator="beginsWith" text="Accueil">
      <formula>LEFT(BQ201,LEN("Accueil"))="Accueil"</formula>
    </cfRule>
    <cfRule type="beginsWith" dxfId="2121" priority="2222" operator="beginsWith" text="Stage">
      <formula>LEFT(BQ201,LEN("Stage"))="Stage"</formula>
    </cfRule>
    <cfRule type="beginsWith" dxfId="2120" priority="2223" operator="beginsWith" text="Entreprise">
      <formula>LEFT(BQ201,LEN("Entreprise"))="Entreprise"</formula>
    </cfRule>
    <cfRule type="beginsWith" dxfId="2119" priority="2224" operator="beginsWith" text="Voltaire">
      <formula>LEFT(BQ201,LEN("Voltaire"))="Voltaire"</formula>
    </cfRule>
  </conditionalFormatting>
  <conditionalFormatting sqref="BQ207">
    <cfRule type="beginsWith" dxfId="2118" priority="2211" operator="beginsWith" text="Lancement Projet fil rouge">
      <formula>LEFT(BQ207,LEN("Lancement Projet fil rouge"))="Lancement Projet fil rouge"</formula>
    </cfRule>
    <cfRule type="beginsWith" dxfId="2117" priority="2212" operator="beginsWith" text="Vacances">
      <formula>LEFT(BQ207,LEN("Vacances"))="Vacances"</formula>
    </cfRule>
    <cfRule type="beginsWith" dxfId="2116" priority="2213" operator="beginsWith" text="Séminaire d'intégration">
      <formula>LEFT(BQ207,LEN("Séminaire d'intégration"))="Séminaire d'intégration"</formula>
    </cfRule>
    <cfRule type="beginsWith" dxfId="2115" priority="2214" operator="beginsWith" text="Accueil">
      <formula>LEFT(BQ207,LEN("Accueil"))="Accueil"</formula>
    </cfRule>
    <cfRule type="beginsWith" dxfId="2114" priority="2215" operator="beginsWith" text="Stage">
      <formula>LEFT(BQ207,LEN("Stage"))="Stage"</formula>
    </cfRule>
    <cfRule type="beginsWith" dxfId="2113" priority="2216" operator="beginsWith" text="Entreprise">
      <formula>LEFT(BQ207,LEN("Entreprise"))="Entreprise"</formula>
    </cfRule>
    <cfRule type="beginsWith" dxfId="2112" priority="2217" operator="beginsWith" text="Voltaire">
      <formula>LEFT(BQ207,LEN("Voltaire"))="Voltaire"</formula>
    </cfRule>
  </conditionalFormatting>
  <conditionalFormatting sqref="BS146:BS150">
    <cfRule type="beginsWith" dxfId="2111" priority="2634" operator="beginsWith" text="Lancement Projet fil rouge">
      <formula>LEFT(BS146,LEN("Lancement Projet fil rouge"))="Lancement Projet fil rouge"</formula>
    </cfRule>
    <cfRule type="beginsWith" dxfId="2110" priority="2635" operator="beginsWith" text="Vacances">
      <formula>LEFT(BS146,LEN("Vacances"))="Vacances"</formula>
    </cfRule>
    <cfRule type="beginsWith" dxfId="2109" priority="2636" operator="beginsWith" text="Séminaire d'intégration">
      <formula>LEFT(BS146,LEN("Séminaire d'intégration"))="Séminaire d'intégration"</formula>
    </cfRule>
    <cfRule type="beginsWith" dxfId="2108" priority="2637" operator="beginsWith" text="Accueil">
      <formula>LEFT(BS146,LEN("Accueil"))="Accueil"</formula>
    </cfRule>
    <cfRule type="beginsWith" dxfId="2107" priority="2638" operator="beginsWith" text="Stage">
      <formula>LEFT(BS146,LEN("Stage"))="Stage"</formula>
    </cfRule>
    <cfRule type="beginsWith" dxfId="2106" priority="2639" operator="beginsWith" text="Entreprise">
      <formula>LEFT(BS146,LEN("Entreprise"))="Entreprise"</formula>
    </cfRule>
    <cfRule type="beginsWith" dxfId="2105" priority="2640" operator="beginsWith" text="Voltaire">
      <formula>LEFT(BS146,LEN("Voltaire"))="Voltaire"</formula>
    </cfRule>
  </conditionalFormatting>
  <conditionalFormatting sqref="BS151:BS155">
    <cfRule type="beginsWith" dxfId="2104" priority="2584" operator="beginsWith" text="Lancement Projet fil rouge">
      <formula>LEFT(BS151,LEN("Lancement Projet fil rouge"))="Lancement Projet fil rouge"</formula>
    </cfRule>
    <cfRule type="beginsWith" dxfId="2103" priority="2585" operator="beginsWith" text="Vacances">
      <formula>LEFT(BS151,LEN("Vacances"))="Vacances"</formula>
    </cfRule>
    <cfRule type="beginsWith" dxfId="2102" priority="2586" operator="beginsWith" text="Séminaire d'intégration">
      <formula>LEFT(BS151,LEN("Séminaire d'intégration"))="Séminaire d'intégration"</formula>
    </cfRule>
    <cfRule type="beginsWith" dxfId="2101" priority="2587" operator="beginsWith" text="Accueil">
      <formula>LEFT(BS151,LEN("Accueil"))="Accueil"</formula>
    </cfRule>
    <cfRule type="beginsWith" dxfId="2100" priority="2588" operator="beginsWith" text="Stage">
      <formula>LEFT(BS151,LEN("Stage"))="Stage"</formula>
    </cfRule>
    <cfRule type="beginsWith" dxfId="2099" priority="2589" operator="beginsWith" text="Entreprise">
      <formula>LEFT(BS151,LEN("Entreprise"))="Entreprise"</formula>
    </cfRule>
    <cfRule type="beginsWith" dxfId="2098" priority="2590" operator="beginsWith" text="Voltaire">
      <formula>LEFT(BS151,LEN("Voltaire"))="Voltaire"</formula>
    </cfRule>
  </conditionalFormatting>
  <conditionalFormatting sqref="BS156">
    <cfRule type="beginsWith" dxfId="2097" priority="2559" operator="beginsWith" text="Lancement Projet fil rouge">
      <formula>LEFT(BS156,LEN("Lancement Projet fil rouge"))="Lancement Projet fil rouge"</formula>
    </cfRule>
    <cfRule type="beginsWith" dxfId="2096" priority="2560" operator="beginsWith" text="Vacances">
      <formula>LEFT(BS156,LEN("Vacances"))="Vacances"</formula>
    </cfRule>
    <cfRule type="beginsWith" dxfId="2095" priority="2561" operator="beginsWith" text="Séminaire d'intégration">
      <formula>LEFT(BS156,LEN("Séminaire d'intégration"))="Séminaire d'intégration"</formula>
    </cfRule>
    <cfRule type="beginsWith" dxfId="2094" priority="2562" operator="beginsWith" text="Accueil">
      <formula>LEFT(BS156,LEN("Accueil"))="Accueil"</formula>
    </cfRule>
    <cfRule type="beginsWith" dxfId="2093" priority="2563" operator="beginsWith" text="Stage">
      <formula>LEFT(BS156,LEN("Stage"))="Stage"</formula>
    </cfRule>
    <cfRule type="beginsWith" dxfId="2092" priority="2564" operator="beginsWith" text="Entreprise">
      <formula>LEFT(BS156,LEN("Entreprise"))="Entreprise"</formula>
    </cfRule>
    <cfRule type="beginsWith" dxfId="2091" priority="2565" operator="beginsWith" text="Voltaire">
      <formula>LEFT(BS156,LEN("Voltaire"))="Voltaire"</formula>
    </cfRule>
  </conditionalFormatting>
  <conditionalFormatting sqref="BS161">
    <cfRule type="beginsWith" dxfId="2090" priority="2545" operator="beginsWith" text="Lancement Projet fil rouge">
      <formula>LEFT(BS161,LEN("Lancement Projet fil rouge"))="Lancement Projet fil rouge"</formula>
    </cfRule>
    <cfRule type="beginsWith" dxfId="2089" priority="2546" operator="beginsWith" text="Vacances">
      <formula>LEFT(BS161,LEN("Vacances"))="Vacances"</formula>
    </cfRule>
    <cfRule type="beginsWith" dxfId="2088" priority="2547" operator="beginsWith" text="Séminaire d'intégration">
      <formula>LEFT(BS161,LEN("Séminaire d'intégration"))="Séminaire d'intégration"</formula>
    </cfRule>
    <cfRule type="beginsWith" dxfId="2087" priority="2548" operator="beginsWith" text="Accueil">
      <formula>LEFT(BS161,LEN("Accueil"))="Accueil"</formula>
    </cfRule>
    <cfRule type="beginsWith" dxfId="2086" priority="2549" operator="beginsWith" text="Stage">
      <formula>LEFT(BS161,LEN("Stage"))="Stage"</formula>
    </cfRule>
    <cfRule type="beginsWith" dxfId="2085" priority="2550" operator="beginsWith" text="Entreprise">
      <formula>LEFT(BS161,LEN("Entreprise"))="Entreprise"</formula>
    </cfRule>
    <cfRule type="beginsWith" dxfId="2084" priority="2551" operator="beginsWith" text="Voltaire">
      <formula>LEFT(BS161,LEN("Voltaire"))="Voltaire"</formula>
    </cfRule>
  </conditionalFormatting>
  <conditionalFormatting sqref="BS166:BS170">
    <cfRule type="beginsWith" dxfId="2083" priority="2538" operator="beginsWith" text="Lancement Projet fil rouge">
      <formula>LEFT(BS166,LEN("Lancement Projet fil rouge"))="Lancement Projet fil rouge"</formula>
    </cfRule>
    <cfRule type="beginsWith" dxfId="2082" priority="2539" operator="beginsWith" text="Vacances">
      <formula>LEFT(BS166,LEN("Vacances"))="Vacances"</formula>
    </cfRule>
    <cfRule type="beginsWith" dxfId="2081" priority="2540" operator="beginsWith" text="Séminaire d'intégration">
      <formula>LEFT(BS166,LEN("Séminaire d'intégration"))="Séminaire d'intégration"</formula>
    </cfRule>
    <cfRule type="beginsWith" dxfId="2080" priority="2541" operator="beginsWith" text="Accueil">
      <formula>LEFT(BS166,LEN("Accueil"))="Accueil"</formula>
    </cfRule>
    <cfRule type="beginsWith" dxfId="2079" priority="2542" operator="beginsWith" text="Stage">
      <formula>LEFT(BS166,LEN("Stage"))="Stage"</formula>
    </cfRule>
    <cfRule type="beginsWith" dxfId="2078" priority="2543" operator="beginsWith" text="Entreprise">
      <formula>LEFT(BS166,LEN("Entreprise"))="Entreprise"</formula>
    </cfRule>
    <cfRule type="beginsWith" dxfId="2077" priority="2544" operator="beginsWith" text="Voltaire">
      <formula>LEFT(BS166,LEN("Voltaire"))="Voltaire"</formula>
    </cfRule>
  </conditionalFormatting>
  <conditionalFormatting sqref="BS171">
    <cfRule type="beginsWith" dxfId="2076" priority="2881" operator="beginsWith" text="Lancement Projet fil rouge">
      <formula>LEFT(BS171,LEN("Lancement Projet fil rouge"))="Lancement Projet fil rouge"</formula>
    </cfRule>
    <cfRule type="beginsWith" dxfId="2075" priority="2882" operator="beginsWith" text="Vacances">
      <formula>LEFT(BS171,LEN("Vacances"))="Vacances"</formula>
    </cfRule>
    <cfRule type="beginsWith" dxfId="2074" priority="2883" operator="beginsWith" text="Séminaire d'intégration">
      <formula>LEFT(BS171,LEN("Séminaire d'intégration"))="Séminaire d'intégration"</formula>
    </cfRule>
    <cfRule type="beginsWith" dxfId="2073" priority="2884" operator="beginsWith" text="Accueil">
      <formula>LEFT(BS171,LEN("Accueil"))="Accueil"</formula>
    </cfRule>
    <cfRule type="beginsWith" dxfId="2072" priority="2885" operator="beginsWith" text="Stage">
      <formula>LEFT(BS171,LEN("Stage"))="Stage"</formula>
    </cfRule>
    <cfRule type="beginsWith" dxfId="2071" priority="2886" operator="beginsWith" text="Entreprise">
      <formula>LEFT(BS171,LEN("Entreprise"))="Entreprise"</formula>
    </cfRule>
    <cfRule type="beginsWith" dxfId="2070" priority="2887" operator="beginsWith" text="Voltaire">
      <formula>LEFT(BS171,LEN("Voltaire"))="Voltaire"</formula>
    </cfRule>
  </conditionalFormatting>
  <conditionalFormatting sqref="BS172">
    <cfRule type="beginsWith" dxfId="2069" priority="2826" operator="beginsWith" text="Lancement Projet fil rouge">
      <formula>LEFT(BS172,LEN("Lancement Projet fil rouge"))="Lancement Projet fil rouge"</formula>
    </cfRule>
    <cfRule type="beginsWith" dxfId="2068" priority="2827" operator="beginsWith" text="Vacances">
      <formula>LEFT(BS172,LEN("Vacances"))="Vacances"</formula>
    </cfRule>
    <cfRule type="beginsWith" dxfId="2067" priority="2828" operator="beginsWith" text="Séminaire d'intégration">
      <formula>LEFT(BS172,LEN("Séminaire d'intégration"))="Séminaire d'intégration"</formula>
    </cfRule>
    <cfRule type="beginsWith" dxfId="2066" priority="2829" operator="beginsWith" text="Accueil">
      <formula>LEFT(BS172,LEN("Accueil"))="Accueil"</formula>
    </cfRule>
    <cfRule type="beginsWith" dxfId="2065" priority="2830" operator="beginsWith" text="Stage">
      <formula>LEFT(BS172,LEN("Stage"))="Stage"</formula>
    </cfRule>
    <cfRule type="beginsWith" dxfId="2064" priority="2831" operator="beginsWith" text="Entreprise">
      <formula>LEFT(BS172,LEN("Entreprise"))="Entreprise"</formula>
    </cfRule>
    <cfRule type="beginsWith" dxfId="2063" priority="2832" operator="beginsWith" text="Voltaire">
      <formula>LEFT(BS172,LEN("Voltaire"))="Voltaire"</formula>
    </cfRule>
  </conditionalFormatting>
  <conditionalFormatting sqref="BS176:BS180">
    <cfRule type="beginsWith" dxfId="2062" priority="2888" operator="beginsWith" text="Lancement Projet fil rouge">
      <formula>LEFT(BS176,LEN("Lancement Projet fil rouge"))="Lancement Projet fil rouge"</formula>
    </cfRule>
    <cfRule type="beginsWith" dxfId="2061" priority="2889" operator="beginsWith" text="Vacances">
      <formula>LEFT(BS176,LEN("Vacances"))="Vacances"</formula>
    </cfRule>
    <cfRule type="beginsWith" dxfId="2060" priority="2890" operator="beginsWith" text="Séminaire d'intégration">
      <formula>LEFT(BS176,LEN("Séminaire d'intégration"))="Séminaire d'intégration"</formula>
    </cfRule>
    <cfRule type="beginsWith" dxfId="2059" priority="2891" operator="beginsWith" text="Accueil">
      <formula>LEFT(BS176,LEN("Accueil"))="Accueil"</formula>
    </cfRule>
    <cfRule type="beginsWith" dxfId="2058" priority="2892" operator="beginsWith" text="Stage">
      <formula>LEFT(BS176,LEN("Stage"))="Stage"</formula>
    </cfRule>
    <cfRule type="beginsWith" dxfId="2057" priority="2893" operator="beginsWith" text="Entreprise">
      <formula>LEFT(BS176,LEN("Entreprise"))="Entreprise"</formula>
    </cfRule>
    <cfRule type="beginsWith" dxfId="2056" priority="2894" operator="beginsWith" text="Voltaire">
      <formula>LEFT(BS176,LEN("Voltaire"))="Voltaire"</formula>
    </cfRule>
  </conditionalFormatting>
  <conditionalFormatting sqref="BS191">
    <cfRule type="beginsWith" dxfId="2055" priority="2942" operator="beginsWith" text="Lancement Projet fil rouge">
      <formula>LEFT(BS191,LEN("Lancement Projet fil rouge"))="Lancement Projet fil rouge"</formula>
    </cfRule>
    <cfRule type="beginsWith" dxfId="2054" priority="2943" operator="beginsWith" text="Vacances">
      <formula>LEFT(BS191,LEN("Vacances"))="Vacances"</formula>
    </cfRule>
    <cfRule type="beginsWith" dxfId="2053" priority="2944" operator="beginsWith" text="Séminaire d'intégration">
      <formula>LEFT(BS191,LEN("Séminaire d'intégration"))="Séminaire d'intégration"</formula>
    </cfRule>
    <cfRule type="beginsWith" dxfId="2052" priority="2945" operator="beginsWith" text="Accueil">
      <formula>LEFT(BS191,LEN("Accueil"))="Accueil"</formula>
    </cfRule>
    <cfRule type="beginsWith" dxfId="2051" priority="2946" operator="beginsWith" text="Stage">
      <formula>LEFT(BS191,LEN("Stage"))="Stage"</formula>
    </cfRule>
    <cfRule type="beginsWith" dxfId="2050" priority="2947" operator="beginsWith" text="Entreprise">
      <formula>LEFT(BS191,LEN("Entreprise"))="Entreprise"</formula>
    </cfRule>
    <cfRule type="beginsWith" dxfId="2049" priority="2948" operator="beginsWith" text="Voltaire">
      <formula>LEFT(BS191,LEN("Voltaire"))="Voltaire"</formula>
    </cfRule>
  </conditionalFormatting>
  <conditionalFormatting sqref="BS195">
    <cfRule type="beginsWith" dxfId="2048" priority="2969" operator="beginsWith" text="Lancement Projet fil rouge">
      <formula>LEFT(BS195,LEN("Lancement Projet fil rouge"))="Lancement Projet fil rouge"</formula>
    </cfRule>
    <cfRule type="beginsWith" dxfId="2047" priority="2970" operator="beginsWith" text="Vacances">
      <formula>LEFT(BS195,LEN("Vacances"))="Vacances"</formula>
    </cfRule>
    <cfRule type="beginsWith" dxfId="2046" priority="2971" operator="beginsWith" text="Séminaire d'intégration">
      <formula>LEFT(BS195,LEN("Séminaire d'intégration"))="Séminaire d'intégration"</formula>
    </cfRule>
    <cfRule type="beginsWith" dxfId="2045" priority="2972" operator="beginsWith" text="Accueil">
      <formula>LEFT(BS195,LEN("Accueil"))="Accueil"</formula>
    </cfRule>
    <cfRule type="beginsWith" dxfId="2044" priority="2973" operator="beginsWith" text="TOPHYC">
      <formula>LEFT(BS195,LEN("TOPHYC"))="TOPHYC"</formula>
    </cfRule>
    <cfRule type="beginsWith" dxfId="2043" priority="2974" operator="beginsWith" text="Global Exam">
      <formula>LEFT(BS195,LEN("Global Exam"))="Global Exam"</formula>
    </cfRule>
    <cfRule type="beginsWith" dxfId="2042" priority="2975" operator="beginsWith" text="Stage">
      <formula>LEFT(BS195,LEN("Stage"))="Stage"</formula>
    </cfRule>
    <cfRule type="beginsWith" dxfId="2041" priority="2976" operator="beginsWith" text="Entreprise">
      <formula>LEFT(BS195,LEN("Entreprise"))="Entreprise"</formula>
    </cfRule>
    <cfRule type="beginsWith" dxfId="2040" priority="2977" operator="beginsWith" text="TOMIC">
      <formula>LEFT(BS195,LEN("TOMIC"))="TOMIC"</formula>
    </cfRule>
    <cfRule type="beginsWith" dxfId="2039" priority="2978" operator="beginsWith" text="Voltaire">
      <formula>LEFT(BS195,LEN("Voltaire"))="Voltaire"</formula>
    </cfRule>
  </conditionalFormatting>
  <conditionalFormatting sqref="BS198">
    <cfRule type="beginsWith" dxfId="2038" priority="2416" operator="beginsWith" text="Lancement Projet fil rouge">
      <formula>LEFT(BS198,LEN("Lancement Projet fil rouge"))="Lancement Projet fil rouge"</formula>
    </cfRule>
    <cfRule type="beginsWith" dxfId="2037" priority="2417" operator="beginsWith" text="Vacances">
      <formula>LEFT(BS198,LEN("Vacances"))="Vacances"</formula>
    </cfRule>
    <cfRule type="beginsWith" dxfId="2036" priority="2418" operator="beginsWith" text="Séminaire d'intégration">
      <formula>LEFT(BS198,LEN("Séminaire d'intégration"))="Séminaire d'intégration"</formula>
    </cfRule>
    <cfRule type="beginsWith" dxfId="2035" priority="2419" operator="beginsWith" text="Accueil">
      <formula>LEFT(BS198,LEN("Accueil"))="Accueil"</formula>
    </cfRule>
    <cfRule type="beginsWith" dxfId="2034" priority="2420" operator="beginsWith" text="Stage">
      <formula>LEFT(BS198,LEN("Stage"))="Stage"</formula>
    </cfRule>
    <cfRule type="beginsWith" dxfId="2033" priority="2421" operator="beginsWith" text="Entreprise">
      <formula>LEFT(BS198,LEN("Entreprise"))="Entreprise"</formula>
    </cfRule>
    <cfRule type="beginsWith" dxfId="2032" priority="2422" operator="beginsWith" text="Voltaire">
      <formula>LEFT(BS198,LEN("Voltaire"))="Voltaire"</formula>
    </cfRule>
  </conditionalFormatting>
  <conditionalFormatting sqref="BS201">
    <cfRule type="beginsWith" dxfId="2031" priority="3020" operator="beginsWith" text="Lancement Projet fil rouge">
      <formula>LEFT(BS201,LEN("Lancement Projet fil rouge"))="Lancement Projet fil rouge"</formula>
    </cfRule>
    <cfRule type="beginsWith" dxfId="2030" priority="3021" operator="beginsWith" text="Vacances">
      <formula>LEFT(BS201,LEN("Vacances"))="Vacances"</formula>
    </cfRule>
    <cfRule type="beginsWith" dxfId="2029" priority="3022" operator="beginsWith" text="Séminaire d'intégration">
      <formula>LEFT(BS201,LEN("Séminaire d'intégration"))="Séminaire d'intégration"</formula>
    </cfRule>
    <cfRule type="beginsWith" dxfId="2028" priority="3023" operator="beginsWith" text="Accueil">
      <formula>LEFT(BS201,LEN("Accueil"))="Accueil"</formula>
    </cfRule>
    <cfRule type="beginsWith" dxfId="2027" priority="3024" operator="beginsWith" text="Stage">
      <formula>LEFT(BS201,LEN("Stage"))="Stage"</formula>
    </cfRule>
    <cfRule type="beginsWith" dxfId="2026" priority="3025" operator="beginsWith" text="Entreprise">
      <formula>LEFT(BS201,LEN("Entreprise"))="Entreprise"</formula>
    </cfRule>
    <cfRule type="beginsWith" dxfId="2025" priority="3026" operator="beginsWith" text="Voltaire">
      <formula>LEFT(BS201,LEN("Voltaire"))="Voltaire"</formula>
    </cfRule>
  </conditionalFormatting>
  <conditionalFormatting sqref="BS206">
    <cfRule type="beginsWith" dxfId="2024" priority="3051" operator="beginsWith" text="Lancement Projet fil rouge">
      <formula>LEFT(BS206,LEN("Lancement Projet fil rouge"))="Lancement Projet fil rouge"</formula>
    </cfRule>
    <cfRule type="beginsWith" dxfId="2023" priority="3052" operator="beginsWith" text="Vacances">
      <formula>LEFT(BS206,LEN("Vacances"))="Vacances"</formula>
    </cfRule>
    <cfRule type="beginsWith" dxfId="2022" priority="3053" operator="beginsWith" text="Séminaire d'intégration">
      <formula>LEFT(BS206,LEN("Séminaire d'intégration"))="Séminaire d'intégration"</formula>
    </cfRule>
    <cfRule type="beginsWith" dxfId="2021" priority="3054" operator="beginsWith" text="Accueil">
      <formula>LEFT(BS206,LEN("Accueil"))="Accueil"</formula>
    </cfRule>
    <cfRule type="beginsWith" dxfId="2020" priority="3055" operator="beginsWith" text="Stage">
      <formula>LEFT(BS206,LEN("Stage"))="Stage"</formula>
    </cfRule>
    <cfRule type="beginsWith" dxfId="2019" priority="3056" operator="beginsWith" text="Entreprise">
      <formula>LEFT(BS206,LEN("Entreprise"))="Entreprise"</formula>
    </cfRule>
    <cfRule type="beginsWith" dxfId="2018" priority="3057" operator="beginsWith" text="Voltaire">
      <formula>LEFT(BS206,LEN("Voltaire"))="Voltaire"</formula>
    </cfRule>
  </conditionalFormatting>
  <conditionalFormatting sqref="BS207">
    <cfRule type="beginsWith" dxfId="2017" priority="2382" operator="beginsWith" text="Lancement Projet fil rouge">
      <formula>LEFT(BS207,LEN("Lancement Projet fil rouge"))="Lancement Projet fil rouge"</formula>
    </cfRule>
    <cfRule type="beginsWith" dxfId="2016" priority="2383" operator="beginsWith" text="Vacances">
      <formula>LEFT(BS207,LEN("Vacances"))="Vacances"</formula>
    </cfRule>
    <cfRule type="beginsWith" dxfId="2015" priority="2384" operator="beginsWith" text="Séminaire d'intégration">
      <formula>LEFT(BS207,LEN("Séminaire d'intégration"))="Séminaire d'intégration"</formula>
    </cfRule>
    <cfRule type="beginsWith" dxfId="2014" priority="2385" operator="beginsWith" text="Accueil">
      <formula>LEFT(BS207,LEN("Accueil"))="Accueil"</formula>
    </cfRule>
    <cfRule type="beginsWith" dxfId="2013" priority="2386" operator="beginsWith" text="Stage">
      <formula>LEFT(BS207,LEN("Stage"))="Stage"</formula>
    </cfRule>
    <cfRule type="beginsWith" dxfId="2012" priority="2387" operator="beginsWith" text="Entreprise">
      <formula>LEFT(BS207,LEN("Entreprise"))="Entreprise"</formula>
    </cfRule>
    <cfRule type="beginsWith" dxfId="2011" priority="2388" operator="beginsWith" text="Voltaire">
      <formula>LEFT(BS207,LEN("Voltaire"))="Voltaire"</formula>
    </cfRule>
  </conditionalFormatting>
  <conditionalFormatting sqref="BS211:BS215">
    <cfRule type="beginsWith" dxfId="2010" priority="2409" operator="beginsWith" text="Lancement Projet fil rouge">
      <formula>LEFT(BS211,LEN("Lancement Projet fil rouge"))="Lancement Projet fil rouge"</formula>
    </cfRule>
    <cfRule type="beginsWith" dxfId="2009" priority="2410" operator="beginsWith" text="Vacances">
      <formula>LEFT(BS211,LEN("Vacances"))="Vacances"</formula>
    </cfRule>
    <cfRule type="beginsWith" dxfId="2008" priority="2411" operator="beginsWith" text="Séminaire d'intégration">
      <formula>LEFT(BS211,LEN("Séminaire d'intégration"))="Séminaire d'intégration"</formula>
    </cfRule>
    <cfRule type="beginsWith" dxfId="2007" priority="2412" operator="beginsWith" text="Accueil">
      <formula>LEFT(BS211,LEN("Accueil"))="Accueil"</formula>
    </cfRule>
    <cfRule type="beginsWith" dxfId="2006" priority="2413" operator="beginsWith" text="Stage">
      <formula>LEFT(BS211,LEN("Stage"))="Stage"</formula>
    </cfRule>
    <cfRule type="beginsWith" dxfId="2005" priority="2414" operator="beginsWith" text="Entreprise">
      <formula>LEFT(BS211,LEN("Entreprise"))="Entreprise"</formula>
    </cfRule>
    <cfRule type="beginsWith" dxfId="2004" priority="2415" operator="beginsWith" text="Voltaire">
      <formula>LEFT(BS211,LEN("Voltaire"))="Voltaire"</formula>
    </cfRule>
  </conditionalFormatting>
  <conditionalFormatting sqref="BS216:BS220">
    <cfRule type="beginsWith" dxfId="2003" priority="2355" operator="beginsWith" text="Lancement Projet fil rouge">
      <formula>LEFT(BS216,LEN("Lancement Projet fil rouge"))="Lancement Projet fil rouge"</formula>
    </cfRule>
    <cfRule type="beginsWith" dxfId="2002" priority="2356" operator="beginsWith" text="Vacances">
      <formula>LEFT(BS216,LEN("Vacances"))="Vacances"</formula>
    </cfRule>
    <cfRule type="beginsWith" dxfId="2001" priority="2357" operator="beginsWith" text="Séminaire d'intégration">
      <formula>LEFT(BS216,LEN("Séminaire d'intégration"))="Séminaire d'intégration"</formula>
    </cfRule>
    <cfRule type="beginsWith" dxfId="2000" priority="2358" operator="beginsWith" text="Accueil">
      <formula>LEFT(BS216,LEN("Accueil"))="Accueil"</formula>
    </cfRule>
    <cfRule type="beginsWith" dxfId="1999" priority="2359" operator="beginsWith" text="Stage">
      <formula>LEFT(BS216,LEN("Stage"))="Stage"</formula>
    </cfRule>
    <cfRule type="beginsWith" dxfId="1998" priority="2360" operator="beginsWith" text="Entreprise">
      <formula>LEFT(BS216,LEN("Entreprise"))="Entreprise"</formula>
    </cfRule>
    <cfRule type="beginsWith" dxfId="1997" priority="2361" operator="beginsWith" text="Voltaire">
      <formula>LEFT(BS216,LEN("Voltaire"))="Voltaire"</formula>
    </cfRule>
  </conditionalFormatting>
  <conditionalFormatting sqref="BS136:BS140">
    <cfRule type="beginsWith" dxfId="1996" priority="2658" operator="beginsWith" text="Lancement Projet fil rouge">
      <formula>LEFT(BS136,LEN("Lancement Projet fil rouge"))="Lancement Projet fil rouge"</formula>
    </cfRule>
    <cfRule type="beginsWith" dxfId="1995" priority="2659" operator="beginsWith" text="Vacances">
      <formula>LEFT(BS136,LEN("Vacances"))="Vacances"</formula>
    </cfRule>
    <cfRule type="beginsWith" dxfId="1994" priority="2660" operator="beginsWith" text="Séminaire d'intégration">
      <formula>LEFT(BS136,LEN("Séminaire d'intégration"))="Séminaire d'intégration"</formula>
    </cfRule>
    <cfRule type="beginsWith" dxfId="1993" priority="2661" operator="beginsWith" text="Accueil">
      <formula>LEFT(BS136,LEN("Accueil"))="Accueil"</formula>
    </cfRule>
    <cfRule type="beginsWith" dxfId="1992" priority="2664" operator="beginsWith" text="Stage">
      <formula>LEFT(BS136,LEN("Stage"))="Stage"</formula>
    </cfRule>
    <cfRule type="beginsWith" dxfId="1991" priority="2665" operator="beginsWith" text="Entreprise">
      <formula>LEFT(BS136,LEN("Entreprise"))="Entreprise"</formula>
    </cfRule>
    <cfRule type="beginsWith" dxfId="1990" priority="2667" operator="beginsWith" text="Voltaire">
      <formula>LEFT(BS136,LEN("Voltaire"))="Voltaire"</formula>
    </cfRule>
  </conditionalFormatting>
  <conditionalFormatting sqref="BS228:BT228">
    <cfRule type="beginsWith" dxfId="1989" priority="2328" operator="beginsWith" text="Lancement Projet fil rouge">
      <formula>LEFT(BS228,LEN("Lancement Projet fil rouge"))="Lancement Projet fil rouge"</formula>
    </cfRule>
    <cfRule type="beginsWith" dxfId="1988" priority="2329" operator="beginsWith" text="Vacances">
      <formula>LEFT(BS228,LEN("Vacances"))="Vacances"</formula>
    </cfRule>
    <cfRule type="beginsWith" dxfId="1987" priority="2330" operator="beginsWith" text="Séminaire d'intégration">
      <formula>LEFT(BS228,LEN("Séminaire d'intégration"))="Séminaire d'intégration"</formula>
    </cfRule>
    <cfRule type="beginsWith" dxfId="1986" priority="2331" operator="beginsWith" text="Accueil">
      <formula>LEFT(BS228,LEN("Accueil"))="Accueil"</formula>
    </cfRule>
    <cfRule type="beginsWith" dxfId="1985" priority="2334" operator="beginsWith" text="Stage">
      <formula>LEFT(BS228,LEN("Stage"))="Stage"</formula>
    </cfRule>
    <cfRule type="beginsWith" dxfId="1984" priority="2335" operator="beginsWith" text="Entreprise">
      <formula>LEFT(BS228,LEN("Entreprise"))="Entreprise"</formula>
    </cfRule>
    <cfRule type="beginsWith" dxfId="1983" priority="2337" operator="beginsWith" text="Voltaire">
      <formula>LEFT(BS228,LEN("Voltaire"))="Voltaire"</formula>
    </cfRule>
  </conditionalFormatting>
  <conditionalFormatting sqref="BP195">
    <cfRule type="beginsWith" dxfId="1982" priority="1941" operator="beginsWith" text="Lancement Projet fil rouge">
      <formula>LEFT(BP195,LEN("Lancement Projet fil rouge"))="Lancement Projet fil rouge"</formula>
    </cfRule>
    <cfRule type="beginsWith" dxfId="1981" priority="1942" operator="beginsWith" text="Vacances">
      <formula>LEFT(BP195,LEN("Vacances"))="Vacances"</formula>
    </cfRule>
    <cfRule type="beginsWith" dxfId="1980" priority="1943" operator="beginsWith" text="Séminaire d'intégration">
      <formula>LEFT(BP195,LEN("Séminaire d'intégration"))="Séminaire d'intégration"</formula>
    </cfRule>
    <cfRule type="beginsWith" dxfId="1979" priority="1944" operator="beginsWith" text="Accueil">
      <formula>LEFT(BP195,LEN("Accueil"))="Accueil"</formula>
    </cfRule>
    <cfRule type="beginsWith" dxfId="1978" priority="1945" operator="beginsWith" text="TOPHYC">
      <formula>LEFT(BP195,LEN("TOPHYC"))="TOPHYC"</formula>
    </cfRule>
    <cfRule type="beginsWith" dxfId="1977" priority="1946" operator="beginsWith" text="Global Exam">
      <formula>LEFT(BP195,LEN("Global Exam"))="Global Exam"</formula>
    </cfRule>
    <cfRule type="beginsWith" dxfId="1976" priority="1947" operator="beginsWith" text="Stage">
      <formula>LEFT(BP195,LEN("Stage"))="Stage"</formula>
    </cfRule>
    <cfRule type="beginsWith" dxfId="1975" priority="1948" operator="beginsWith" text="Entreprise">
      <formula>LEFT(BP195,LEN("Entreprise"))="Entreprise"</formula>
    </cfRule>
    <cfRule type="beginsWith" dxfId="1974" priority="1949" operator="beginsWith" text="TOMIC">
      <formula>LEFT(BP195,LEN("TOMIC"))="TOMIC"</formula>
    </cfRule>
    <cfRule type="beginsWith" dxfId="1973" priority="1950" operator="beginsWith" text="Voltaire">
      <formula>LEFT(BP195,LEN("Voltaire"))="Voltaire"</formula>
    </cfRule>
  </conditionalFormatting>
  <conditionalFormatting sqref="BT159:BT160">
    <cfRule type="beginsWith" dxfId="1972" priority="2566" operator="beginsWith" text="Lancement Projet fil rouge">
      <formula>LEFT(BT159,LEN("Lancement Projet fil rouge"))="Lancement Projet fil rouge"</formula>
    </cfRule>
    <cfRule type="beginsWith" dxfId="1971" priority="2567" operator="beginsWith" text="Vacances">
      <formula>LEFT(BT159,LEN("Vacances"))="Vacances"</formula>
    </cfRule>
    <cfRule type="beginsWith" dxfId="1970" priority="2568" operator="beginsWith" text="Séminaire d'intégration">
      <formula>LEFT(BT159,LEN("Séminaire d'intégration"))="Séminaire d'intégration"</formula>
    </cfRule>
    <cfRule type="beginsWith" dxfId="1969" priority="2569" operator="beginsWith" text="Accueil">
      <formula>LEFT(BT159,LEN("Accueil"))="Accueil"</formula>
    </cfRule>
    <cfRule type="beginsWith" dxfId="1968" priority="2570" operator="beginsWith" text="TOPHYC">
      <formula>LEFT(BT159,LEN("TOPHYC"))="TOPHYC"</formula>
    </cfRule>
    <cfRule type="beginsWith" dxfId="1967" priority="2571" operator="beginsWith" text="Global Exam">
      <formula>LEFT(BT159,LEN("Global Exam"))="Global Exam"</formula>
    </cfRule>
    <cfRule type="beginsWith" dxfId="1966" priority="2572" operator="beginsWith" text="Stage">
      <formula>LEFT(BT159,LEN("Stage"))="Stage"</formula>
    </cfRule>
    <cfRule type="beginsWith" dxfId="1965" priority="2573" operator="beginsWith" text="Entreprise">
      <formula>LEFT(BT159,LEN("Entreprise"))="Entreprise"</formula>
    </cfRule>
    <cfRule type="beginsWith" dxfId="1964" priority="2574" operator="beginsWith" text="TOMIC">
      <formula>LEFT(BT159,LEN("TOMIC"))="TOMIC"</formula>
    </cfRule>
    <cfRule type="beginsWith" dxfId="1963" priority="2575" operator="beginsWith" text="Voltaire">
      <formula>LEFT(BT159,LEN("Voltaire"))="Voltaire"</formula>
    </cfRule>
  </conditionalFormatting>
  <conditionalFormatting sqref="BT219:BT220 BT216:BT217">
    <cfRule type="beginsWith" dxfId="1962" priority="3058" operator="beginsWith" text="Lancement Projet fil rouge">
      <formula>LEFT(BT216,LEN("Lancement Projet fil rouge"))="Lancement Projet fil rouge"</formula>
    </cfRule>
    <cfRule type="beginsWith" dxfId="1961" priority="3059" operator="beginsWith" text="Vacances">
      <formula>LEFT(BT216,LEN("Vacances"))="Vacances"</formula>
    </cfRule>
    <cfRule type="beginsWith" dxfId="1960" priority="3060" operator="beginsWith" text="Séminaire d'intégration">
      <formula>LEFT(BT216,LEN("Séminaire d'intégration"))="Séminaire d'intégration"</formula>
    </cfRule>
    <cfRule type="beginsWith" dxfId="1959" priority="3061" operator="beginsWith" text="Accueil">
      <formula>LEFT(BT216,LEN("Accueil"))="Accueil"</formula>
    </cfRule>
    <cfRule type="beginsWith" dxfId="1958" priority="3062" operator="beginsWith" text="TOPHYC">
      <formula>LEFT(BT216,LEN("TOPHYC"))="TOPHYC"</formula>
    </cfRule>
    <cfRule type="beginsWith" dxfId="1957" priority="3063" operator="beginsWith" text="Global Exam">
      <formula>LEFT(BT216,LEN("Global Exam"))="Global Exam"</formula>
    </cfRule>
    <cfRule type="beginsWith" dxfId="1956" priority="3064" operator="beginsWith" text="Stage">
      <formula>LEFT(BT216,LEN("Stage"))="Stage"</formula>
    </cfRule>
    <cfRule type="beginsWith" dxfId="1955" priority="3065" operator="beginsWith" text="Entreprise">
      <formula>LEFT(BT216,LEN("Entreprise"))="Entreprise"</formula>
    </cfRule>
    <cfRule type="beginsWith" dxfId="1954" priority="3066" operator="beginsWith" text="TOMIC">
      <formula>LEFT(BT216,LEN("TOMIC"))="TOMIC"</formula>
    </cfRule>
    <cfRule type="beginsWith" dxfId="1953" priority="3067" operator="beginsWith" text="Voltaire">
      <formula>LEFT(BT216,LEN("Voltaire"))="Voltaire"</formula>
    </cfRule>
  </conditionalFormatting>
  <conditionalFormatting sqref="BT228">
    <cfRule type="beginsWith" dxfId="1952" priority="2332" operator="beginsWith" text="TOPHYC">
      <formula>LEFT(BT228,LEN("TOPHYC"))="TOPHYC"</formula>
    </cfRule>
    <cfRule type="beginsWith" dxfId="1951" priority="2333" operator="beginsWith" text="Global Exam">
      <formula>LEFT(BT228,LEN("Global Exam"))="Global Exam"</formula>
    </cfRule>
    <cfRule type="beginsWith" dxfId="1950" priority="2336" operator="beginsWith" text="TOMIC">
      <formula>LEFT(BT228,LEN("TOMIC"))="TOMIC"</formula>
    </cfRule>
  </conditionalFormatting>
  <conditionalFormatting sqref="BT126:BT130">
    <cfRule type="beginsWith" dxfId="1949" priority="2121" operator="beginsWith" text="Lancement Projet fil rouge">
      <formula>LEFT(BT126,LEN("Lancement Projet fil rouge"))="Lancement Projet fil rouge"</formula>
    </cfRule>
    <cfRule type="beginsWith" dxfId="1948" priority="2122" operator="beginsWith" text="Vacances">
      <formula>LEFT(BT126,LEN("Vacances"))="Vacances"</formula>
    </cfRule>
    <cfRule type="beginsWith" dxfId="1947" priority="2123" operator="beginsWith" text="Séminaire d'intégration">
      <formula>LEFT(BT126,LEN("Séminaire d'intégration"))="Séminaire d'intégration"</formula>
    </cfRule>
    <cfRule type="beginsWith" dxfId="1946" priority="2124" operator="beginsWith" text="Accueil">
      <formula>LEFT(BT126,LEN("Accueil"))="Accueil"</formula>
    </cfRule>
    <cfRule type="beginsWith" dxfId="1945" priority="2125" operator="beginsWith" text="TOPHYC">
      <formula>LEFT(BT126,LEN("TOPHYC"))="TOPHYC"</formula>
    </cfRule>
    <cfRule type="beginsWith" dxfId="1944" priority="2126" operator="beginsWith" text="Global Exam">
      <formula>LEFT(BT126,LEN("Global Exam"))="Global Exam"</formula>
    </cfRule>
    <cfRule type="beginsWith" dxfId="1943" priority="2127" operator="beginsWith" text="Stage">
      <formula>LEFT(BT126,LEN("Stage"))="Stage"</formula>
    </cfRule>
    <cfRule type="beginsWith" dxfId="1942" priority="2128" operator="beginsWith" text="Entreprise">
      <formula>LEFT(BT126,LEN("Entreprise"))="Entreprise"</formula>
    </cfRule>
    <cfRule type="beginsWith" dxfId="1941" priority="2129" operator="beginsWith" text="TOMIC">
      <formula>LEFT(BT126,LEN("TOMIC"))="TOMIC"</formula>
    </cfRule>
    <cfRule type="beginsWith" dxfId="1940" priority="2130" operator="beginsWith" text="Voltaire">
      <formula>LEFT(BT126,LEN("Voltaire"))="Voltaire"</formula>
    </cfRule>
  </conditionalFormatting>
  <conditionalFormatting sqref="BT131">
    <cfRule type="beginsWith" dxfId="1939" priority="2684" operator="beginsWith" text="Lancement Projet fil rouge">
      <formula>LEFT(BT131,LEN("Lancement Projet fil rouge"))="Lancement Projet fil rouge"</formula>
    </cfRule>
    <cfRule type="beginsWith" dxfId="1938" priority="2685" operator="beginsWith" text="Vacances">
      <formula>LEFT(BT131,LEN("Vacances"))="Vacances"</formula>
    </cfRule>
    <cfRule type="beginsWith" dxfId="1937" priority="2686" operator="beginsWith" text="Séminaire d'intégration">
      <formula>LEFT(BT131,LEN("Séminaire d'intégration"))="Séminaire d'intégration"</formula>
    </cfRule>
    <cfRule type="beginsWith" dxfId="1936" priority="2687" operator="beginsWith" text="Accueil">
      <formula>LEFT(BT131,LEN("Accueil"))="Accueil"</formula>
    </cfRule>
    <cfRule type="beginsWith" dxfId="1935" priority="2688" operator="beginsWith" text="TOPHYC">
      <formula>LEFT(BT131,LEN("TOPHYC"))="TOPHYC"</formula>
    </cfRule>
    <cfRule type="beginsWith" dxfId="1934" priority="2689" operator="beginsWith" text="Global Exam">
      <formula>LEFT(BT131,LEN("Global Exam"))="Global Exam"</formula>
    </cfRule>
    <cfRule type="beginsWith" dxfId="1933" priority="2690" operator="beginsWith" text="Stage">
      <formula>LEFT(BT131,LEN("Stage"))="Stage"</formula>
    </cfRule>
    <cfRule type="beginsWith" dxfId="1932" priority="2691" operator="beginsWith" text="Entreprise">
      <formula>LEFT(BT131,LEN("Entreprise"))="Entreprise"</formula>
    </cfRule>
    <cfRule type="beginsWith" dxfId="1931" priority="2692" operator="beginsWith" text="TOMIC">
      <formula>LEFT(BT131,LEN("TOMIC"))="TOMIC"</formula>
    </cfRule>
    <cfRule type="beginsWith" dxfId="1930" priority="2693" operator="beginsWith" text="Voltaire">
      <formula>LEFT(BT131,LEN("Voltaire"))="Voltaire"</formula>
    </cfRule>
  </conditionalFormatting>
  <conditionalFormatting sqref="BT132">
    <cfRule type="beginsWith" dxfId="1929" priority="2488" operator="beginsWith" text="Lancement Projet fil rouge">
      <formula>LEFT(BT132,LEN("Lancement Projet fil rouge"))="Lancement Projet fil rouge"</formula>
    </cfRule>
    <cfRule type="beginsWith" dxfId="1928" priority="2489" operator="beginsWith" text="Vacances">
      <formula>LEFT(BT132,LEN("Vacances"))="Vacances"</formula>
    </cfRule>
    <cfRule type="beginsWith" dxfId="1927" priority="2490" operator="beginsWith" text="Séminaire d'intégration">
      <formula>LEFT(BT132,LEN("Séminaire d'intégration"))="Séminaire d'intégration"</formula>
    </cfRule>
    <cfRule type="beginsWith" dxfId="1926" priority="2491" operator="beginsWith" text="Accueil">
      <formula>LEFT(BT132,LEN("Accueil"))="Accueil"</formula>
    </cfRule>
    <cfRule type="beginsWith" dxfId="1925" priority="2492" operator="beginsWith" text="TOPHYC">
      <formula>LEFT(BT132,LEN("TOPHYC"))="TOPHYC"</formula>
    </cfRule>
    <cfRule type="beginsWith" dxfId="1924" priority="2493" operator="beginsWith" text="Global Exam">
      <formula>LEFT(BT132,LEN("Global Exam"))="Global Exam"</formula>
    </cfRule>
    <cfRule type="beginsWith" dxfId="1923" priority="2494" operator="beginsWith" text="Stage">
      <formula>LEFT(BT132,LEN("Stage"))="Stage"</formula>
    </cfRule>
    <cfRule type="beginsWith" dxfId="1922" priority="2495" operator="beginsWith" text="Entreprise">
      <formula>LEFT(BT132,LEN("Entreprise"))="Entreprise"</formula>
    </cfRule>
    <cfRule type="beginsWith" dxfId="1921" priority="2496" operator="beginsWith" text="TOMIC">
      <formula>LEFT(BT132,LEN("TOMIC"))="TOMIC"</formula>
    </cfRule>
    <cfRule type="beginsWith" dxfId="1920" priority="2497" operator="beginsWith" text="Voltaire">
      <formula>LEFT(BT132,LEN("Voltaire"))="Voltaire"</formula>
    </cfRule>
  </conditionalFormatting>
  <conditionalFormatting sqref="BT136:BT140">
    <cfRule type="beginsWith" dxfId="1919" priority="2161" operator="beginsWith" text="Lancement Projet fil rouge">
      <formula>LEFT(BT136,LEN("Lancement Projet fil rouge"))="Lancement Projet fil rouge"</formula>
    </cfRule>
    <cfRule type="beginsWith" dxfId="1918" priority="2162" operator="beginsWith" text="Vacances">
      <formula>LEFT(BT136,LEN("Vacances"))="Vacances"</formula>
    </cfRule>
    <cfRule type="beginsWith" dxfId="1917" priority="2163" operator="beginsWith" text="Séminaire d'intégration">
      <formula>LEFT(BT136,LEN("Séminaire d'intégration"))="Séminaire d'intégration"</formula>
    </cfRule>
    <cfRule type="beginsWith" dxfId="1916" priority="2164" operator="beginsWith" text="Accueil">
      <formula>LEFT(BT136,LEN("Accueil"))="Accueil"</formula>
    </cfRule>
    <cfRule type="beginsWith" dxfId="1915" priority="2165" operator="beginsWith" text="TOPHYC">
      <formula>LEFT(BT136,LEN("TOPHYC"))="TOPHYC"</formula>
    </cfRule>
    <cfRule type="beginsWith" dxfId="1914" priority="2166" operator="beginsWith" text="Global Exam">
      <formula>LEFT(BT136,LEN("Global Exam"))="Global Exam"</formula>
    </cfRule>
    <cfRule type="beginsWith" dxfId="1913" priority="2167" operator="beginsWith" text="Stage">
      <formula>LEFT(BT136,LEN("Stage"))="Stage"</formula>
    </cfRule>
    <cfRule type="beginsWith" dxfId="1912" priority="2168" operator="beginsWith" text="Entreprise">
      <formula>LEFT(BT136,LEN("Entreprise"))="Entreprise"</formula>
    </cfRule>
    <cfRule type="beginsWith" dxfId="1911" priority="2169" operator="beginsWith" text="TOMIC">
      <formula>LEFT(BT136,LEN("TOMIC"))="TOMIC"</formula>
    </cfRule>
    <cfRule type="beginsWith" dxfId="1910" priority="2170" operator="beginsWith" text="Voltaire">
      <formula>LEFT(BT136,LEN("Voltaire"))="Voltaire"</formula>
    </cfRule>
  </conditionalFormatting>
  <conditionalFormatting sqref="BT146:BT150">
    <cfRule type="beginsWith" dxfId="1909" priority="2624" operator="beginsWith" text="Lancement Projet fil rouge">
      <formula>LEFT(BT146,LEN("Lancement Projet fil rouge"))="Lancement Projet fil rouge"</formula>
    </cfRule>
    <cfRule type="beginsWith" dxfId="1908" priority="2625" operator="beginsWith" text="Vacances">
      <formula>LEFT(BT146,LEN("Vacances"))="Vacances"</formula>
    </cfRule>
    <cfRule type="beginsWith" dxfId="1907" priority="2626" operator="beginsWith" text="Séminaire d'intégration">
      <formula>LEFT(BT146,LEN("Séminaire d'intégration"))="Séminaire d'intégration"</formula>
    </cfRule>
    <cfRule type="beginsWith" dxfId="1906" priority="2627" operator="beginsWith" text="Accueil">
      <formula>LEFT(BT146,LEN("Accueil"))="Accueil"</formula>
    </cfRule>
    <cfRule type="beginsWith" dxfId="1905" priority="2628" operator="beginsWith" text="TOPHYC">
      <formula>LEFT(BT146,LEN("TOPHYC"))="TOPHYC"</formula>
    </cfRule>
    <cfRule type="beginsWith" dxfId="1904" priority="2629" operator="beginsWith" text="Global Exam">
      <formula>LEFT(BT146,LEN("Global Exam"))="Global Exam"</formula>
    </cfRule>
    <cfRule type="beginsWith" dxfId="1903" priority="2630" operator="beginsWith" text="Stage">
      <formula>LEFT(BT146,LEN("Stage"))="Stage"</formula>
    </cfRule>
    <cfRule type="beginsWith" dxfId="1902" priority="2631" operator="beginsWith" text="Entreprise">
      <formula>LEFT(BT146,LEN("Entreprise"))="Entreprise"</formula>
    </cfRule>
    <cfRule type="beginsWith" dxfId="1901" priority="2632" operator="beginsWith" text="TOMIC">
      <formula>LEFT(BT146,LEN("TOMIC"))="TOMIC"</formula>
    </cfRule>
    <cfRule type="beginsWith" dxfId="1900" priority="2633" operator="beginsWith" text="Voltaire">
      <formula>LEFT(BT146,LEN("Voltaire"))="Voltaire"</formula>
    </cfRule>
  </conditionalFormatting>
  <conditionalFormatting sqref="BT151">
    <cfRule type="beginsWith" dxfId="1899" priority="2478" operator="beginsWith" text="Lancement Projet fil rouge">
      <formula>LEFT(BT151,LEN("Lancement Projet fil rouge"))="Lancement Projet fil rouge"</formula>
    </cfRule>
    <cfRule type="beginsWith" dxfId="1898" priority="2479" operator="beginsWith" text="Vacances">
      <formula>LEFT(BT151,LEN("Vacances"))="Vacances"</formula>
    </cfRule>
    <cfRule type="beginsWith" dxfId="1897" priority="2480" operator="beginsWith" text="Séminaire d'intégration">
      <formula>LEFT(BT151,LEN("Séminaire d'intégration"))="Séminaire d'intégration"</formula>
    </cfRule>
    <cfRule type="beginsWith" dxfId="1896" priority="2481" operator="beginsWith" text="Accueil">
      <formula>LEFT(BT151,LEN("Accueil"))="Accueil"</formula>
    </cfRule>
    <cfRule type="beginsWith" dxfId="1895" priority="2482" operator="beginsWith" text="TOPHYC">
      <formula>LEFT(BT151,LEN("TOPHYC"))="TOPHYC"</formula>
    </cfRule>
    <cfRule type="beginsWith" dxfId="1894" priority="2483" operator="beginsWith" text="Global Exam">
      <formula>LEFT(BT151,LEN("Global Exam"))="Global Exam"</formula>
    </cfRule>
    <cfRule type="beginsWith" dxfId="1893" priority="2484" operator="beginsWith" text="Stage">
      <formula>LEFT(BT151,LEN("Stage"))="Stage"</formula>
    </cfRule>
    <cfRule type="beginsWith" dxfId="1892" priority="2485" operator="beginsWith" text="Entreprise">
      <formula>LEFT(BT151,LEN("Entreprise"))="Entreprise"</formula>
    </cfRule>
    <cfRule type="beginsWith" dxfId="1891" priority="2486" operator="beginsWith" text="TOMIC">
      <formula>LEFT(BT151,LEN("TOMIC"))="TOMIC"</formula>
    </cfRule>
    <cfRule type="beginsWith" dxfId="1890" priority="2487" operator="beginsWith" text="Voltaire">
      <formula>LEFT(BT151,LEN("Voltaire"))="Voltaire"</formula>
    </cfRule>
  </conditionalFormatting>
  <conditionalFormatting sqref="BT152">
    <cfRule type="beginsWith" dxfId="1889" priority="2468" operator="beginsWith" text="Lancement Projet fil rouge">
      <formula>LEFT(BT152,LEN("Lancement Projet fil rouge"))="Lancement Projet fil rouge"</formula>
    </cfRule>
    <cfRule type="beginsWith" dxfId="1888" priority="2469" operator="beginsWith" text="Vacances">
      <formula>LEFT(BT152,LEN("Vacances"))="Vacances"</formula>
    </cfRule>
    <cfRule type="beginsWith" dxfId="1887" priority="2470" operator="beginsWith" text="Séminaire d'intégration">
      <formula>LEFT(BT152,LEN("Séminaire d'intégration"))="Séminaire d'intégration"</formula>
    </cfRule>
    <cfRule type="beginsWith" dxfId="1886" priority="2471" operator="beginsWith" text="Accueil">
      <formula>LEFT(BT152,LEN("Accueil"))="Accueil"</formula>
    </cfRule>
    <cfRule type="beginsWith" dxfId="1885" priority="2472" operator="beginsWith" text="TOPHYC">
      <formula>LEFT(BT152,LEN("TOPHYC"))="TOPHYC"</formula>
    </cfRule>
    <cfRule type="beginsWith" dxfId="1884" priority="2473" operator="beginsWith" text="Global Exam">
      <formula>LEFT(BT152,LEN("Global Exam"))="Global Exam"</formula>
    </cfRule>
    <cfRule type="beginsWith" dxfId="1883" priority="2474" operator="beginsWith" text="Stage">
      <formula>LEFT(BT152,LEN("Stage"))="Stage"</formula>
    </cfRule>
    <cfRule type="beginsWith" dxfId="1882" priority="2475" operator="beginsWith" text="Entreprise">
      <formula>LEFT(BT152,LEN("Entreprise"))="Entreprise"</formula>
    </cfRule>
    <cfRule type="beginsWith" dxfId="1881" priority="2476" operator="beginsWith" text="TOMIC">
      <formula>LEFT(BT152,LEN("TOMIC"))="TOMIC"</formula>
    </cfRule>
    <cfRule type="beginsWith" dxfId="1880" priority="2477" operator="beginsWith" text="Voltaire">
      <formula>LEFT(BT152,LEN("Voltaire"))="Voltaire"</formula>
    </cfRule>
  </conditionalFormatting>
  <conditionalFormatting sqref="BT161:BT165">
    <cfRule type="beginsWith" dxfId="1879" priority="2498" operator="beginsWith" text="Lancement Projet fil rouge">
      <formula>LEFT(BT161,LEN("Lancement Projet fil rouge"))="Lancement Projet fil rouge"</formula>
    </cfRule>
    <cfRule type="beginsWith" dxfId="1878" priority="2499" operator="beginsWith" text="Vacances">
      <formula>LEFT(BT161,LEN("Vacances"))="Vacances"</formula>
    </cfRule>
    <cfRule type="beginsWith" dxfId="1877" priority="2500" operator="beginsWith" text="Séminaire d'intégration">
      <formula>LEFT(BT161,LEN("Séminaire d'intégration"))="Séminaire d'intégration"</formula>
    </cfRule>
    <cfRule type="beginsWith" dxfId="1876" priority="2501" operator="beginsWith" text="Accueil">
      <formula>LEFT(BT161,LEN("Accueil"))="Accueil"</formula>
    </cfRule>
    <cfRule type="beginsWith" dxfId="1875" priority="2502" operator="beginsWith" text="TOPHYC">
      <formula>LEFT(BT161,LEN("TOPHYC"))="TOPHYC"</formula>
    </cfRule>
    <cfRule type="beginsWith" dxfId="1874" priority="2503" operator="beginsWith" text="Global Exam">
      <formula>LEFT(BT161,LEN("Global Exam"))="Global Exam"</formula>
    </cfRule>
    <cfRule type="beginsWith" dxfId="1873" priority="2504" operator="beginsWith" text="Stage">
      <formula>LEFT(BT161,LEN("Stage"))="Stage"</formula>
    </cfRule>
    <cfRule type="beginsWith" dxfId="1872" priority="2505" operator="beginsWith" text="Entreprise">
      <formula>LEFT(BT161,LEN("Entreprise"))="Entreprise"</formula>
    </cfRule>
    <cfRule type="beginsWith" dxfId="1871" priority="2506" operator="beginsWith" text="TOMIC">
      <formula>LEFT(BT161,LEN("TOMIC"))="TOMIC"</formula>
    </cfRule>
    <cfRule type="beginsWith" dxfId="1870" priority="2507" operator="beginsWith" text="Voltaire">
      <formula>LEFT(BT161,LEN("Voltaire"))="Voltaire"</formula>
    </cfRule>
  </conditionalFormatting>
  <conditionalFormatting sqref="BT186">
    <cfRule type="beginsWith" dxfId="1869" priority="2451" operator="beginsWith" text="Lancement Projet fil rouge">
      <formula>LEFT(BT186,LEN("Lancement Projet fil rouge"))="Lancement Projet fil rouge"</formula>
    </cfRule>
    <cfRule type="beginsWith" dxfId="1868" priority="2452" operator="beginsWith" text="Vacances">
      <formula>LEFT(BT186,LEN("Vacances"))="Vacances"</formula>
    </cfRule>
    <cfRule type="beginsWith" dxfId="1867" priority="2453" operator="beginsWith" text="Séminaire d'intégration">
      <formula>LEFT(BT186,LEN("Séminaire d'intégration"))="Séminaire d'intégration"</formula>
    </cfRule>
    <cfRule type="beginsWith" dxfId="1866" priority="2454" operator="beginsWith" text="Accueil">
      <formula>LEFT(BT186,LEN("Accueil"))="Accueil"</formula>
    </cfRule>
    <cfRule type="beginsWith" dxfId="1865" priority="2455" operator="beginsWith" text="TOPHYC">
      <formula>LEFT(BT186,LEN("TOPHYC"))="TOPHYC"</formula>
    </cfRule>
    <cfRule type="beginsWith" dxfId="1864" priority="2456" operator="beginsWith" text="Global Exam">
      <formula>LEFT(BT186,LEN("Global Exam"))="Global Exam"</formula>
    </cfRule>
    <cfRule type="beginsWith" dxfId="1863" priority="2457" operator="beginsWith" text="Stage">
      <formula>LEFT(BT186,LEN("Stage"))="Stage"</formula>
    </cfRule>
    <cfRule type="beginsWith" dxfId="1862" priority="2458" operator="beginsWith" text="Entreprise">
      <formula>LEFT(BT186,LEN("Entreprise"))="Entreprise"</formula>
    </cfRule>
    <cfRule type="beginsWith" dxfId="1861" priority="2459" operator="beginsWith" text="TOMIC">
      <formula>LEFT(BT186,LEN("TOMIC"))="TOMIC"</formula>
    </cfRule>
    <cfRule type="beginsWith" dxfId="1860" priority="2460" operator="beginsWith" text="Voltaire">
      <formula>LEFT(BT186,LEN("Voltaire"))="Voltaire"</formula>
    </cfRule>
  </conditionalFormatting>
  <conditionalFormatting sqref="BT191:BT193">
    <cfRule type="beginsWith" dxfId="1859" priority="2949" operator="beginsWith" text="Lancement Projet fil rouge">
      <formula>LEFT(BT191,LEN("Lancement Projet fil rouge"))="Lancement Projet fil rouge"</formula>
    </cfRule>
    <cfRule type="beginsWith" dxfId="1858" priority="2950" operator="beginsWith" text="Vacances">
      <formula>LEFT(BT191,LEN("Vacances"))="Vacances"</formula>
    </cfRule>
    <cfRule type="beginsWith" dxfId="1857" priority="2951" operator="beginsWith" text="Séminaire d'intégration">
      <formula>LEFT(BT191,LEN("Séminaire d'intégration"))="Séminaire d'intégration"</formula>
    </cfRule>
    <cfRule type="beginsWith" dxfId="1856" priority="2952" operator="beginsWith" text="Accueil">
      <formula>LEFT(BT191,LEN("Accueil"))="Accueil"</formula>
    </cfRule>
    <cfRule type="beginsWith" dxfId="1855" priority="2953" operator="beginsWith" text="TOPHYC">
      <formula>LEFT(BT191,LEN("TOPHYC"))="TOPHYC"</formula>
    </cfRule>
    <cfRule type="beginsWith" dxfId="1854" priority="2954" operator="beginsWith" text="Global Exam">
      <formula>LEFT(BT191,LEN("Global Exam"))="Global Exam"</formula>
    </cfRule>
    <cfRule type="beginsWith" dxfId="1853" priority="2955" operator="beginsWith" text="Stage">
      <formula>LEFT(BT191,LEN("Stage"))="Stage"</formula>
    </cfRule>
    <cfRule type="beginsWith" dxfId="1852" priority="2956" operator="beginsWith" text="Entreprise">
      <formula>LEFT(BT191,LEN("Entreprise"))="Entreprise"</formula>
    </cfRule>
    <cfRule type="beginsWith" dxfId="1851" priority="2957" operator="beginsWith" text="TOMIC">
      <formula>LEFT(BT191,LEN("TOMIC"))="TOMIC"</formula>
    </cfRule>
    <cfRule type="beginsWith" dxfId="1850" priority="2958" operator="beginsWith" text="Voltaire">
      <formula>LEFT(BT191,LEN("Voltaire"))="Voltaire"</formula>
    </cfRule>
  </conditionalFormatting>
  <conditionalFormatting sqref="BT194:BT195">
    <cfRule type="beginsWith" dxfId="1849" priority="2959" operator="beginsWith" text="Lancement Projet fil rouge">
      <formula>LEFT(BT194,LEN("Lancement Projet fil rouge"))="Lancement Projet fil rouge"</formula>
    </cfRule>
    <cfRule type="beginsWith" dxfId="1848" priority="2960" operator="beginsWith" text="Vacances">
      <formula>LEFT(BT194,LEN("Vacances"))="Vacances"</formula>
    </cfRule>
    <cfRule type="beginsWith" dxfId="1847" priority="2961" operator="beginsWith" text="Séminaire d'intégration">
      <formula>LEFT(BT194,LEN("Séminaire d'intégration"))="Séminaire d'intégration"</formula>
    </cfRule>
    <cfRule type="beginsWith" dxfId="1846" priority="2962" operator="beginsWith" text="Accueil">
      <formula>LEFT(BT194,LEN("Accueil"))="Accueil"</formula>
    </cfRule>
    <cfRule type="beginsWith" dxfId="1845" priority="2963" operator="beginsWith" text="TOPHYC">
      <formula>LEFT(BT194,LEN("TOPHYC"))="TOPHYC"</formula>
    </cfRule>
    <cfRule type="beginsWith" dxfId="1844" priority="2964" operator="beginsWith" text="Global Exam">
      <formula>LEFT(BT194,LEN("Global Exam"))="Global Exam"</formula>
    </cfRule>
    <cfRule type="beginsWith" dxfId="1843" priority="2965" operator="beginsWith" text="Stage">
      <formula>LEFT(BT194,LEN("Stage"))="Stage"</formula>
    </cfRule>
    <cfRule type="beginsWith" dxfId="1842" priority="2966" operator="beginsWith" text="Entreprise">
      <formula>LEFT(BT194,LEN("Entreprise"))="Entreprise"</formula>
    </cfRule>
    <cfRule type="beginsWith" dxfId="1841" priority="2967" operator="beginsWith" text="TOMIC">
      <formula>LEFT(BT194,LEN("TOMIC"))="TOMIC"</formula>
    </cfRule>
    <cfRule type="beginsWith" dxfId="1840" priority="2968" operator="beginsWith" text="Voltaire">
      <formula>LEFT(BT194,LEN("Voltaire"))="Voltaire"</formula>
    </cfRule>
  </conditionalFormatting>
  <conditionalFormatting sqref="BT196">
    <cfRule type="beginsWith" dxfId="1839" priority="2372" operator="beginsWith" text="Lancement Projet fil rouge">
      <formula>LEFT(BT196,LEN("Lancement Projet fil rouge"))="Lancement Projet fil rouge"</formula>
    </cfRule>
    <cfRule type="beginsWith" dxfId="1838" priority="2373" operator="beginsWith" text="Vacances">
      <formula>LEFT(BT196,LEN("Vacances"))="Vacances"</formula>
    </cfRule>
    <cfRule type="beginsWith" dxfId="1837" priority="2374" operator="beginsWith" text="Séminaire d'intégration">
      <formula>LEFT(BT196,LEN("Séminaire d'intégration"))="Séminaire d'intégration"</formula>
    </cfRule>
    <cfRule type="beginsWith" dxfId="1836" priority="2375" operator="beginsWith" text="Accueil">
      <formula>LEFT(BT196,LEN("Accueil"))="Accueil"</formula>
    </cfRule>
    <cfRule type="beginsWith" dxfId="1835" priority="2376" operator="beginsWith" text="TOPHYC">
      <formula>LEFT(BT196,LEN("TOPHYC"))="TOPHYC"</formula>
    </cfRule>
    <cfRule type="beginsWith" dxfId="1834" priority="2377" operator="beginsWith" text="Global Exam">
      <formula>LEFT(BT196,LEN("Global Exam"))="Global Exam"</formula>
    </cfRule>
    <cfRule type="beginsWith" dxfId="1833" priority="2378" operator="beginsWith" text="Stage">
      <formula>LEFT(BT196,LEN("Stage"))="Stage"</formula>
    </cfRule>
    <cfRule type="beginsWith" dxfId="1832" priority="2379" operator="beginsWith" text="Entreprise">
      <formula>LEFT(BT196,LEN("Entreprise"))="Entreprise"</formula>
    </cfRule>
    <cfRule type="beginsWith" dxfId="1831" priority="2380" operator="beginsWith" text="TOMIC">
      <formula>LEFT(BT196,LEN("TOMIC"))="TOMIC"</formula>
    </cfRule>
    <cfRule type="beginsWith" dxfId="1830" priority="2381" operator="beginsWith" text="Voltaire">
      <formula>LEFT(BT196,LEN("Voltaire"))="Voltaire"</formula>
    </cfRule>
  </conditionalFormatting>
  <conditionalFormatting sqref="BT201:BT205">
    <cfRule type="beginsWith" dxfId="1829" priority="2362" operator="beginsWith" text="Lancement Projet fil rouge">
      <formula>LEFT(BT201,LEN("Lancement Projet fil rouge"))="Lancement Projet fil rouge"</formula>
    </cfRule>
    <cfRule type="beginsWith" dxfId="1828" priority="2363" operator="beginsWith" text="Vacances">
      <formula>LEFT(BT201,LEN("Vacances"))="Vacances"</formula>
    </cfRule>
    <cfRule type="beginsWith" dxfId="1827" priority="2364" operator="beginsWith" text="Séminaire d'intégration">
      <formula>LEFT(BT201,LEN("Séminaire d'intégration"))="Séminaire d'intégration"</formula>
    </cfRule>
    <cfRule type="beginsWith" dxfId="1826" priority="2365" operator="beginsWith" text="Accueil">
      <formula>LEFT(BT201,LEN("Accueil"))="Accueil"</formula>
    </cfRule>
    <cfRule type="beginsWith" dxfId="1825" priority="2366" operator="beginsWith" text="TOPHYC">
      <formula>LEFT(BT201,LEN("TOPHYC"))="TOPHYC"</formula>
    </cfRule>
    <cfRule type="beginsWith" dxfId="1824" priority="2367" operator="beginsWith" text="Global Exam">
      <formula>LEFT(BT201,LEN("Global Exam"))="Global Exam"</formula>
    </cfRule>
    <cfRule type="beginsWith" dxfId="1823" priority="2368" operator="beginsWith" text="Stage">
      <formula>LEFT(BT201,LEN("Stage"))="Stage"</formula>
    </cfRule>
    <cfRule type="beginsWith" dxfId="1822" priority="2369" operator="beginsWith" text="Entreprise">
      <formula>LEFT(BT201,LEN("Entreprise"))="Entreprise"</formula>
    </cfRule>
    <cfRule type="beginsWith" dxfId="1821" priority="2370" operator="beginsWith" text="TOMIC">
      <formula>LEFT(BT201,LEN("TOMIC"))="TOMIC"</formula>
    </cfRule>
    <cfRule type="beginsWith" dxfId="1820" priority="2371" operator="beginsWith" text="Voltaire">
      <formula>LEFT(BT201,LEN("Voltaire"))="Voltaire"</formula>
    </cfRule>
  </conditionalFormatting>
  <conditionalFormatting sqref="BT207">
    <cfRule type="beginsWith" dxfId="1819" priority="2399" operator="beginsWith" text="Lancement Projet fil rouge">
      <formula>LEFT(BT207,LEN("Lancement Projet fil rouge"))="Lancement Projet fil rouge"</formula>
    </cfRule>
    <cfRule type="beginsWith" dxfId="1818" priority="2400" operator="beginsWith" text="Vacances">
      <formula>LEFT(BT207,LEN("Vacances"))="Vacances"</formula>
    </cfRule>
    <cfRule type="beginsWith" dxfId="1817" priority="2401" operator="beginsWith" text="Séminaire d'intégration">
      <formula>LEFT(BT207,LEN("Séminaire d'intégration"))="Séminaire d'intégration"</formula>
    </cfRule>
    <cfRule type="beginsWith" dxfId="1816" priority="2402" operator="beginsWith" text="Accueil">
      <formula>LEFT(BT207,LEN("Accueil"))="Accueil"</formula>
    </cfRule>
    <cfRule type="beginsWith" dxfId="1815" priority="2403" operator="beginsWith" text="TOPHYC">
      <formula>LEFT(BT207,LEN("TOPHYC"))="TOPHYC"</formula>
    </cfRule>
    <cfRule type="beginsWith" dxfId="1814" priority="2404" operator="beginsWith" text="Global Exam">
      <formula>LEFT(BT207,LEN("Global Exam"))="Global Exam"</formula>
    </cfRule>
    <cfRule type="beginsWith" dxfId="1813" priority="2405" operator="beginsWith" text="Stage">
      <formula>LEFT(BT207,LEN("Stage"))="Stage"</formula>
    </cfRule>
    <cfRule type="beginsWith" dxfId="1812" priority="2406" operator="beginsWith" text="Entreprise">
      <formula>LEFT(BT207,LEN("Entreprise"))="Entreprise"</formula>
    </cfRule>
    <cfRule type="beginsWith" dxfId="1811" priority="2407" operator="beginsWith" text="TOMIC">
      <formula>LEFT(BT207,LEN("TOMIC"))="TOMIC"</formula>
    </cfRule>
    <cfRule type="beginsWith" dxfId="1810" priority="2408" operator="beginsWith" text="Voltaire">
      <formula>LEFT(BT207,LEN("Voltaire"))="Voltaire"</formula>
    </cfRule>
  </conditionalFormatting>
  <conditionalFormatting sqref="BT208:BT210">
    <cfRule type="beginsWith" dxfId="1809" priority="2389" operator="beginsWith" text="Lancement Projet fil rouge">
      <formula>LEFT(BT208,LEN("Lancement Projet fil rouge"))="Lancement Projet fil rouge"</formula>
    </cfRule>
    <cfRule type="beginsWith" dxfId="1808" priority="2390" operator="beginsWith" text="Vacances">
      <formula>LEFT(BT208,LEN("Vacances"))="Vacances"</formula>
    </cfRule>
    <cfRule type="beginsWith" dxfId="1807" priority="2391" operator="beginsWith" text="Séminaire d'intégration">
      <formula>LEFT(BT208,LEN("Séminaire d'intégration"))="Séminaire d'intégration"</formula>
    </cfRule>
    <cfRule type="beginsWith" dxfId="1806" priority="2392" operator="beginsWith" text="Accueil">
      <formula>LEFT(BT208,LEN("Accueil"))="Accueil"</formula>
    </cfRule>
    <cfRule type="beginsWith" dxfId="1805" priority="2393" operator="beginsWith" text="TOPHYC">
      <formula>LEFT(BT208,LEN("TOPHYC"))="TOPHYC"</formula>
    </cfRule>
    <cfRule type="beginsWith" dxfId="1804" priority="2394" operator="beginsWith" text="Global Exam">
      <formula>LEFT(BT208,LEN("Global Exam"))="Global Exam"</formula>
    </cfRule>
    <cfRule type="beginsWith" dxfId="1803" priority="2395" operator="beginsWith" text="Stage">
      <formula>LEFT(BT208,LEN("Stage"))="Stage"</formula>
    </cfRule>
    <cfRule type="beginsWith" dxfId="1802" priority="2396" operator="beginsWith" text="Entreprise">
      <formula>LEFT(BT208,LEN("Entreprise"))="Entreprise"</formula>
    </cfRule>
    <cfRule type="beginsWith" dxfId="1801" priority="2397" operator="beginsWith" text="TOMIC">
      <formula>LEFT(BT208,LEN("TOMIC"))="TOMIC"</formula>
    </cfRule>
    <cfRule type="beginsWith" dxfId="1800" priority="2398" operator="beginsWith" text="Voltaire">
      <formula>LEFT(BT208,LEN("Voltaire"))="Voltaire"</formula>
    </cfRule>
  </conditionalFormatting>
  <conditionalFormatting sqref="BN254:BN1048576">
    <cfRule type="beginsWith" dxfId="1799" priority="3130" operator="beginsWith" text="Projet professionnel : Séminaire PFI">
      <formula>LEFT(BN254,LEN("Projet professionnel : Séminaire PFI"))="Projet professionnel : Séminaire PFI"</formula>
    </cfRule>
    <cfRule type="beginsWith" dxfId="1798" priority="3132" operator="beginsWith" text="Vacances">
      <formula>LEFT(BN254,LEN("Vacances"))="Vacances"</formula>
    </cfRule>
  </conditionalFormatting>
  <conditionalFormatting sqref="BN254:BN1048576">
    <cfRule type="beginsWith" dxfId="1797" priority="3131" operator="beginsWith" text="Lancement Projet fil rouge">
      <formula>LEFT(BN254,LEN("Lancement Projet fil rouge"))="Lancement Projet fil rouge"</formula>
    </cfRule>
  </conditionalFormatting>
  <conditionalFormatting sqref="BP163 BP165:BP168 BP171 BP173 BP175:BP178 BP196:BP197 BP199:BP203 BP211:BP213 BP215 BP261:BP1048576 BP5 BP1:BP2">
    <cfRule type="beginsWith" dxfId="1796" priority="1991" operator="beginsWith" text="Lancement Projet fil rouge">
      <formula>LEFT(BP1,LEN("Lancement Projet fil rouge"))="Lancement Projet fil rouge"</formula>
    </cfRule>
  </conditionalFormatting>
  <conditionalFormatting sqref="BP163 BP165:BP168 BP171 BP173 BP175:BP178 BP196:BP197 BP199:BP203 BP211:BP213 BP215 BP261:BP1048576 BP5 BP1:BP2">
    <cfRule type="beginsWith" dxfId="1795" priority="1992" operator="beginsWith" text="Vacances">
      <formula>LEFT(BP1,LEN("Vacances"))="Vacances"</formula>
    </cfRule>
  </conditionalFormatting>
  <conditionalFormatting sqref="BP163 BP165:BP168 BP171 BP173 BP175:BP178 BP196:BP197 BP199:BP203 BP211:BP213 BP215 BP261:BP1048576 BP5 BP1:BP2">
    <cfRule type="beginsWith" dxfId="1794" priority="1993" operator="beginsWith" text="Séminaire d'intégration">
      <formula>LEFT(BP1,LEN("Séminaire d'intégration"))="Séminaire d'intégration"</formula>
    </cfRule>
  </conditionalFormatting>
  <conditionalFormatting sqref="BP163 BP165:BP168 BP171 BP173 BP175:BP178 BP196:BP197 BP199:BP203 BP211:BP213 BP215 BP261:BP1048576 BP5 BP1:BP2">
    <cfRule type="beginsWith" dxfId="1793" priority="1994" operator="beginsWith" text="Accueil">
      <formula>LEFT(BP1,LEN("Accueil"))="Accueil"</formula>
    </cfRule>
  </conditionalFormatting>
  <conditionalFormatting sqref="BP163 BP165:BP168 BP171 BP173 BP175:BP178 BP196:BP197 BP199:BP203 BP211:BP213 BP215 BP261:BP1048576 BP5 BP1:BP2">
    <cfRule type="beginsWith" dxfId="1792" priority="1997" operator="beginsWith" text="Stage">
      <formula>LEFT(BP1,LEN("Stage"))="Stage"</formula>
    </cfRule>
    <cfRule type="beginsWith" dxfId="1791" priority="1998" operator="beginsWith" text="Entreprise">
      <formula>LEFT(BP1,LEN("Entreprise"))="Entreprise"</formula>
    </cfRule>
    <cfRule type="beginsWith" dxfId="1790" priority="2000" operator="beginsWith" text="Voltaire">
      <formula>LEFT(BP1,LEN("Voltaire"))="Voltaire"</formula>
    </cfRule>
  </conditionalFormatting>
  <conditionalFormatting sqref="BP1:BP2 BP5 BP163 BP165:BP168 BP171 BP173 BP175:BP178 BP196:BP197 BP199:BP203 BP211:BP213 BP215 BP261:BP1048576">
    <cfRule type="beginsWith" dxfId="1789" priority="1995" operator="beginsWith" text="TOPHYC">
      <formula>LEFT(BP1,LEN("TOPHYC"))="TOPHYC"</formula>
    </cfRule>
    <cfRule type="beginsWith" dxfId="1788" priority="1996" operator="beginsWith" text="Global Exam">
      <formula>LEFT(BP1,LEN("Global Exam"))="Global Exam"</formula>
    </cfRule>
    <cfRule type="beginsWith" dxfId="1787" priority="1999" operator="beginsWith" text="TOMIC">
      <formula>LEFT(BP1,LEN("TOMIC"))="TOMIC"</formula>
    </cfRule>
  </conditionalFormatting>
  <conditionalFormatting sqref="BP131">
    <cfRule type="beginsWith" dxfId="1786" priority="1871" operator="beginsWith" text="Lancement Projet fil rouge">
      <formula>LEFT(BP131,LEN("Lancement Projet fil rouge"))="Lancement Projet fil rouge"</formula>
    </cfRule>
    <cfRule type="beginsWith" dxfId="1785" priority="1872" operator="beginsWith" text="Vacances">
      <formula>LEFT(BP131,LEN("Vacances"))="Vacances"</formula>
    </cfRule>
    <cfRule type="beginsWith" dxfId="1784" priority="1873" operator="beginsWith" text="Séminaire d'intégration">
      <formula>LEFT(BP131,LEN("Séminaire d'intégration"))="Séminaire d'intégration"</formula>
    </cfRule>
    <cfRule type="beginsWith" dxfId="1783" priority="1874" operator="beginsWith" text="Accueil">
      <formula>LEFT(BP131,LEN("Accueil"))="Accueil"</formula>
    </cfRule>
    <cfRule type="beginsWith" dxfId="1782" priority="1877" operator="beginsWith" text="Stage">
      <formula>LEFT(BP131,LEN("Stage"))="Stage"</formula>
    </cfRule>
    <cfRule type="beginsWith" dxfId="1781" priority="1878" operator="beginsWith" text="Entreprise">
      <formula>LEFT(BP131,LEN("Entreprise"))="Entreprise"</formula>
    </cfRule>
    <cfRule type="beginsWith" dxfId="1780" priority="1880" operator="beginsWith" text="Voltaire">
      <formula>LEFT(BP131,LEN("Voltaire"))="Voltaire"</formula>
    </cfRule>
  </conditionalFormatting>
  <conditionalFormatting sqref="BP190">
    <cfRule type="beginsWith" dxfId="1772" priority="1951" operator="beginsWith" text="Lancement Projet fil rouge">
      <formula>LEFT(BP190,LEN("Lancement Projet fil rouge"))="Lancement Projet fil rouge"</formula>
    </cfRule>
    <cfRule type="beginsWith" dxfId="1771" priority="1952" operator="beginsWith" text="Vacances">
      <formula>LEFT(BP190,LEN("Vacances"))="Vacances"</formula>
    </cfRule>
    <cfRule type="beginsWith" dxfId="1770" priority="1953" operator="beginsWith" text="Séminaire d'intégration">
      <formula>LEFT(BP190,LEN("Séminaire d'intégration"))="Séminaire d'intégration"</formula>
    </cfRule>
    <cfRule type="beginsWith" dxfId="1769" priority="1954" operator="beginsWith" text="Accueil">
      <formula>LEFT(BP190,LEN("Accueil"))="Accueil"</formula>
    </cfRule>
    <cfRule type="beginsWith" dxfId="1768" priority="1957" operator="beginsWith" text="Stage">
      <formula>LEFT(BP190,LEN("Stage"))="Stage"</formula>
    </cfRule>
    <cfRule type="beginsWith" dxfId="1767" priority="1958" operator="beginsWith" text="Entreprise">
      <formula>LEFT(BP190,LEN("Entreprise"))="Entreprise"</formula>
    </cfRule>
    <cfRule type="beginsWith" dxfId="1766" priority="1960" operator="beginsWith" text="Voltaire">
      <formula>LEFT(BP190,LEN("Voltaire"))="Voltaire"</formula>
    </cfRule>
  </conditionalFormatting>
  <conditionalFormatting sqref="BP136:BP139 BP141:BP145">
    <cfRule type="beginsWith" dxfId="1765" priority="1861" operator="beginsWith" text="Lancement Projet fil rouge">
      <formula>LEFT(BP136,LEN("Lancement Projet fil rouge"))="Lancement Projet fil rouge"</formula>
    </cfRule>
    <cfRule type="beginsWith" dxfId="1764" priority="1862" operator="beginsWith" text="Vacances">
      <formula>LEFT(BP136,LEN("Vacances"))="Vacances"</formula>
    </cfRule>
    <cfRule type="beginsWith" dxfId="1763" priority="1863" operator="beginsWith" text="Séminaire d'intégration">
      <formula>LEFT(BP136,LEN("Séminaire d'intégration"))="Séminaire d'intégration"</formula>
    </cfRule>
    <cfRule type="beginsWith" dxfId="1762" priority="1864" operator="beginsWith" text="Accueil">
      <formula>LEFT(BP136,LEN("Accueil"))="Accueil"</formula>
    </cfRule>
    <cfRule type="beginsWith" dxfId="1761" priority="1867" operator="beginsWith" text="Stage">
      <formula>LEFT(BP136,LEN("Stage"))="Stage"</formula>
    </cfRule>
    <cfRule type="beginsWith" dxfId="1760" priority="1868" operator="beginsWith" text="Entreprise">
      <formula>LEFT(BP136,LEN("Entreprise"))="Entreprise"</formula>
    </cfRule>
    <cfRule type="beginsWith" dxfId="1759" priority="1870" operator="beginsWith" text="Voltaire">
      <formula>LEFT(BP136,LEN("Voltaire"))="Voltaire"</formula>
    </cfRule>
  </conditionalFormatting>
  <conditionalFormatting sqref="BP6:BP10">
    <cfRule type="beginsWith" dxfId="1758" priority="1881" operator="beginsWith" text="Lancement Projet fil rouge">
      <formula>LEFT(BP6,LEN("Lancement Projet fil rouge"))="Lancement Projet fil rouge"</formula>
    </cfRule>
    <cfRule type="beginsWith" dxfId="1757" priority="1882" operator="beginsWith" text="Vacances">
      <formula>LEFT(BP6,LEN("Vacances"))="Vacances"</formula>
    </cfRule>
    <cfRule type="beginsWith" dxfId="1756" priority="1883" operator="beginsWith" text="Séminaire d'intégration">
      <formula>LEFT(BP6,LEN("Séminaire d'intégration"))="Séminaire d'intégration"</formula>
    </cfRule>
    <cfRule type="beginsWith" dxfId="1755" priority="1884" operator="beginsWith" text="Accueil">
      <formula>LEFT(BP6,LEN("Accueil"))="Accueil"</formula>
    </cfRule>
    <cfRule type="beginsWith" dxfId="1754" priority="1887" operator="beginsWith" text="Stage">
      <formula>LEFT(BP6,LEN("Stage"))="Stage"</formula>
    </cfRule>
    <cfRule type="beginsWith" dxfId="1753" priority="1888" operator="beginsWith" text="Entreprise">
      <formula>LEFT(BP6,LEN("Entreprise"))="Entreprise"</formula>
    </cfRule>
    <cfRule type="beginsWith" dxfId="1752" priority="1890" operator="beginsWith" text="Voltaire">
      <formula>LEFT(BP6,LEN("Voltaire"))="Voltaire"</formula>
    </cfRule>
  </conditionalFormatting>
  <conditionalFormatting sqref="BP11:BP15">
    <cfRule type="beginsWith" dxfId="1751" priority="1911" operator="beginsWith" text="Lancement Projet fil rouge">
      <formula>LEFT(BP11,LEN("Lancement Projet fil rouge"))="Lancement Projet fil rouge"</formula>
    </cfRule>
    <cfRule type="beginsWith" dxfId="1750" priority="1912" operator="beginsWith" text="Vacances">
      <formula>LEFT(BP11,LEN("Vacances"))="Vacances"</formula>
    </cfRule>
    <cfRule type="beginsWith" dxfId="1749" priority="1913" operator="beginsWith" text="Séminaire d'intégration">
      <formula>LEFT(BP11,LEN("Séminaire d'intégration"))="Séminaire d'intégration"</formula>
    </cfRule>
    <cfRule type="beginsWith" dxfId="1748" priority="1914" operator="beginsWith" text="Accueil">
      <formula>LEFT(BP11,LEN("Accueil"))="Accueil"</formula>
    </cfRule>
    <cfRule type="beginsWith" dxfId="1747" priority="1917" operator="beginsWith" text="Stage">
      <formula>LEFT(BP11,LEN("Stage"))="Stage"</formula>
    </cfRule>
    <cfRule type="beginsWith" dxfId="1746" priority="1918" operator="beginsWith" text="Entreprise">
      <formula>LEFT(BP11,LEN("Entreprise"))="Entreprise"</formula>
    </cfRule>
    <cfRule type="beginsWith" dxfId="1745" priority="1920" operator="beginsWith" text="Voltaire">
      <formula>LEFT(BP11,LEN("Voltaire"))="Voltaire"</formula>
    </cfRule>
  </conditionalFormatting>
  <conditionalFormatting sqref="BP16:BP20">
    <cfRule type="beginsWith" dxfId="1744" priority="1921" operator="beginsWith" text="Lancement Projet fil rouge">
      <formula>LEFT(BP16,LEN("Lancement Projet fil rouge"))="Lancement Projet fil rouge"</formula>
    </cfRule>
    <cfRule type="beginsWith" dxfId="1743" priority="1922" operator="beginsWith" text="Vacances">
      <formula>LEFT(BP16,LEN("Vacances"))="Vacances"</formula>
    </cfRule>
    <cfRule type="beginsWith" dxfId="1742" priority="1923" operator="beginsWith" text="Séminaire d'intégration">
      <formula>LEFT(BP16,LEN("Séminaire d'intégration"))="Séminaire d'intégration"</formula>
    </cfRule>
    <cfRule type="beginsWith" dxfId="1741" priority="1924" operator="beginsWith" text="Accueil">
      <formula>LEFT(BP16,LEN("Accueil"))="Accueil"</formula>
    </cfRule>
    <cfRule type="beginsWith" dxfId="1740" priority="1927" operator="beginsWith" text="Stage">
      <formula>LEFT(BP16,LEN("Stage"))="Stage"</formula>
    </cfRule>
    <cfRule type="beginsWith" dxfId="1739" priority="1928" operator="beginsWith" text="Entreprise">
      <formula>LEFT(BP16,LEN("Entreprise"))="Entreprise"</formula>
    </cfRule>
    <cfRule type="beginsWith" dxfId="1738" priority="1930" operator="beginsWith" text="Voltaire">
      <formula>LEFT(BP16,LEN("Voltaire"))="Voltaire"</formula>
    </cfRule>
  </conditionalFormatting>
  <conditionalFormatting sqref="BP21:BP25">
    <cfRule type="beginsWith" dxfId="1737" priority="1901" operator="beginsWith" text="Lancement Projet fil rouge">
      <formula>LEFT(BP21,LEN("Lancement Projet fil rouge"))="Lancement Projet fil rouge"</formula>
    </cfRule>
    <cfRule type="beginsWith" dxfId="1736" priority="1902" operator="beginsWith" text="Vacances">
      <formula>LEFT(BP21,LEN("Vacances"))="Vacances"</formula>
    </cfRule>
    <cfRule type="beginsWith" dxfId="1735" priority="1903" operator="beginsWith" text="Séminaire d'intégration">
      <formula>LEFT(BP21,LEN("Séminaire d'intégration"))="Séminaire d'intégration"</formula>
    </cfRule>
    <cfRule type="beginsWith" dxfId="1734" priority="1904" operator="beginsWith" text="Accueil">
      <formula>LEFT(BP21,LEN("Accueil"))="Accueil"</formula>
    </cfRule>
    <cfRule type="beginsWith" dxfId="1733" priority="1907" operator="beginsWith" text="Stage">
      <formula>LEFT(BP21,LEN("Stage"))="Stage"</formula>
    </cfRule>
    <cfRule type="beginsWith" dxfId="1732" priority="1908" operator="beginsWith" text="Entreprise">
      <formula>LEFT(BP21,LEN("Entreprise"))="Entreprise"</formula>
    </cfRule>
    <cfRule type="beginsWith" dxfId="1731" priority="1910" operator="beginsWith" text="Voltaire">
      <formula>LEFT(BP21,LEN("Voltaire"))="Voltaire"</formula>
    </cfRule>
  </conditionalFormatting>
  <conditionalFormatting sqref="BP131">
    <cfRule type="beginsWith" dxfId="1723" priority="1875" operator="beginsWith" text="TOPHYC">
      <formula>LEFT(BP131,LEN("TOPHYC"))="TOPHYC"</formula>
    </cfRule>
    <cfRule type="beginsWith" dxfId="1722" priority="1876" operator="beginsWith" text="Global Exam">
      <formula>LEFT(BP131,LEN("Global Exam"))="Global Exam"</formula>
    </cfRule>
    <cfRule type="beginsWith" dxfId="1721" priority="1879" operator="beginsWith" text="TOMIC">
      <formula>LEFT(BP131,LEN("TOMIC"))="TOMIC"</formula>
    </cfRule>
  </conditionalFormatting>
  <conditionalFormatting sqref="BP136:BP139 BP141:BP145">
    <cfRule type="beginsWith" dxfId="1720" priority="1865" operator="beginsWith" text="TOPHYC">
      <formula>LEFT(BP136,LEN("TOPHYC"))="TOPHYC"</formula>
    </cfRule>
    <cfRule type="beginsWith" dxfId="1719" priority="1866" operator="beginsWith" text="Global Exam">
      <formula>LEFT(BP136,LEN("Global Exam"))="Global Exam"</formula>
    </cfRule>
    <cfRule type="beginsWith" dxfId="1718" priority="1869" operator="beginsWith" text="TOMIC">
      <formula>LEFT(BP136,LEN("TOMIC"))="TOMIC"</formula>
    </cfRule>
  </conditionalFormatting>
  <conditionalFormatting sqref="BP146:BP148">
    <cfRule type="beginsWith" dxfId="1717" priority="1851" operator="beginsWith" text="Lancement Projet fil rouge">
      <formula>LEFT(BP146,LEN("Lancement Projet fil rouge"))="Lancement Projet fil rouge"</formula>
    </cfRule>
    <cfRule type="beginsWith" dxfId="1716" priority="1852" operator="beginsWith" text="Vacances">
      <formula>LEFT(BP146,LEN("Vacances"))="Vacances"</formula>
    </cfRule>
    <cfRule type="beginsWith" dxfId="1715" priority="1853" operator="beginsWith" text="Séminaire d'intégration">
      <formula>LEFT(BP146,LEN("Séminaire d'intégration"))="Séminaire d'intégration"</formula>
    </cfRule>
    <cfRule type="beginsWith" dxfId="1714" priority="1854" operator="beginsWith" text="Accueil">
      <formula>LEFT(BP146,LEN("Accueil"))="Accueil"</formula>
    </cfRule>
    <cfRule type="beginsWith" dxfId="1713" priority="1855" operator="beginsWith" text="TOPHYC">
      <formula>LEFT(BP146,LEN("TOPHYC"))="TOPHYC"</formula>
    </cfRule>
    <cfRule type="beginsWith" dxfId="1712" priority="1856" operator="beginsWith" text="Global Exam">
      <formula>LEFT(BP146,LEN("Global Exam"))="Global Exam"</formula>
    </cfRule>
    <cfRule type="beginsWith" dxfId="1711" priority="1857" operator="beginsWith" text="Stage">
      <formula>LEFT(BP146,LEN("Stage"))="Stage"</formula>
    </cfRule>
    <cfRule type="beginsWith" dxfId="1710" priority="1858" operator="beginsWith" text="Entreprise">
      <formula>LEFT(BP146,LEN("Entreprise"))="Entreprise"</formula>
    </cfRule>
    <cfRule type="beginsWith" dxfId="1709" priority="1859" operator="beginsWith" text="TOMIC">
      <formula>LEFT(BP146,LEN("TOMIC"))="TOMIC"</formula>
    </cfRule>
    <cfRule type="beginsWith" dxfId="1708" priority="1860" operator="beginsWith" text="Voltaire">
      <formula>LEFT(BP146,LEN("Voltaire"))="Voltaire"</formula>
    </cfRule>
  </conditionalFormatting>
  <conditionalFormatting sqref="BP149">
    <cfRule type="beginsWith" dxfId="1707" priority="1637" operator="beginsWith" text="Lancement Projet fil rouge">
      <formula>LEFT(BP149,LEN("Lancement Projet fil rouge"))="Lancement Projet fil rouge"</formula>
    </cfRule>
    <cfRule type="beginsWith" dxfId="1706" priority="1638" operator="beginsWith" text="Vacances">
      <formula>LEFT(BP149,LEN("Vacances"))="Vacances"</formula>
    </cfRule>
    <cfRule type="beginsWith" dxfId="1705" priority="1639" operator="beginsWith" text="Séminaire d'intégration">
      <formula>LEFT(BP149,LEN("Séminaire d'intégration"))="Séminaire d'intégration"</formula>
    </cfRule>
    <cfRule type="beginsWith" dxfId="1704" priority="1640" operator="beginsWith" text="Accueil">
      <formula>LEFT(BP149,LEN("Accueil"))="Accueil"</formula>
    </cfRule>
    <cfRule type="beginsWith" dxfId="1703" priority="1641" operator="beginsWith" text="TOPHYC">
      <formula>LEFT(BP149,LEN("TOPHYC"))="TOPHYC"</formula>
    </cfRule>
    <cfRule type="beginsWith" dxfId="1702" priority="1642" operator="beginsWith" text="Global Exam">
      <formula>LEFT(BP149,LEN("Global Exam"))="Global Exam"</formula>
    </cfRule>
    <cfRule type="beginsWith" dxfId="1701" priority="1643" operator="beginsWith" text="Stage">
      <formula>LEFT(BP149,LEN("Stage"))="Stage"</formula>
    </cfRule>
    <cfRule type="beginsWith" dxfId="1700" priority="1644" operator="beginsWith" text="Entreprise">
      <formula>LEFT(BP149,LEN("Entreprise"))="Entreprise"</formula>
    </cfRule>
    <cfRule type="beginsWith" dxfId="1699" priority="1645" operator="beginsWith" text="TOMIC">
      <formula>LEFT(BP149,LEN("TOMIC"))="TOMIC"</formula>
    </cfRule>
    <cfRule type="beginsWith" dxfId="1698" priority="1646" operator="beginsWith" text="Voltaire">
      <formula>LEFT(BP149,LEN("Voltaire"))="Voltaire"</formula>
    </cfRule>
  </conditionalFormatting>
  <conditionalFormatting sqref="BP150">
    <cfRule type="beginsWith" dxfId="1697" priority="1761" operator="beginsWith" text="Lancement Projet fil rouge">
      <formula>LEFT(BP150,LEN("Lancement Projet fil rouge"))="Lancement Projet fil rouge"</formula>
    </cfRule>
    <cfRule type="beginsWith" dxfId="1696" priority="1762" operator="beginsWith" text="Vacances">
      <formula>LEFT(BP150,LEN("Vacances"))="Vacances"</formula>
    </cfRule>
    <cfRule type="beginsWith" dxfId="1695" priority="1763" operator="beginsWith" text="Séminaire d'intégration">
      <formula>LEFT(BP150,LEN("Séminaire d'intégration"))="Séminaire d'intégration"</formula>
    </cfRule>
    <cfRule type="beginsWith" dxfId="1694" priority="1764" operator="beginsWith" text="Accueil">
      <formula>LEFT(BP150,LEN("Accueil"))="Accueil"</formula>
    </cfRule>
    <cfRule type="beginsWith" dxfId="1693" priority="1765" operator="beginsWith" text="TOPHYC">
      <formula>LEFT(BP150,LEN("TOPHYC"))="TOPHYC"</formula>
    </cfRule>
    <cfRule type="beginsWith" dxfId="1692" priority="1766" operator="beginsWith" text="Global Exam">
      <formula>LEFT(BP150,LEN("Global Exam"))="Global Exam"</formula>
    </cfRule>
    <cfRule type="beginsWith" dxfId="1691" priority="1767" operator="beginsWith" text="Stage">
      <formula>LEFT(BP150,LEN("Stage"))="Stage"</formula>
    </cfRule>
    <cfRule type="beginsWith" dxfId="1690" priority="1768" operator="beginsWith" text="Entreprise">
      <formula>LEFT(BP150,LEN("Entreprise"))="Entreprise"</formula>
    </cfRule>
    <cfRule type="beginsWith" dxfId="1689" priority="1769" operator="beginsWith" text="TOMIC">
      <formula>LEFT(BP150,LEN("TOMIC"))="TOMIC"</formula>
    </cfRule>
    <cfRule type="beginsWith" dxfId="1688" priority="1770" operator="beginsWith" text="Voltaire">
      <formula>LEFT(BP150,LEN("Voltaire"))="Voltaire"</formula>
    </cfRule>
  </conditionalFormatting>
  <conditionalFormatting sqref="BP151:BP153 BP155">
    <cfRule type="beginsWith" dxfId="1687" priority="1841" operator="beginsWith" text="Lancement Projet fil rouge">
      <formula>LEFT(BP151,LEN("Lancement Projet fil rouge"))="Lancement Projet fil rouge"</formula>
    </cfRule>
    <cfRule type="beginsWith" dxfId="1686" priority="1842" operator="beginsWith" text="Vacances">
      <formula>LEFT(BP151,LEN("Vacances"))="Vacances"</formula>
    </cfRule>
    <cfRule type="beginsWith" dxfId="1685" priority="1843" operator="beginsWith" text="Séminaire d'intégration">
      <formula>LEFT(BP151,LEN("Séminaire d'intégration"))="Séminaire d'intégration"</formula>
    </cfRule>
    <cfRule type="beginsWith" dxfId="1684" priority="1844" operator="beginsWith" text="Accueil">
      <formula>LEFT(BP151,LEN("Accueil"))="Accueil"</formula>
    </cfRule>
    <cfRule type="beginsWith" dxfId="1683" priority="1845" operator="beginsWith" text="TOPHYC">
      <formula>LEFT(BP151,LEN("TOPHYC"))="TOPHYC"</formula>
    </cfRule>
    <cfRule type="beginsWith" dxfId="1682" priority="1846" operator="beginsWith" text="Global Exam">
      <formula>LEFT(BP151,LEN("Global Exam"))="Global Exam"</formula>
    </cfRule>
    <cfRule type="beginsWith" dxfId="1681" priority="1847" operator="beginsWith" text="Stage">
      <formula>LEFT(BP151,LEN("Stage"))="Stage"</formula>
    </cfRule>
    <cfRule type="beginsWith" dxfId="1680" priority="1848" operator="beginsWith" text="Entreprise">
      <formula>LEFT(BP151,LEN("Entreprise"))="Entreprise"</formula>
    </cfRule>
    <cfRule type="beginsWith" dxfId="1679" priority="1849" operator="beginsWith" text="TOMIC">
      <formula>LEFT(BP151,LEN("TOMIC"))="TOMIC"</formula>
    </cfRule>
    <cfRule type="beginsWith" dxfId="1678" priority="1850" operator="beginsWith" text="Voltaire">
      <formula>LEFT(BP151,LEN("Voltaire"))="Voltaire"</formula>
    </cfRule>
  </conditionalFormatting>
  <conditionalFormatting sqref="BP154">
    <cfRule type="beginsWith" dxfId="1677" priority="1627" operator="beginsWith" text="Lancement Projet fil rouge">
      <formula>LEFT(BP154,LEN("Lancement Projet fil rouge"))="Lancement Projet fil rouge"</formula>
    </cfRule>
    <cfRule type="beginsWith" dxfId="1676" priority="1628" operator="beginsWith" text="Vacances">
      <formula>LEFT(BP154,LEN("Vacances"))="Vacances"</formula>
    </cfRule>
    <cfRule type="beginsWith" dxfId="1675" priority="1629" operator="beginsWith" text="Séminaire d'intégration">
      <formula>LEFT(BP154,LEN("Séminaire d'intégration"))="Séminaire d'intégration"</formula>
    </cfRule>
    <cfRule type="beginsWith" dxfId="1674" priority="1630" operator="beginsWith" text="Accueil">
      <formula>LEFT(BP154,LEN("Accueil"))="Accueil"</formula>
    </cfRule>
    <cfRule type="beginsWith" dxfId="1673" priority="1631" operator="beginsWith" text="TOPHYC">
      <formula>LEFT(BP154,LEN("TOPHYC"))="TOPHYC"</formula>
    </cfRule>
    <cfRule type="beginsWith" dxfId="1672" priority="1632" operator="beginsWith" text="Global Exam">
      <formula>LEFT(BP154,LEN("Global Exam"))="Global Exam"</formula>
    </cfRule>
    <cfRule type="beginsWith" dxfId="1671" priority="1633" operator="beginsWith" text="Stage">
      <formula>LEFT(BP154,LEN("Stage"))="Stage"</formula>
    </cfRule>
    <cfRule type="beginsWith" dxfId="1670" priority="1634" operator="beginsWith" text="Entreprise">
      <formula>LEFT(BP154,LEN("Entreprise"))="Entreprise"</formula>
    </cfRule>
    <cfRule type="beginsWith" dxfId="1669" priority="1635" operator="beginsWith" text="TOMIC">
      <formula>LEFT(BP154,LEN("TOMIC"))="TOMIC"</formula>
    </cfRule>
    <cfRule type="beginsWith" dxfId="1668" priority="1636" operator="beginsWith" text="Voltaire">
      <formula>LEFT(BP154,LEN("Voltaire"))="Voltaire"</formula>
    </cfRule>
  </conditionalFormatting>
  <conditionalFormatting sqref="BP164">
    <cfRule type="beginsWith" dxfId="1667" priority="1657" operator="beginsWith" text="Lancement Projet fil rouge">
      <formula>LEFT(BP164,LEN("Lancement Projet fil rouge"))="Lancement Projet fil rouge"</formula>
    </cfRule>
    <cfRule type="beginsWith" dxfId="1666" priority="1658" operator="beginsWith" text="Vacances">
      <formula>LEFT(BP164,LEN("Vacances"))="Vacances"</formula>
    </cfRule>
    <cfRule type="beginsWith" dxfId="1665" priority="1659" operator="beginsWith" text="Séminaire d'intégration">
      <formula>LEFT(BP164,LEN("Séminaire d'intégration"))="Séminaire d'intégration"</formula>
    </cfRule>
    <cfRule type="beginsWith" dxfId="1664" priority="1660" operator="beginsWith" text="Accueil">
      <formula>LEFT(BP164,LEN("Accueil"))="Accueil"</formula>
    </cfRule>
    <cfRule type="beginsWith" dxfId="1663" priority="1661" operator="beginsWith" text="TOPHYC">
      <formula>LEFT(BP164,LEN("TOPHYC"))="TOPHYC"</formula>
    </cfRule>
    <cfRule type="beginsWith" dxfId="1662" priority="1662" operator="beginsWith" text="Global Exam">
      <formula>LEFT(BP164,LEN("Global Exam"))="Global Exam"</formula>
    </cfRule>
    <cfRule type="beginsWith" dxfId="1661" priority="1663" operator="beginsWith" text="Stage">
      <formula>LEFT(BP164,LEN("Stage"))="Stage"</formula>
    </cfRule>
    <cfRule type="beginsWith" dxfId="1660" priority="1664" operator="beginsWith" text="Entreprise">
      <formula>LEFT(BP164,LEN("Entreprise"))="Entreprise"</formula>
    </cfRule>
    <cfRule type="beginsWith" dxfId="1659" priority="1665" operator="beginsWith" text="TOMIC">
      <formula>LEFT(BP164,LEN("TOMIC"))="TOMIC"</formula>
    </cfRule>
    <cfRule type="beginsWith" dxfId="1658" priority="1666" operator="beginsWith" text="Voltaire">
      <formula>LEFT(BP164,LEN("Voltaire"))="Voltaire"</formula>
    </cfRule>
  </conditionalFormatting>
  <conditionalFormatting sqref="BP169">
    <cfRule type="beginsWith" dxfId="1657" priority="1667" operator="beginsWith" text="Lancement Projet fil rouge">
      <formula>LEFT(BP169,LEN("Lancement Projet fil rouge"))="Lancement Projet fil rouge"</formula>
    </cfRule>
    <cfRule type="beginsWith" dxfId="1656" priority="1668" operator="beginsWith" text="Vacances">
      <formula>LEFT(BP169,LEN("Vacances"))="Vacances"</formula>
    </cfRule>
    <cfRule type="beginsWith" dxfId="1655" priority="1669" operator="beginsWith" text="Séminaire d'intégration">
      <formula>LEFT(BP169,LEN("Séminaire d'intégration"))="Séminaire d'intégration"</formula>
    </cfRule>
    <cfRule type="beginsWith" dxfId="1654" priority="1670" operator="beginsWith" text="Accueil">
      <formula>LEFT(BP169,LEN("Accueil"))="Accueil"</formula>
    </cfRule>
    <cfRule type="beginsWith" dxfId="1653" priority="1671" operator="beginsWith" text="TOPHYC">
      <formula>LEFT(BP169,LEN("TOPHYC"))="TOPHYC"</formula>
    </cfRule>
    <cfRule type="beginsWith" dxfId="1652" priority="1672" operator="beginsWith" text="Global Exam">
      <formula>LEFT(BP169,LEN("Global Exam"))="Global Exam"</formula>
    </cfRule>
    <cfRule type="beginsWith" dxfId="1651" priority="1673" operator="beginsWith" text="Stage">
      <formula>LEFT(BP169,LEN("Stage"))="Stage"</formula>
    </cfRule>
    <cfRule type="beginsWith" dxfId="1650" priority="1674" operator="beginsWith" text="Entreprise">
      <formula>LEFT(BP169,LEN("Entreprise"))="Entreprise"</formula>
    </cfRule>
    <cfRule type="beginsWith" dxfId="1649" priority="1675" operator="beginsWith" text="TOMIC">
      <formula>LEFT(BP169,LEN("TOMIC"))="TOMIC"</formula>
    </cfRule>
    <cfRule type="beginsWith" dxfId="1648" priority="1676" operator="beginsWith" text="Voltaire">
      <formula>LEFT(BP169,LEN("Voltaire"))="Voltaire"</formula>
    </cfRule>
  </conditionalFormatting>
  <conditionalFormatting sqref="BP170">
    <cfRule type="beginsWith" dxfId="1647" priority="1751" operator="beginsWith" text="Lancement Projet fil rouge">
      <formula>LEFT(BP170,LEN("Lancement Projet fil rouge"))="Lancement Projet fil rouge"</formula>
    </cfRule>
    <cfRule type="beginsWith" dxfId="1646" priority="1752" operator="beginsWith" text="Vacances">
      <formula>LEFT(BP170,LEN("Vacances"))="Vacances"</formula>
    </cfRule>
    <cfRule type="beginsWith" dxfId="1645" priority="1753" operator="beginsWith" text="Séminaire d'intégration">
      <formula>LEFT(BP170,LEN("Séminaire d'intégration"))="Séminaire d'intégration"</formula>
    </cfRule>
    <cfRule type="beginsWith" dxfId="1644" priority="1754" operator="beginsWith" text="Accueil">
      <formula>LEFT(BP170,LEN("Accueil"))="Accueil"</formula>
    </cfRule>
    <cfRule type="beginsWith" dxfId="1643" priority="1755" operator="beginsWith" text="TOPHYC">
      <formula>LEFT(BP170,LEN("TOPHYC"))="TOPHYC"</formula>
    </cfRule>
    <cfRule type="beginsWith" dxfId="1642" priority="1756" operator="beginsWith" text="Global Exam">
      <formula>LEFT(BP170,LEN("Global Exam"))="Global Exam"</formula>
    </cfRule>
    <cfRule type="beginsWith" dxfId="1641" priority="1757" operator="beginsWith" text="Stage">
      <formula>LEFT(BP170,LEN("Stage"))="Stage"</formula>
    </cfRule>
    <cfRule type="beginsWith" dxfId="1640" priority="1758" operator="beginsWith" text="Entreprise">
      <formula>LEFT(BP170,LEN("Entreprise"))="Entreprise"</formula>
    </cfRule>
    <cfRule type="beginsWith" dxfId="1639" priority="1759" operator="beginsWith" text="TOMIC">
      <formula>LEFT(BP170,LEN("TOMIC"))="TOMIC"</formula>
    </cfRule>
    <cfRule type="beginsWith" dxfId="1638" priority="1760" operator="beginsWith" text="Voltaire">
      <formula>LEFT(BP170,LEN("Voltaire"))="Voltaire"</formula>
    </cfRule>
  </conditionalFormatting>
  <conditionalFormatting sqref="BP172">
    <cfRule type="beginsWith" dxfId="1637" priority="1811" operator="beginsWith" text="Lancement Projet fil rouge">
      <formula>LEFT(BP172,LEN("Lancement Projet fil rouge"))="Lancement Projet fil rouge"</formula>
    </cfRule>
    <cfRule type="beginsWith" dxfId="1636" priority="1812" operator="beginsWith" text="Vacances">
      <formula>LEFT(BP172,LEN("Vacances"))="Vacances"</formula>
    </cfRule>
    <cfRule type="beginsWith" dxfId="1635" priority="1813" operator="beginsWith" text="Séminaire d'intégration">
      <formula>LEFT(BP172,LEN("Séminaire d'intégration"))="Séminaire d'intégration"</formula>
    </cfRule>
    <cfRule type="beginsWith" dxfId="1634" priority="1814" operator="beginsWith" text="Accueil">
      <formula>LEFT(BP172,LEN("Accueil"))="Accueil"</formula>
    </cfRule>
    <cfRule type="beginsWith" dxfId="1633" priority="1815" operator="beginsWith" text="TOPHYC">
      <formula>LEFT(BP172,LEN("TOPHYC"))="TOPHYC"</formula>
    </cfRule>
    <cfRule type="beginsWith" dxfId="1632" priority="1816" operator="beginsWith" text="Global Exam">
      <formula>LEFT(BP172,LEN("Global Exam"))="Global Exam"</formula>
    </cfRule>
    <cfRule type="beginsWith" dxfId="1631" priority="1817" operator="beginsWith" text="Stage">
      <formula>LEFT(BP172,LEN("Stage"))="Stage"</formula>
    </cfRule>
    <cfRule type="beginsWith" dxfId="1630" priority="1818" operator="beginsWith" text="Entreprise">
      <formula>LEFT(BP172,LEN("Entreprise"))="Entreprise"</formula>
    </cfRule>
    <cfRule type="beginsWith" dxfId="1629" priority="1819" operator="beginsWith" text="TOMIC">
      <formula>LEFT(BP172,LEN("TOMIC"))="TOMIC"</formula>
    </cfRule>
    <cfRule type="beginsWith" dxfId="1628" priority="1820" operator="beginsWith" text="Voltaire">
      <formula>LEFT(BP172,LEN("Voltaire"))="Voltaire"</formula>
    </cfRule>
  </conditionalFormatting>
  <conditionalFormatting sqref="BP174">
    <cfRule type="beginsWith" dxfId="1627" priority="1677" operator="beginsWith" text="Lancement Projet fil rouge">
      <formula>LEFT(BP174,LEN("Lancement Projet fil rouge"))="Lancement Projet fil rouge"</formula>
    </cfRule>
    <cfRule type="beginsWith" dxfId="1626" priority="1678" operator="beginsWith" text="Vacances">
      <formula>LEFT(BP174,LEN("Vacances"))="Vacances"</formula>
    </cfRule>
    <cfRule type="beginsWith" dxfId="1625" priority="1679" operator="beginsWith" text="Séminaire d'intégration">
      <formula>LEFT(BP174,LEN("Séminaire d'intégration"))="Séminaire d'intégration"</formula>
    </cfRule>
    <cfRule type="beginsWith" dxfId="1624" priority="1680" operator="beginsWith" text="Accueil">
      <formula>LEFT(BP174,LEN("Accueil"))="Accueil"</formula>
    </cfRule>
    <cfRule type="beginsWith" dxfId="1623" priority="1681" operator="beginsWith" text="TOPHYC">
      <formula>LEFT(BP174,LEN("TOPHYC"))="TOPHYC"</formula>
    </cfRule>
    <cfRule type="beginsWith" dxfId="1622" priority="1682" operator="beginsWith" text="Global Exam">
      <formula>LEFT(BP174,LEN("Global Exam"))="Global Exam"</formula>
    </cfRule>
    <cfRule type="beginsWith" dxfId="1621" priority="1683" operator="beginsWith" text="Stage">
      <formula>LEFT(BP174,LEN("Stage"))="Stage"</formula>
    </cfRule>
    <cfRule type="beginsWith" dxfId="1620" priority="1684" operator="beginsWith" text="Entreprise">
      <formula>LEFT(BP174,LEN("Entreprise"))="Entreprise"</formula>
    </cfRule>
    <cfRule type="beginsWith" dxfId="1619" priority="1685" operator="beginsWith" text="TOMIC">
      <formula>LEFT(BP174,LEN("TOMIC"))="TOMIC"</formula>
    </cfRule>
    <cfRule type="beginsWith" dxfId="1618" priority="1686" operator="beginsWith" text="Voltaire">
      <formula>LEFT(BP174,LEN("Voltaire"))="Voltaire"</formula>
    </cfRule>
  </conditionalFormatting>
  <conditionalFormatting sqref="BP179">
    <cfRule type="beginsWith" dxfId="1617" priority="1891" operator="beginsWith" text="Lancement Projet fil rouge">
      <formula>LEFT(BP179,LEN("Lancement Projet fil rouge"))="Lancement Projet fil rouge"</formula>
    </cfRule>
    <cfRule type="beginsWith" dxfId="1616" priority="1892" operator="beginsWith" text="Vacances">
      <formula>LEFT(BP179,LEN("Vacances"))="Vacances"</formula>
    </cfRule>
    <cfRule type="beginsWith" dxfId="1615" priority="1893" operator="beginsWith" text="Séminaire d'intégration">
      <formula>LEFT(BP179,LEN("Séminaire d'intégration"))="Séminaire d'intégration"</formula>
    </cfRule>
    <cfRule type="beginsWith" dxfId="1614" priority="1894" operator="beginsWith" text="Accueil">
      <formula>LEFT(BP179,LEN("Accueil"))="Accueil"</formula>
    </cfRule>
    <cfRule type="beginsWith" dxfId="1613" priority="1895" operator="beginsWith" text="TOPHYC">
      <formula>LEFT(BP179,LEN("TOPHYC"))="TOPHYC"</formula>
    </cfRule>
    <cfRule type="beginsWith" dxfId="1612" priority="1896" operator="beginsWith" text="Global Exam">
      <formula>LEFT(BP179,LEN("Global Exam"))="Global Exam"</formula>
    </cfRule>
    <cfRule type="beginsWith" dxfId="1611" priority="1897" operator="beginsWith" text="Stage">
      <formula>LEFT(BP179,LEN("Stage"))="Stage"</formula>
    </cfRule>
    <cfRule type="beginsWith" dxfId="1610" priority="1898" operator="beginsWith" text="Entreprise">
      <formula>LEFT(BP179,LEN("Entreprise"))="Entreprise"</formula>
    </cfRule>
    <cfRule type="beginsWith" dxfId="1609" priority="1899" operator="beginsWith" text="TOMIC">
      <formula>LEFT(BP179,LEN("TOMIC"))="TOMIC"</formula>
    </cfRule>
    <cfRule type="beginsWith" dxfId="1608" priority="1900" operator="beginsWith" text="Voltaire">
      <formula>LEFT(BP179,LEN("Voltaire"))="Voltaire"</formula>
    </cfRule>
  </conditionalFormatting>
  <conditionalFormatting sqref="BP180">
    <cfRule type="beginsWith" dxfId="1607" priority="1821" operator="beginsWith" text="Lancement Projet fil rouge">
      <formula>LEFT(BP180,LEN("Lancement Projet fil rouge"))="Lancement Projet fil rouge"</formula>
    </cfRule>
    <cfRule type="beginsWith" dxfId="1606" priority="1822" operator="beginsWith" text="Vacances">
      <formula>LEFT(BP180,LEN("Vacances"))="Vacances"</formula>
    </cfRule>
    <cfRule type="beginsWith" dxfId="1605" priority="1823" operator="beginsWith" text="Séminaire d'intégration">
      <formula>LEFT(BP180,LEN("Séminaire d'intégration"))="Séminaire d'intégration"</formula>
    </cfRule>
    <cfRule type="beginsWith" dxfId="1604" priority="1824" operator="beginsWith" text="Accueil">
      <formula>LEFT(BP180,LEN("Accueil"))="Accueil"</formula>
    </cfRule>
    <cfRule type="beginsWith" dxfId="1603" priority="1825" operator="beginsWith" text="TOPHYC">
      <formula>LEFT(BP180,LEN("TOPHYC"))="TOPHYC"</formula>
    </cfRule>
    <cfRule type="beginsWith" dxfId="1602" priority="1826" operator="beginsWith" text="Global Exam">
      <formula>LEFT(BP180,LEN("Global Exam"))="Global Exam"</formula>
    </cfRule>
    <cfRule type="beginsWith" dxfId="1601" priority="1827" operator="beginsWith" text="Stage">
      <formula>LEFT(BP180,LEN("Stage"))="Stage"</formula>
    </cfRule>
    <cfRule type="beginsWith" dxfId="1600" priority="1828" operator="beginsWith" text="Entreprise">
      <formula>LEFT(BP180,LEN("Entreprise"))="Entreprise"</formula>
    </cfRule>
    <cfRule type="beginsWith" dxfId="1599" priority="1829" operator="beginsWith" text="TOMIC">
      <formula>LEFT(BP180,LEN("TOMIC"))="TOMIC"</formula>
    </cfRule>
    <cfRule type="beginsWith" dxfId="1598" priority="1830" operator="beginsWith" text="Voltaire">
      <formula>LEFT(BP180,LEN("Voltaire"))="Voltaire"</formula>
    </cfRule>
  </conditionalFormatting>
  <conditionalFormatting sqref="BP191:BP193">
    <cfRule type="beginsWith" dxfId="1597" priority="1961" operator="beginsWith" text="Lancement Projet fil rouge">
      <formula>LEFT(BP191,LEN("Lancement Projet fil rouge"))="Lancement Projet fil rouge"</formula>
    </cfRule>
    <cfRule type="beginsWith" dxfId="1596" priority="1962" operator="beginsWith" text="Vacances">
      <formula>LEFT(BP191,LEN("Vacances"))="Vacances"</formula>
    </cfRule>
    <cfRule type="beginsWith" dxfId="1595" priority="1963" operator="beginsWith" text="Séminaire d'intégration">
      <formula>LEFT(BP191,LEN("Séminaire d'intégration"))="Séminaire d'intégration"</formula>
    </cfRule>
    <cfRule type="beginsWith" dxfId="1594" priority="1964" operator="beginsWith" text="Accueil">
      <formula>LEFT(BP191,LEN("Accueil"))="Accueil"</formula>
    </cfRule>
    <cfRule type="beginsWith" dxfId="1593" priority="1965" operator="beginsWith" text="TOPHYC">
      <formula>LEFT(BP191,LEN("TOPHYC"))="TOPHYC"</formula>
    </cfRule>
    <cfRule type="beginsWith" dxfId="1592" priority="1966" operator="beginsWith" text="Global Exam">
      <formula>LEFT(BP191,LEN("Global Exam"))="Global Exam"</formula>
    </cfRule>
    <cfRule type="beginsWith" dxfId="1591" priority="1967" operator="beginsWith" text="Stage">
      <formula>LEFT(BP191,LEN("Stage"))="Stage"</formula>
    </cfRule>
    <cfRule type="beginsWith" dxfId="1590" priority="1968" operator="beginsWith" text="Entreprise">
      <formula>LEFT(BP191,LEN("Entreprise"))="Entreprise"</formula>
    </cfRule>
    <cfRule type="beginsWith" dxfId="1589" priority="1969" operator="beginsWith" text="TOMIC">
      <formula>LEFT(BP191,LEN("TOMIC"))="TOMIC"</formula>
    </cfRule>
    <cfRule type="beginsWith" dxfId="1588" priority="1970" operator="beginsWith" text="Voltaire">
      <formula>LEFT(BP191,LEN("Voltaire"))="Voltaire"</formula>
    </cfRule>
  </conditionalFormatting>
  <conditionalFormatting sqref="BP194">
    <cfRule type="beginsWith" dxfId="1587" priority="1617" operator="beginsWith" text="Lancement Projet fil rouge">
      <formula>LEFT(BP194,LEN("Lancement Projet fil rouge"))="Lancement Projet fil rouge"</formula>
    </cfRule>
    <cfRule type="beginsWith" dxfId="1586" priority="1618" operator="beginsWith" text="Vacances">
      <formula>LEFT(BP194,LEN("Vacances"))="Vacances"</formula>
    </cfRule>
    <cfRule type="beginsWith" dxfId="1585" priority="1619" operator="beginsWith" text="Séminaire d'intégration">
      <formula>LEFT(BP194,LEN("Séminaire d'intégration"))="Séminaire d'intégration"</formula>
    </cfRule>
    <cfRule type="beginsWith" dxfId="1584" priority="1620" operator="beginsWith" text="Accueil">
      <formula>LEFT(BP194,LEN("Accueil"))="Accueil"</formula>
    </cfRule>
    <cfRule type="beginsWith" dxfId="1583" priority="1621" operator="beginsWith" text="TOPHYC">
      <formula>LEFT(BP194,LEN("TOPHYC"))="TOPHYC"</formula>
    </cfRule>
    <cfRule type="beginsWith" dxfId="1582" priority="1622" operator="beginsWith" text="Global Exam">
      <formula>LEFT(BP194,LEN("Global Exam"))="Global Exam"</formula>
    </cfRule>
    <cfRule type="beginsWith" dxfId="1581" priority="1623" operator="beginsWith" text="Stage">
      <formula>LEFT(BP194,LEN("Stage"))="Stage"</formula>
    </cfRule>
    <cfRule type="beginsWith" dxfId="1580" priority="1624" operator="beginsWith" text="Entreprise">
      <formula>LEFT(BP194,LEN("Entreprise"))="Entreprise"</formula>
    </cfRule>
    <cfRule type="beginsWith" dxfId="1579" priority="1625" operator="beginsWith" text="TOMIC">
      <formula>LEFT(BP194,LEN("TOMIC"))="TOMIC"</formula>
    </cfRule>
    <cfRule type="beginsWith" dxfId="1578" priority="1626" operator="beginsWith" text="Voltaire">
      <formula>LEFT(BP194,LEN("Voltaire"))="Voltaire"</formula>
    </cfRule>
  </conditionalFormatting>
  <conditionalFormatting sqref="BP198">
    <cfRule type="beginsWith" dxfId="1577" priority="1801" operator="beginsWith" text="Lancement Projet fil rouge">
      <formula>LEFT(BP198,LEN("Lancement Projet fil rouge"))="Lancement Projet fil rouge"</formula>
    </cfRule>
    <cfRule type="beginsWith" dxfId="1576" priority="1802" operator="beginsWith" text="Vacances">
      <formula>LEFT(BP198,LEN("Vacances"))="Vacances"</formula>
    </cfRule>
    <cfRule type="beginsWith" dxfId="1575" priority="1803" operator="beginsWith" text="Séminaire d'intégration">
      <formula>LEFT(BP198,LEN("Séminaire d'intégration"))="Séminaire d'intégration"</formula>
    </cfRule>
    <cfRule type="beginsWith" dxfId="1574" priority="1804" operator="beginsWith" text="Accueil">
      <formula>LEFT(BP198,LEN("Accueil"))="Accueil"</formula>
    </cfRule>
    <cfRule type="beginsWith" dxfId="1573" priority="1805" operator="beginsWith" text="TOPHYC">
      <formula>LEFT(BP198,LEN("TOPHYC"))="TOPHYC"</formula>
    </cfRule>
    <cfRule type="beginsWith" dxfId="1572" priority="1806" operator="beginsWith" text="Global Exam">
      <formula>LEFT(BP198,LEN("Global Exam"))="Global Exam"</formula>
    </cfRule>
    <cfRule type="beginsWith" dxfId="1571" priority="1807" operator="beginsWith" text="Stage">
      <formula>LEFT(BP198,LEN("Stage"))="Stage"</formula>
    </cfRule>
    <cfRule type="beginsWith" dxfId="1570" priority="1808" operator="beginsWith" text="Entreprise">
      <formula>LEFT(BP198,LEN("Entreprise"))="Entreprise"</formula>
    </cfRule>
    <cfRule type="beginsWith" dxfId="1569" priority="1809" operator="beginsWith" text="TOMIC">
      <formula>LEFT(BP198,LEN("TOMIC"))="TOMIC"</formula>
    </cfRule>
    <cfRule type="beginsWith" dxfId="1568" priority="1810" operator="beginsWith" text="Voltaire">
      <formula>LEFT(BP198,LEN("Voltaire"))="Voltaire"</formula>
    </cfRule>
  </conditionalFormatting>
  <conditionalFormatting sqref="BP204">
    <cfRule type="beginsWith" dxfId="1567" priority="1647" operator="beginsWith" text="Lancement Projet fil rouge">
      <formula>LEFT(BP204,LEN("Lancement Projet fil rouge"))="Lancement Projet fil rouge"</formula>
    </cfRule>
    <cfRule type="beginsWith" dxfId="1566" priority="1648" operator="beginsWith" text="Vacances">
      <formula>LEFT(BP204,LEN("Vacances"))="Vacances"</formula>
    </cfRule>
    <cfRule type="beginsWith" dxfId="1565" priority="1649" operator="beginsWith" text="Séminaire d'intégration">
      <formula>LEFT(BP204,LEN("Séminaire d'intégration"))="Séminaire d'intégration"</formula>
    </cfRule>
    <cfRule type="beginsWith" dxfId="1564" priority="1650" operator="beginsWith" text="Accueil">
      <formula>LEFT(BP204,LEN("Accueil"))="Accueil"</formula>
    </cfRule>
    <cfRule type="beginsWith" dxfId="1563" priority="1651" operator="beginsWith" text="TOPHYC">
      <formula>LEFT(BP204,LEN("TOPHYC"))="TOPHYC"</formula>
    </cfRule>
    <cfRule type="beginsWith" dxfId="1562" priority="1652" operator="beginsWith" text="Global Exam">
      <formula>LEFT(BP204,LEN("Global Exam"))="Global Exam"</formula>
    </cfRule>
    <cfRule type="beginsWith" dxfId="1561" priority="1653" operator="beginsWith" text="Stage">
      <formula>LEFT(BP204,LEN("Stage"))="Stage"</formula>
    </cfRule>
    <cfRule type="beginsWith" dxfId="1560" priority="1654" operator="beginsWith" text="Entreprise">
      <formula>LEFT(BP204,LEN("Entreprise"))="Entreprise"</formula>
    </cfRule>
    <cfRule type="beginsWith" dxfId="1559" priority="1655" operator="beginsWith" text="TOMIC">
      <formula>LEFT(BP204,LEN("TOMIC"))="TOMIC"</formula>
    </cfRule>
    <cfRule type="beginsWith" dxfId="1558" priority="1656" operator="beginsWith" text="Voltaire">
      <formula>LEFT(BP204,LEN("Voltaire"))="Voltaire"</formula>
    </cfRule>
  </conditionalFormatting>
  <conditionalFormatting sqref="BP205">
    <cfRule type="beginsWith" dxfId="1557" priority="1587" operator="beginsWith" text="Lancement Projet fil rouge">
      <formula>LEFT(BP205,LEN("Lancement Projet fil rouge"))="Lancement Projet fil rouge"</formula>
    </cfRule>
    <cfRule type="beginsWith" dxfId="1556" priority="1588" operator="beginsWith" text="Vacances">
      <formula>LEFT(BP205,LEN("Vacances"))="Vacances"</formula>
    </cfRule>
    <cfRule type="beginsWith" dxfId="1555" priority="1589" operator="beginsWith" text="Séminaire d'intégration">
      <formula>LEFT(BP205,LEN("Séminaire d'intégration"))="Séminaire d'intégration"</formula>
    </cfRule>
    <cfRule type="beginsWith" dxfId="1554" priority="1590" operator="beginsWith" text="Accueil">
      <formula>LEFT(BP205,LEN("Accueil"))="Accueil"</formula>
    </cfRule>
    <cfRule type="beginsWith" dxfId="1553" priority="1591" operator="beginsWith" text="TOPHYC">
      <formula>LEFT(BP205,LEN("TOPHYC"))="TOPHYC"</formula>
    </cfRule>
    <cfRule type="beginsWith" dxfId="1552" priority="1592" operator="beginsWith" text="Global Exam">
      <formula>LEFT(BP205,LEN("Global Exam"))="Global Exam"</formula>
    </cfRule>
    <cfRule type="beginsWith" dxfId="1551" priority="1593" operator="beginsWith" text="Stage">
      <formula>LEFT(BP205,LEN("Stage"))="Stage"</formula>
    </cfRule>
    <cfRule type="beginsWith" dxfId="1550" priority="1594" operator="beginsWith" text="Entreprise">
      <formula>LEFT(BP205,LEN("Entreprise"))="Entreprise"</formula>
    </cfRule>
    <cfRule type="beginsWith" dxfId="1549" priority="1595" operator="beginsWith" text="TOMIC">
      <formula>LEFT(BP205,LEN("TOMIC"))="TOMIC"</formula>
    </cfRule>
    <cfRule type="beginsWith" dxfId="1548" priority="1596" operator="beginsWith" text="Voltaire">
      <formula>LEFT(BP205,LEN("Voltaire"))="Voltaire"</formula>
    </cfRule>
  </conditionalFormatting>
  <conditionalFormatting sqref="BP207">
    <cfRule type="beginsWith" dxfId="1547" priority="1741" operator="beginsWith" text="Lancement Projet fil rouge">
      <formula>LEFT(BP207,LEN("Lancement Projet fil rouge"))="Lancement Projet fil rouge"</formula>
    </cfRule>
    <cfRule type="beginsWith" dxfId="1546" priority="1742" operator="beginsWith" text="Vacances">
      <formula>LEFT(BP207,LEN("Vacances"))="Vacances"</formula>
    </cfRule>
    <cfRule type="beginsWith" dxfId="1545" priority="1743" operator="beginsWith" text="Séminaire d'intégration">
      <formula>LEFT(BP207,LEN("Séminaire d'intégration"))="Séminaire d'intégration"</formula>
    </cfRule>
    <cfRule type="beginsWith" dxfId="1544" priority="1744" operator="beginsWith" text="Accueil">
      <formula>LEFT(BP207,LEN("Accueil"))="Accueil"</formula>
    </cfRule>
    <cfRule type="beginsWith" dxfId="1543" priority="1745" operator="beginsWith" text="TOPHYC">
      <formula>LEFT(BP207,LEN("TOPHYC"))="TOPHYC"</formula>
    </cfRule>
    <cfRule type="beginsWith" dxfId="1542" priority="1746" operator="beginsWith" text="Global Exam">
      <formula>LEFT(BP207,LEN("Global Exam"))="Global Exam"</formula>
    </cfRule>
    <cfRule type="beginsWith" dxfId="1541" priority="1747" operator="beginsWith" text="Stage">
      <formula>LEFT(BP207,LEN("Stage"))="Stage"</formula>
    </cfRule>
    <cfRule type="beginsWith" dxfId="1540" priority="1748" operator="beginsWith" text="Entreprise">
      <formula>LEFT(BP207,LEN("Entreprise"))="Entreprise"</formula>
    </cfRule>
    <cfRule type="beginsWith" dxfId="1539" priority="1749" operator="beginsWith" text="TOMIC">
      <formula>LEFT(BP207,LEN("TOMIC"))="TOMIC"</formula>
    </cfRule>
    <cfRule type="beginsWith" dxfId="1538" priority="1750" operator="beginsWith" text="Voltaire">
      <formula>LEFT(BP207,LEN("Voltaire"))="Voltaire"</formula>
    </cfRule>
  </conditionalFormatting>
  <conditionalFormatting sqref="BP214">
    <cfRule type="beginsWith" dxfId="1517" priority="1771" operator="beginsWith" text="Lancement Projet fil rouge">
      <formula>LEFT(BP214,LEN("Lancement Projet fil rouge"))="Lancement Projet fil rouge"</formula>
    </cfRule>
    <cfRule type="beginsWith" dxfId="1516" priority="1772" operator="beginsWith" text="Vacances">
      <formula>LEFT(BP214,LEN("Vacances"))="Vacances"</formula>
    </cfRule>
    <cfRule type="beginsWith" dxfId="1515" priority="1773" operator="beginsWith" text="Séminaire d'intégration">
      <formula>LEFT(BP214,LEN("Séminaire d'intégration"))="Séminaire d'intégration"</formula>
    </cfRule>
    <cfRule type="beginsWith" dxfId="1514" priority="1774" operator="beginsWith" text="Accueil">
      <formula>LEFT(BP214,LEN("Accueil"))="Accueil"</formula>
    </cfRule>
    <cfRule type="beginsWith" dxfId="1513" priority="1775" operator="beginsWith" text="TOPHYC">
      <formula>LEFT(BP214,LEN("TOPHYC"))="TOPHYC"</formula>
    </cfRule>
    <cfRule type="beginsWith" dxfId="1512" priority="1776" operator="beginsWith" text="Global Exam">
      <formula>LEFT(BP214,LEN("Global Exam"))="Global Exam"</formula>
    </cfRule>
    <cfRule type="beginsWith" dxfId="1511" priority="1777" operator="beginsWith" text="Stage">
      <formula>LEFT(BP214,LEN("Stage"))="Stage"</formula>
    </cfRule>
    <cfRule type="beginsWith" dxfId="1510" priority="1778" operator="beginsWith" text="Entreprise">
      <formula>LEFT(BP214,LEN("Entreprise"))="Entreprise"</formula>
    </cfRule>
    <cfRule type="beginsWith" dxfId="1509" priority="1779" operator="beginsWith" text="TOMIC">
      <formula>LEFT(BP214,LEN("TOMIC"))="TOMIC"</formula>
    </cfRule>
    <cfRule type="beginsWith" dxfId="1508" priority="1780" operator="beginsWith" text="Voltaire">
      <formula>LEFT(BP214,LEN("Voltaire"))="Voltaire"</formula>
    </cfRule>
  </conditionalFormatting>
  <conditionalFormatting sqref="BP219">
    <cfRule type="beginsWith" dxfId="1507" priority="1687" operator="beginsWith" text="Lancement Projet fil rouge">
      <formula>LEFT(BP219,LEN("Lancement Projet fil rouge"))="Lancement Projet fil rouge"</formula>
    </cfRule>
    <cfRule type="beginsWith" dxfId="1506" priority="1688" operator="beginsWith" text="Vacances">
      <formula>LEFT(BP219,LEN("Vacances"))="Vacances"</formula>
    </cfRule>
    <cfRule type="beginsWith" dxfId="1505" priority="1689" operator="beginsWith" text="Séminaire d'intégration">
      <formula>LEFT(BP219,LEN("Séminaire d'intégration"))="Séminaire d'intégration"</formula>
    </cfRule>
    <cfRule type="beginsWith" dxfId="1504" priority="1690" operator="beginsWith" text="Accueil">
      <formula>LEFT(BP219,LEN("Accueil"))="Accueil"</formula>
    </cfRule>
    <cfRule type="beginsWith" dxfId="1503" priority="1691" operator="beginsWith" text="TOPHYC">
      <formula>LEFT(BP219,LEN("TOPHYC"))="TOPHYC"</formula>
    </cfRule>
    <cfRule type="beginsWith" dxfId="1502" priority="1692" operator="beginsWith" text="Global Exam">
      <formula>LEFT(BP219,LEN("Global Exam"))="Global Exam"</formula>
    </cfRule>
    <cfRule type="beginsWith" dxfId="1501" priority="1693" operator="beginsWith" text="Stage">
      <formula>LEFT(BP219,LEN("Stage"))="Stage"</formula>
    </cfRule>
    <cfRule type="beginsWith" dxfId="1500" priority="1694" operator="beginsWith" text="Entreprise">
      <formula>LEFT(BP219,LEN("Entreprise"))="Entreprise"</formula>
    </cfRule>
    <cfRule type="beginsWith" dxfId="1499" priority="1695" operator="beginsWith" text="TOMIC">
      <formula>LEFT(BP219,LEN("TOMIC"))="TOMIC"</formula>
    </cfRule>
    <cfRule type="beginsWith" dxfId="1498" priority="1696" operator="beginsWith" text="Voltaire">
      <formula>LEFT(BP219,LEN("Voltaire"))="Voltaire"</formula>
    </cfRule>
  </conditionalFormatting>
  <conditionalFormatting sqref="BP220">
    <cfRule type="beginsWith" dxfId="1497" priority="1791" operator="beginsWith" text="Lancement Projet fil rouge">
      <formula>LEFT(BP220,LEN("Lancement Projet fil rouge"))="Lancement Projet fil rouge"</formula>
    </cfRule>
    <cfRule type="beginsWith" dxfId="1496" priority="1792" operator="beginsWith" text="Vacances">
      <formula>LEFT(BP220,LEN("Vacances"))="Vacances"</formula>
    </cfRule>
    <cfRule type="beginsWith" dxfId="1495" priority="1793" operator="beginsWith" text="Séminaire d'intégration">
      <formula>LEFT(BP220,LEN("Séminaire d'intégration"))="Séminaire d'intégration"</formula>
    </cfRule>
    <cfRule type="beginsWith" dxfId="1494" priority="1794" operator="beginsWith" text="Accueil">
      <formula>LEFT(BP220,LEN("Accueil"))="Accueil"</formula>
    </cfRule>
    <cfRule type="beginsWith" dxfId="1493" priority="1795" operator="beginsWith" text="TOPHYC">
      <formula>LEFT(BP220,LEN("TOPHYC"))="TOPHYC"</formula>
    </cfRule>
    <cfRule type="beginsWith" dxfId="1492" priority="1796" operator="beginsWith" text="Global Exam">
      <formula>LEFT(BP220,LEN("Global Exam"))="Global Exam"</formula>
    </cfRule>
    <cfRule type="beginsWith" dxfId="1491" priority="1797" operator="beginsWith" text="Stage">
      <formula>LEFT(BP220,LEN("Stage"))="Stage"</formula>
    </cfRule>
    <cfRule type="beginsWith" dxfId="1490" priority="1798" operator="beginsWith" text="Entreprise">
      <formula>LEFT(BP220,LEN("Entreprise"))="Entreprise"</formula>
    </cfRule>
    <cfRule type="beginsWith" dxfId="1489" priority="1799" operator="beginsWith" text="TOMIC">
      <formula>LEFT(BP220,LEN("TOMIC"))="TOMIC"</formula>
    </cfRule>
    <cfRule type="beginsWith" dxfId="1488" priority="1800" operator="beginsWith" text="Voltaire">
      <formula>LEFT(BP220,LEN("Voltaire"))="Voltaire"</formula>
    </cfRule>
  </conditionalFormatting>
  <conditionalFormatting sqref="BP6:BP10">
    <cfRule type="beginsWith" dxfId="1443" priority="1885" operator="beginsWith" text="TOPHYC">
      <formula>LEFT(BP6,LEN("TOPHYC"))="TOPHYC"</formula>
    </cfRule>
    <cfRule type="beginsWith" dxfId="1442" priority="1886" operator="beginsWith" text="Global Exam">
      <formula>LEFT(BP6,LEN("Global Exam"))="Global Exam"</formula>
    </cfRule>
    <cfRule type="beginsWith" dxfId="1441" priority="1889" operator="beginsWith" text="TOMIC">
      <formula>LEFT(BP6,LEN("TOMIC"))="TOMIC"</formula>
    </cfRule>
  </conditionalFormatting>
  <conditionalFormatting sqref="BP11:BP15">
    <cfRule type="beginsWith" dxfId="1440" priority="1915" operator="beginsWith" text="TOPHYC">
      <formula>LEFT(BP11,LEN("TOPHYC"))="TOPHYC"</formula>
    </cfRule>
    <cfRule type="beginsWith" dxfId="1439" priority="1916" operator="beginsWith" text="Global Exam">
      <formula>LEFT(BP11,LEN("Global Exam"))="Global Exam"</formula>
    </cfRule>
    <cfRule type="beginsWith" dxfId="1438" priority="1919" operator="beginsWith" text="TOMIC">
      <formula>LEFT(BP11,LEN("TOMIC"))="TOMIC"</formula>
    </cfRule>
  </conditionalFormatting>
  <conditionalFormatting sqref="BP16:BP20">
    <cfRule type="beginsWith" dxfId="1437" priority="1925" operator="beginsWith" text="TOPHYC">
      <formula>LEFT(BP16,LEN("TOPHYC"))="TOPHYC"</formula>
    </cfRule>
    <cfRule type="beginsWith" dxfId="1436" priority="1926" operator="beginsWith" text="Global Exam">
      <formula>LEFT(BP16,LEN("Global Exam"))="Global Exam"</formula>
    </cfRule>
    <cfRule type="beginsWith" dxfId="1435" priority="1929" operator="beginsWith" text="TOMIC">
      <formula>LEFT(BP16,LEN("TOMIC"))="TOMIC"</formula>
    </cfRule>
  </conditionalFormatting>
  <conditionalFormatting sqref="BP21:BP25">
    <cfRule type="beginsWith" dxfId="1434" priority="1905" operator="beginsWith" text="TOPHYC">
      <formula>LEFT(BP21,LEN("TOPHYC"))="TOPHYC"</formula>
    </cfRule>
    <cfRule type="beginsWith" dxfId="1433" priority="1906" operator="beginsWith" text="Global Exam">
      <formula>LEFT(BP21,LEN("Global Exam"))="Global Exam"</formula>
    </cfRule>
    <cfRule type="beginsWith" dxfId="1432" priority="1909" operator="beginsWith" text="TOMIC">
      <formula>LEFT(BP21,LEN("TOMIC"))="TOMIC"</formula>
    </cfRule>
  </conditionalFormatting>
  <conditionalFormatting sqref="BP156:BP157">
    <cfRule type="beginsWith" dxfId="1431" priority="1831" operator="beginsWith" text="Lancement Projet fil rouge">
      <formula>LEFT(BP156,LEN("Lancement Projet fil rouge"))="Lancement Projet fil rouge"</formula>
    </cfRule>
    <cfRule type="beginsWith" dxfId="1430" priority="1832" operator="beginsWith" text="Vacances">
      <formula>LEFT(BP156,LEN("Vacances"))="Vacances"</formula>
    </cfRule>
    <cfRule type="beginsWith" dxfId="1429" priority="1833" operator="beginsWith" text="Séminaire d'intégration">
      <formula>LEFT(BP156,LEN("Séminaire d'intégration"))="Séminaire d'intégration"</formula>
    </cfRule>
    <cfRule type="beginsWith" dxfId="1428" priority="1834" operator="beginsWith" text="Accueil">
      <formula>LEFT(BP156,LEN("Accueil"))="Accueil"</formula>
    </cfRule>
    <cfRule type="beginsWith" dxfId="1427" priority="1835" operator="beginsWith" text="TOPHYC">
      <formula>LEFT(BP156,LEN("TOPHYC"))="TOPHYC"</formula>
    </cfRule>
    <cfRule type="beginsWith" dxfId="1426" priority="1836" operator="beginsWith" text="Global Exam">
      <formula>LEFT(BP156,LEN("Global Exam"))="Global Exam"</formula>
    </cfRule>
    <cfRule type="beginsWith" dxfId="1425" priority="1837" operator="beginsWith" text="Stage">
      <formula>LEFT(BP156,LEN("Stage"))="Stage"</formula>
    </cfRule>
    <cfRule type="beginsWith" dxfId="1424" priority="1838" operator="beginsWith" text="Entreprise">
      <formula>LEFT(BP156,LEN("Entreprise"))="Entreprise"</formula>
    </cfRule>
    <cfRule type="beginsWith" dxfId="1423" priority="1839" operator="beginsWith" text="TOMIC">
      <formula>LEFT(BP156,LEN("TOMIC"))="TOMIC"</formula>
    </cfRule>
    <cfRule type="beginsWith" dxfId="1422" priority="1840" operator="beginsWith" text="Voltaire">
      <formula>LEFT(BP156,LEN("Voltaire"))="Voltaire"</formula>
    </cfRule>
  </conditionalFormatting>
  <conditionalFormatting sqref="BP190">
    <cfRule type="beginsWith" dxfId="1418" priority="1955" operator="beginsWith" text="TOPHYC">
      <formula>LEFT(BP190,LEN("TOPHYC"))="TOPHYC"</formula>
    </cfRule>
    <cfRule type="beginsWith" dxfId="1417" priority="1956" operator="beginsWith" text="Global Exam">
      <formula>LEFT(BP190,LEN("Global Exam"))="Global Exam"</formula>
    </cfRule>
    <cfRule type="beginsWith" dxfId="1416" priority="1959" operator="beginsWith" text="TOMIC">
      <formula>LEFT(BP190,LEN("TOMIC"))="TOMIC"</formula>
    </cfRule>
  </conditionalFormatting>
  <conditionalFormatting sqref="BP206 BP210">
    <cfRule type="beginsWith" dxfId="1415" priority="1971" operator="beginsWith" text="Lancement Projet fil rouge">
      <formula>LEFT(BP206,LEN("Lancement Projet fil rouge"))="Lancement Projet fil rouge"</formula>
    </cfRule>
    <cfRule type="beginsWith" dxfId="1414" priority="1972" operator="beginsWith" text="Vacances">
      <formula>LEFT(BP206,LEN("Vacances"))="Vacances"</formula>
    </cfRule>
    <cfRule type="beginsWith" dxfId="1413" priority="1973" operator="beginsWith" text="Séminaire d'intégration">
      <formula>LEFT(BP206,LEN("Séminaire d'intégration"))="Séminaire d'intégration"</formula>
    </cfRule>
    <cfRule type="beginsWith" dxfId="1412" priority="1974" operator="beginsWith" text="Accueil">
      <formula>LEFT(BP206,LEN("Accueil"))="Accueil"</formula>
    </cfRule>
    <cfRule type="beginsWith" dxfId="1411" priority="1975" operator="beginsWith" text="TOPHYC">
      <formula>LEFT(BP206,LEN("TOPHYC"))="TOPHYC"</formula>
    </cfRule>
    <cfRule type="beginsWith" dxfId="1410" priority="1976" operator="beginsWith" text="Global Exam">
      <formula>LEFT(BP206,LEN("Global Exam"))="Global Exam"</formula>
    </cfRule>
    <cfRule type="beginsWith" dxfId="1409" priority="1977" operator="beginsWith" text="Stage">
      <formula>LEFT(BP206,LEN("Stage"))="Stage"</formula>
    </cfRule>
    <cfRule type="beginsWith" dxfId="1408" priority="1978" operator="beginsWith" text="Entreprise">
      <formula>LEFT(BP206,LEN("Entreprise"))="Entreprise"</formula>
    </cfRule>
    <cfRule type="beginsWith" dxfId="1407" priority="1979" operator="beginsWith" text="TOMIC">
      <formula>LEFT(BP206,LEN("TOMIC"))="TOMIC"</formula>
    </cfRule>
    <cfRule type="beginsWith" dxfId="1406" priority="1980" operator="beginsWith" text="Voltaire">
      <formula>LEFT(BP206,LEN("Voltaire"))="Voltaire"</formula>
    </cfRule>
  </conditionalFormatting>
  <conditionalFormatting sqref="BP216:BP218">
    <cfRule type="beginsWith" dxfId="1405" priority="1981" operator="beginsWith" text="Lancement Projet fil rouge">
      <formula>LEFT(BP216,LEN("Lancement Projet fil rouge"))="Lancement Projet fil rouge"</formula>
    </cfRule>
    <cfRule type="beginsWith" dxfId="1404" priority="1982" operator="beginsWith" text="Vacances">
      <formula>LEFT(BP216,LEN("Vacances"))="Vacances"</formula>
    </cfRule>
    <cfRule type="beginsWith" dxfId="1403" priority="1983" operator="beginsWith" text="Séminaire d'intégration">
      <formula>LEFT(BP216,LEN("Séminaire d'intégration"))="Séminaire d'intégration"</formula>
    </cfRule>
    <cfRule type="beginsWith" dxfId="1402" priority="1984" operator="beginsWith" text="Accueil">
      <formula>LEFT(BP216,LEN("Accueil"))="Accueil"</formula>
    </cfRule>
    <cfRule type="beginsWith" dxfId="1401" priority="1985" operator="beginsWith" text="TOPHYC">
      <formula>LEFT(BP216,LEN("TOPHYC"))="TOPHYC"</formula>
    </cfRule>
    <cfRule type="beginsWith" dxfId="1400" priority="1986" operator="beginsWith" text="Global Exam">
      <formula>LEFT(BP216,LEN("Global Exam"))="Global Exam"</formula>
    </cfRule>
    <cfRule type="beginsWith" dxfId="1399" priority="1987" operator="beginsWith" text="Stage">
      <formula>LEFT(BP216,LEN("Stage"))="Stage"</formula>
    </cfRule>
    <cfRule type="beginsWith" dxfId="1398" priority="1988" operator="beginsWith" text="Entreprise">
      <formula>LEFT(BP216,LEN("Entreprise"))="Entreprise"</formula>
    </cfRule>
    <cfRule type="beginsWith" dxfId="1397" priority="1989" operator="beginsWith" text="TOMIC">
      <formula>LEFT(BP216,LEN("TOMIC"))="TOMIC"</formula>
    </cfRule>
    <cfRule type="beginsWith" dxfId="1396" priority="1990" operator="beginsWith" text="Voltaire">
      <formula>LEFT(BP216,LEN("Voltaire"))="Voltaire"</formula>
    </cfRule>
  </conditionalFormatting>
  <conditionalFormatting sqref="BQ132">
    <cfRule type="beginsWith" dxfId="1392" priority="1580" operator="beginsWith" text="Lancement Projet fil rouge">
      <formula>LEFT(BQ132,LEN("Lancement Projet fil rouge"))="Lancement Projet fil rouge"</formula>
    </cfRule>
    <cfRule type="beginsWith" dxfId="1391" priority="1581" operator="beginsWith" text="Vacances">
      <formula>LEFT(BQ132,LEN("Vacances"))="Vacances"</formula>
    </cfRule>
    <cfRule type="beginsWith" dxfId="1390" priority="1582" operator="beginsWith" text="Séminaire d'intégration">
      <formula>LEFT(BQ132,LEN("Séminaire d'intégration"))="Séminaire d'intégration"</formula>
    </cfRule>
    <cfRule type="beginsWith" dxfId="1389" priority="1583" operator="beginsWith" text="Accueil">
      <formula>LEFT(BQ132,LEN("Accueil"))="Accueil"</formula>
    </cfRule>
    <cfRule type="beginsWith" dxfId="1388" priority="1584" operator="beginsWith" text="Stage">
      <formula>LEFT(BQ132,LEN("Stage"))="Stage"</formula>
    </cfRule>
    <cfRule type="beginsWith" dxfId="1387" priority="1585" operator="beginsWith" text="Entreprise">
      <formula>LEFT(BQ132,LEN("Entreprise"))="Entreprise"</formula>
    </cfRule>
    <cfRule type="beginsWith" dxfId="1386" priority="1586" operator="beginsWith" text="Voltaire">
      <formula>LEFT(BQ132,LEN("Voltaire"))="Voltaire"</formula>
    </cfRule>
  </conditionalFormatting>
  <conditionalFormatting sqref="BP132:BP135">
    <cfRule type="beginsWith" dxfId="1385" priority="1570" operator="beginsWith" text="Lancement Projet fil rouge">
      <formula>LEFT(BP132,LEN("Lancement Projet fil rouge"))="Lancement Projet fil rouge"</formula>
    </cfRule>
    <cfRule type="beginsWith" dxfId="1384" priority="1571" operator="beginsWith" text="Vacances">
      <formula>LEFT(BP132,LEN("Vacances"))="Vacances"</formula>
    </cfRule>
    <cfRule type="beginsWith" dxfId="1383" priority="1572" operator="beginsWith" text="Séminaire d'intégration">
      <formula>LEFT(BP132,LEN("Séminaire d'intégration"))="Séminaire d'intégration"</formula>
    </cfRule>
    <cfRule type="beginsWith" dxfId="1382" priority="1573" operator="beginsWith" text="Accueil">
      <formula>LEFT(BP132,LEN("Accueil"))="Accueil"</formula>
    </cfRule>
    <cfRule type="beginsWith" dxfId="1381" priority="1576" operator="beginsWith" text="Stage">
      <formula>LEFT(BP132,LEN("Stage"))="Stage"</formula>
    </cfRule>
    <cfRule type="beginsWith" dxfId="1380" priority="1577" operator="beginsWith" text="Entreprise">
      <formula>LEFT(BP132,LEN("Entreprise"))="Entreprise"</formula>
    </cfRule>
    <cfRule type="beginsWith" dxfId="1379" priority="1579" operator="beginsWith" text="Voltaire">
      <formula>LEFT(BP132,LEN("Voltaire"))="Voltaire"</formula>
    </cfRule>
  </conditionalFormatting>
  <conditionalFormatting sqref="BP132:BP135">
    <cfRule type="beginsWith" dxfId="1378" priority="1574" operator="beginsWith" text="TOPHYC">
      <formula>LEFT(BP132,LEN("TOPHYC"))="TOPHYC"</formula>
    </cfRule>
    <cfRule type="beginsWith" dxfId="1377" priority="1575" operator="beginsWith" text="Global Exam">
      <formula>LEFT(BP132,LEN("Global Exam"))="Global Exam"</formula>
    </cfRule>
    <cfRule type="beginsWith" dxfId="1376" priority="1578" operator="beginsWith" text="TOMIC">
      <formula>LEFT(BP132,LEN("TOMIC"))="TOMIC"</formula>
    </cfRule>
  </conditionalFormatting>
  <conditionalFormatting sqref="BQ131">
    <cfRule type="beginsWith" dxfId="1375" priority="1563" operator="beginsWith" text="Lancement Projet fil rouge">
      <formula>LEFT(BQ131,LEN("Lancement Projet fil rouge"))="Lancement Projet fil rouge"</formula>
    </cfRule>
    <cfRule type="beginsWith" dxfId="1374" priority="1564" operator="beginsWith" text="Vacances">
      <formula>LEFT(BQ131,LEN("Vacances"))="Vacances"</formula>
    </cfRule>
    <cfRule type="beginsWith" dxfId="1373" priority="1565" operator="beginsWith" text="Séminaire d'intégration">
      <formula>LEFT(BQ131,LEN("Séminaire d'intégration"))="Séminaire d'intégration"</formula>
    </cfRule>
    <cfRule type="beginsWith" dxfId="1372" priority="1566" operator="beginsWith" text="Accueil">
      <formula>LEFT(BQ131,LEN("Accueil"))="Accueil"</formula>
    </cfRule>
    <cfRule type="beginsWith" dxfId="1371" priority="1567" operator="beginsWith" text="Stage">
      <formula>LEFT(BQ131,LEN("Stage"))="Stage"</formula>
    </cfRule>
    <cfRule type="beginsWith" dxfId="1370" priority="1568" operator="beginsWith" text="Entreprise">
      <formula>LEFT(BQ131,LEN("Entreprise"))="Entreprise"</formula>
    </cfRule>
    <cfRule type="beginsWith" dxfId="1369" priority="1569" operator="beginsWith" text="Voltaire">
      <formula>LEFT(BQ131,LEN("Voltaire"))="Voltaire"</formula>
    </cfRule>
  </conditionalFormatting>
  <conditionalFormatting sqref="BQ126">
    <cfRule type="beginsWith" dxfId="1368" priority="1556" operator="beginsWith" text="Lancement Projet fil rouge">
      <formula>LEFT(BQ126,LEN("Lancement Projet fil rouge"))="Lancement Projet fil rouge"</formula>
    </cfRule>
    <cfRule type="beginsWith" dxfId="1367" priority="1557" operator="beginsWith" text="Vacances">
      <formula>LEFT(BQ126,LEN("Vacances"))="Vacances"</formula>
    </cfRule>
    <cfRule type="beginsWith" dxfId="1366" priority="1558" operator="beginsWith" text="Séminaire d'intégration">
      <formula>LEFT(BQ126,LEN("Séminaire d'intégration"))="Séminaire d'intégration"</formula>
    </cfRule>
    <cfRule type="beginsWith" dxfId="1365" priority="1559" operator="beginsWith" text="Accueil">
      <formula>LEFT(BQ126,LEN("Accueil"))="Accueil"</formula>
    </cfRule>
    <cfRule type="beginsWith" dxfId="1364" priority="1560" operator="beginsWith" text="Stage">
      <formula>LEFT(BQ126,LEN("Stage"))="Stage"</formula>
    </cfRule>
    <cfRule type="beginsWith" dxfId="1363" priority="1561" operator="beginsWith" text="Entreprise">
      <formula>LEFT(BQ126,LEN("Entreprise"))="Entreprise"</formula>
    </cfRule>
    <cfRule type="beginsWith" dxfId="1362" priority="1562" operator="beginsWith" text="Voltaire">
      <formula>LEFT(BQ126,LEN("Voltaire"))="Voltaire"</formula>
    </cfRule>
  </conditionalFormatting>
  <conditionalFormatting sqref="BP126">
    <cfRule type="beginsWith" dxfId="1361" priority="1546" operator="beginsWith" text="Lancement Projet fil rouge">
      <formula>LEFT(BP126,LEN("Lancement Projet fil rouge"))="Lancement Projet fil rouge"</formula>
    </cfRule>
    <cfRule type="beginsWith" dxfId="1360" priority="1547" operator="beginsWith" text="Vacances">
      <formula>LEFT(BP126,LEN("Vacances"))="Vacances"</formula>
    </cfRule>
    <cfRule type="beginsWith" dxfId="1359" priority="1548" operator="beginsWith" text="Séminaire d'intégration">
      <formula>LEFT(BP126,LEN("Séminaire d'intégration"))="Séminaire d'intégration"</formula>
    </cfRule>
    <cfRule type="beginsWith" dxfId="1358" priority="1549" operator="beginsWith" text="Accueil">
      <formula>LEFT(BP126,LEN("Accueil"))="Accueil"</formula>
    </cfRule>
    <cfRule type="beginsWith" dxfId="1357" priority="1552" operator="beginsWith" text="Stage">
      <formula>LEFT(BP126,LEN("Stage"))="Stage"</formula>
    </cfRule>
    <cfRule type="beginsWith" dxfId="1356" priority="1553" operator="beginsWith" text="Entreprise">
      <formula>LEFT(BP126,LEN("Entreprise"))="Entreprise"</formula>
    </cfRule>
    <cfRule type="beginsWith" dxfId="1355" priority="1555" operator="beginsWith" text="Voltaire">
      <formula>LEFT(BP126,LEN("Voltaire"))="Voltaire"</formula>
    </cfRule>
  </conditionalFormatting>
  <conditionalFormatting sqref="BP126">
    <cfRule type="beginsWith" dxfId="1354" priority="1550" operator="beginsWith" text="TOPHYC">
      <formula>LEFT(BP126,LEN("TOPHYC"))="TOPHYC"</formula>
    </cfRule>
    <cfRule type="beginsWith" dxfId="1353" priority="1551" operator="beginsWith" text="Global Exam">
      <formula>LEFT(BP126,LEN("Global Exam"))="Global Exam"</formula>
    </cfRule>
    <cfRule type="beginsWith" dxfId="1352" priority="1554" operator="beginsWith" text="TOMIC">
      <formula>LEFT(BP126,LEN("TOMIC"))="TOMIC"</formula>
    </cfRule>
  </conditionalFormatting>
  <conditionalFormatting sqref="BP127:BP129">
    <cfRule type="beginsWith" dxfId="1351" priority="1536" operator="beginsWith" text="Lancement Projet fil rouge">
      <formula>LEFT(BP127,LEN("Lancement Projet fil rouge"))="Lancement Projet fil rouge"</formula>
    </cfRule>
    <cfRule type="beginsWith" dxfId="1350" priority="1537" operator="beginsWith" text="Vacances">
      <formula>LEFT(BP127,LEN("Vacances"))="Vacances"</formula>
    </cfRule>
    <cfRule type="beginsWith" dxfId="1349" priority="1538" operator="beginsWith" text="Séminaire d'intégration">
      <formula>LEFT(BP127,LEN("Séminaire d'intégration"))="Séminaire d'intégration"</formula>
    </cfRule>
    <cfRule type="beginsWith" dxfId="1348" priority="1539" operator="beginsWith" text="Accueil">
      <formula>LEFT(BP127,LEN("Accueil"))="Accueil"</formula>
    </cfRule>
    <cfRule type="beginsWith" dxfId="1347" priority="1542" operator="beginsWith" text="Stage">
      <formula>LEFT(BP127,LEN("Stage"))="Stage"</formula>
    </cfRule>
    <cfRule type="beginsWith" dxfId="1346" priority="1543" operator="beginsWith" text="Entreprise">
      <formula>LEFT(BP127,LEN("Entreprise"))="Entreprise"</formula>
    </cfRule>
    <cfRule type="beginsWith" dxfId="1345" priority="1545" operator="beginsWith" text="Voltaire">
      <formula>LEFT(BP127,LEN("Voltaire"))="Voltaire"</formula>
    </cfRule>
  </conditionalFormatting>
  <conditionalFormatting sqref="BP127:BP129">
    <cfRule type="beginsWith" dxfId="1344" priority="1540" operator="beginsWith" text="TOPHYC">
      <formula>LEFT(BP127,LEN("TOPHYC"))="TOPHYC"</formula>
    </cfRule>
    <cfRule type="beginsWith" dxfId="1343" priority="1541" operator="beginsWith" text="Global Exam">
      <formula>LEFT(BP127,LEN("Global Exam"))="Global Exam"</formula>
    </cfRule>
    <cfRule type="beginsWith" dxfId="1342" priority="1544" operator="beginsWith" text="TOMIC">
      <formula>LEFT(BP127,LEN("TOMIC"))="TOMIC"</formula>
    </cfRule>
  </conditionalFormatting>
  <conditionalFormatting sqref="BP31:BP125">
    <cfRule type="beginsWith" dxfId="1334" priority="1522" operator="beginsWith" text="Lancement Projet fil rouge">
      <formula>LEFT(BP31,LEN("Lancement Projet fil rouge"))="Lancement Projet fil rouge"</formula>
    </cfRule>
  </conditionalFormatting>
  <conditionalFormatting sqref="BP31:BP125">
    <cfRule type="beginsWith" dxfId="1333" priority="1523" operator="beginsWith" text="Vacances">
      <formula>LEFT(BP31,LEN("Vacances"))="Vacances"</formula>
    </cfRule>
  </conditionalFormatting>
  <conditionalFormatting sqref="BP31:BP125">
    <cfRule type="beginsWith" dxfId="1332" priority="1524" operator="beginsWith" text="Séminaire d'intégration">
      <formula>LEFT(BP31,LEN("Séminaire d'intégration"))="Séminaire d'intégration"</formula>
    </cfRule>
  </conditionalFormatting>
  <conditionalFormatting sqref="BP31:BP125">
    <cfRule type="beginsWith" dxfId="1331" priority="1525" operator="beginsWith" text="Accueil">
      <formula>LEFT(BP31,LEN("Accueil"))="Accueil"</formula>
    </cfRule>
  </conditionalFormatting>
  <conditionalFormatting sqref="BP31:BP125">
    <cfRule type="beginsWith" dxfId="1330" priority="1526" operator="beginsWith" text="Stage">
      <formula>LEFT(BP31,LEN("Stage"))="Stage"</formula>
    </cfRule>
    <cfRule type="beginsWith" dxfId="1329" priority="1527" operator="beginsWith" text="Entreprise">
      <formula>LEFT(BP31,LEN("Entreprise"))="Entreprise"</formula>
    </cfRule>
    <cfRule type="beginsWith" dxfId="1328" priority="1528" operator="beginsWith" text="Voltaire">
      <formula>LEFT(BP31,LEN("Voltaire"))="Voltaire"</formula>
    </cfRule>
  </conditionalFormatting>
  <conditionalFormatting sqref="BP26:BP30">
    <cfRule type="beginsWith" dxfId="1327" priority="1515" operator="beginsWith" text="Lancement Projet fil rouge">
      <formula>LEFT(BP26,LEN("Lancement Projet fil rouge"))="Lancement Projet fil rouge"</formula>
    </cfRule>
    <cfRule type="beginsWith" dxfId="1326" priority="1516" operator="beginsWith" text="Vacances">
      <formula>LEFT(BP26,LEN("Vacances"))="Vacances"</formula>
    </cfRule>
    <cfRule type="beginsWith" dxfId="1325" priority="1517" operator="beginsWith" text="Séminaire d'intégration">
      <formula>LEFT(BP26,LEN("Séminaire d'intégration"))="Séminaire d'intégration"</formula>
    </cfRule>
    <cfRule type="beginsWith" dxfId="1324" priority="1518" operator="beginsWith" text="Accueil">
      <formula>LEFT(BP26,LEN("Accueil"))="Accueil"</formula>
    </cfRule>
    <cfRule type="beginsWith" dxfId="1323" priority="1519" operator="beginsWith" text="Stage">
      <formula>LEFT(BP26,LEN("Stage"))="Stage"</formula>
    </cfRule>
    <cfRule type="beginsWith" dxfId="1322" priority="1520" operator="beginsWith" text="Entreprise">
      <formula>LEFT(BP26,LEN("Entreprise"))="Entreprise"</formula>
    </cfRule>
    <cfRule type="beginsWith" dxfId="1321" priority="1521" operator="beginsWith" text="Voltaire">
      <formula>LEFT(BP26,LEN("Voltaire"))="Voltaire"</formula>
    </cfRule>
  </conditionalFormatting>
  <conditionalFormatting sqref="BP140">
    <cfRule type="beginsWith" dxfId="1320" priority="1505" operator="beginsWith" text="Lancement Projet fil rouge">
      <formula>LEFT(BP140,LEN("Lancement Projet fil rouge"))="Lancement Projet fil rouge"</formula>
    </cfRule>
    <cfRule type="beginsWith" dxfId="1319" priority="1506" operator="beginsWith" text="Vacances">
      <formula>LEFT(BP140,LEN("Vacances"))="Vacances"</formula>
    </cfRule>
    <cfRule type="beginsWith" dxfId="1318" priority="1507" operator="beginsWith" text="Séminaire d'intégration">
      <formula>LEFT(BP140,LEN("Séminaire d'intégration"))="Séminaire d'intégration"</formula>
    </cfRule>
    <cfRule type="beginsWith" dxfId="1317" priority="1508" operator="beginsWith" text="Accueil">
      <formula>LEFT(BP140,LEN("Accueil"))="Accueil"</formula>
    </cfRule>
    <cfRule type="beginsWith" dxfId="1316" priority="1511" operator="beginsWith" text="Stage">
      <formula>LEFT(BP140,LEN("Stage"))="Stage"</formula>
    </cfRule>
    <cfRule type="beginsWith" dxfId="1315" priority="1512" operator="beginsWith" text="Entreprise">
      <formula>LEFT(BP140,LEN("Entreprise"))="Entreprise"</formula>
    </cfRule>
    <cfRule type="beginsWith" dxfId="1314" priority="1514" operator="beginsWith" text="Voltaire">
      <formula>LEFT(BP140,LEN("Voltaire"))="Voltaire"</formula>
    </cfRule>
  </conditionalFormatting>
  <conditionalFormatting sqref="BP140">
    <cfRule type="beginsWith" dxfId="1313" priority="1509" operator="beginsWith" text="TOPHYC">
      <formula>LEFT(BP140,LEN("TOPHYC"))="TOPHYC"</formula>
    </cfRule>
    <cfRule type="beginsWith" dxfId="1312" priority="1510" operator="beginsWith" text="Global Exam">
      <formula>LEFT(BP140,LEN("Global Exam"))="Global Exam"</formula>
    </cfRule>
    <cfRule type="beginsWith" dxfId="1311" priority="1513" operator="beginsWith" text="TOMIC">
      <formula>LEFT(BP140,LEN("TOMIC"))="TOMIC"</formula>
    </cfRule>
  </conditionalFormatting>
  <conditionalFormatting sqref="BP158:BP162">
    <cfRule type="beginsWith" dxfId="1310" priority="1495" operator="beginsWith" text="Lancement Projet fil rouge">
      <formula>LEFT(BP158,LEN("Lancement Projet fil rouge"))="Lancement Projet fil rouge"</formula>
    </cfRule>
    <cfRule type="beginsWith" dxfId="1309" priority="1496" operator="beginsWith" text="Vacances">
      <formula>LEFT(BP158,LEN("Vacances"))="Vacances"</formula>
    </cfRule>
    <cfRule type="beginsWith" dxfId="1308" priority="1497" operator="beginsWith" text="Séminaire d'intégration">
      <formula>LEFT(BP158,LEN("Séminaire d'intégration"))="Séminaire d'intégration"</formula>
    </cfRule>
    <cfRule type="beginsWith" dxfId="1307" priority="1498" operator="beginsWith" text="Accueil">
      <formula>LEFT(BP158,LEN("Accueil"))="Accueil"</formula>
    </cfRule>
    <cfRule type="beginsWith" dxfId="1306" priority="1499" operator="beginsWith" text="TOPHYC">
      <formula>LEFT(BP158,LEN("TOPHYC"))="TOPHYC"</formula>
    </cfRule>
    <cfRule type="beginsWith" dxfId="1305" priority="1500" operator="beginsWith" text="Global Exam">
      <formula>LEFT(BP158,LEN("Global Exam"))="Global Exam"</formula>
    </cfRule>
    <cfRule type="beginsWith" dxfId="1304" priority="1501" operator="beginsWith" text="Stage">
      <formula>LEFT(BP158,LEN("Stage"))="Stage"</formula>
    </cfRule>
    <cfRule type="beginsWith" dxfId="1303" priority="1502" operator="beginsWith" text="Entreprise">
      <formula>LEFT(BP158,LEN("Entreprise"))="Entreprise"</formula>
    </cfRule>
    <cfRule type="beginsWith" dxfId="1302" priority="1503" operator="beginsWith" text="TOMIC">
      <formula>LEFT(BP158,LEN("TOMIC"))="TOMIC"</formula>
    </cfRule>
    <cfRule type="beginsWith" dxfId="1301" priority="1504" operator="beginsWith" text="Voltaire">
      <formula>LEFT(BP158,LEN("Voltaire"))="Voltaire"</formula>
    </cfRule>
  </conditionalFormatting>
  <conditionalFormatting sqref="BQ186">
    <cfRule type="beginsWith" dxfId="1300" priority="1488" operator="beginsWith" text="Lancement Projet fil rouge">
      <formula>LEFT(BQ186,LEN("Lancement Projet fil rouge"))="Lancement Projet fil rouge"</formula>
    </cfRule>
    <cfRule type="beginsWith" dxfId="1299" priority="1489" operator="beginsWith" text="Vacances">
      <formula>LEFT(BQ186,LEN("Vacances"))="Vacances"</formula>
    </cfRule>
    <cfRule type="beginsWith" dxfId="1298" priority="1490" operator="beginsWith" text="Séminaire d'intégration">
      <formula>LEFT(BQ186,LEN("Séminaire d'intégration"))="Séminaire d'intégration"</formula>
    </cfRule>
    <cfRule type="beginsWith" dxfId="1297" priority="1491" operator="beginsWith" text="Accueil">
      <formula>LEFT(BQ186,LEN("Accueil"))="Accueil"</formula>
    </cfRule>
    <cfRule type="beginsWith" dxfId="1296" priority="1492" operator="beginsWith" text="Stage">
      <formula>LEFT(BQ186,LEN("Stage"))="Stage"</formula>
    </cfRule>
    <cfRule type="beginsWith" dxfId="1295" priority="1493" operator="beginsWith" text="Entreprise">
      <formula>LEFT(BQ186,LEN("Entreprise"))="Entreprise"</formula>
    </cfRule>
    <cfRule type="beginsWith" dxfId="1294" priority="1494" operator="beginsWith" text="Voltaire">
      <formula>LEFT(BQ186,LEN("Voltaire"))="Voltaire"</formula>
    </cfRule>
  </conditionalFormatting>
  <conditionalFormatting sqref="BP186:BP188">
    <cfRule type="beginsWith" dxfId="1293" priority="1478" operator="beginsWith" text="Lancement Projet fil rouge">
      <formula>LEFT(BP186,LEN("Lancement Projet fil rouge"))="Lancement Projet fil rouge"</formula>
    </cfRule>
  </conditionalFormatting>
  <conditionalFormatting sqref="BP186:BP188">
    <cfRule type="beginsWith" dxfId="1292" priority="1479" operator="beginsWith" text="Vacances">
      <formula>LEFT(BP186,LEN("Vacances"))="Vacances"</formula>
    </cfRule>
  </conditionalFormatting>
  <conditionalFormatting sqref="BP186:BP188">
    <cfRule type="beginsWith" dxfId="1291" priority="1480" operator="beginsWith" text="Séminaire d'intégration">
      <formula>LEFT(BP186,LEN("Séminaire d'intégration"))="Séminaire d'intégration"</formula>
    </cfRule>
  </conditionalFormatting>
  <conditionalFormatting sqref="BP186:BP188">
    <cfRule type="beginsWith" dxfId="1290" priority="1481" operator="beginsWith" text="Accueil">
      <formula>LEFT(BP186,LEN("Accueil"))="Accueil"</formula>
    </cfRule>
  </conditionalFormatting>
  <conditionalFormatting sqref="BP186:BP188">
    <cfRule type="beginsWith" dxfId="1289" priority="1484" operator="beginsWith" text="Stage">
      <formula>LEFT(BP186,LEN("Stage"))="Stage"</formula>
    </cfRule>
    <cfRule type="beginsWith" dxfId="1288" priority="1485" operator="beginsWith" text="Entreprise">
      <formula>LEFT(BP186,LEN("Entreprise"))="Entreprise"</formula>
    </cfRule>
    <cfRule type="beginsWith" dxfId="1287" priority="1487" operator="beginsWith" text="Voltaire">
      <formula>LEFT(BP186,LEN("Voltaire"))="Voltaire"</formula>
    </cfRule>
  </conditionalFormatting>
  <conditionalFormatting sqref="BP186:BP188">
    <cfRule type="beginsWith" dxfId="1286" priority="1482" operator="beginsWith" text="TOPHYC">
      <formula>LEFT(BP186,LEN("TOPHYC"))="TOPHYC"</formula>
    </cfRule>
    <cfRule type="beginsWith" dxfId="1285" priority="1483" operator="beginsWith" text="Global Exam">
      <formula>LEFT(BP186,LEN("Global Exam"))="Global Exam"</formula>
    </cfRule>
    <cfRule type="beginsWith" dxfId="1284" priority="1486" operator="beginsWith" text="TOMIC">
      <formula>LEFT(BP186,LEN("TOMIC"))="TOMIC"</formula>
    </cfRule>
  </conditionalFormatting>
  <conditionalFormatting sqref="BQ191">
    <cfRule type="beginsWith" dxfId="1283" priority="1471" operator="beginsWith" text="Lancement Projet fil rouge">
      <formula>LEFT(BQ191,LEN("Lancement Projet fil rouge"))="Lancement Projet fil rouge"</formula>
    </cfRule>
    <cfRule type="beginsWith" dxfId="1282" priority="1472" operator="beginsWith" text="Vacances">
      <formula>LEFT(BQ191,LEN("Vacances"))="Vacances"</formula>
    </cfRule>
    <cfRule type="beginsWith" dxfId="1281" priority="1473" operator="beginsWith" text="Séminaire d'intégration">
      <formula>LEFT(BQ191,LEN("Séminaire d'intégration"))="Séminaire d'intégration"</formula>
    </cfRule>
    <cfRule type="beginsWith" dxfId="1280" priority="1474" operator="beginsWith" text="Accueil">
      <formula>LEFT(BQ191,LEN("Accueil"))="Accueil"</formula>
    </cfRule>
    <cfRule type="beginsWith" dxfId="1279" priority="1475" operator="beginsWith" text="Stage">
      <formula>LEFT(BQ191,LEN("Stage"))="Stage"</formula>
    </cfRule>
    <cfRule type="beginsWith" dxfId="1278" priority="1476" operator="beginsWith" text="Entreprise">
      <formula>LEFT(BQ191,LEN("Entreprise"))="Entreprise"</formula>
    </cfRule>
    <cfRule type="beginsWith" dxfId="1277" priority="1477" operator="beginsWith" text="Voltaire">
      <formula>LEFT(BQ191,LEN("Voltaire"))="Voltaire"</formula>
    </cfRule>
  </conditionalFormatting>
  <conditionalFormatting sqref="BN51:BN59">
    <cfRule type="beginsWith" dxfId="1276" priority="1463" operator="beginsWith" text="Projet professionnel : Séminaire PFI">
      <formula>LEFT(BN51,LEN("Projet professionnel : Séminaire PFI"))="Projet professionnel : Séminaire PFI"</formula>
    </cfRule>
    <cfRule type="beginsWith" dxfId="1275" priority="1464" operator="beginsWith" text="Lancement Projet fil rouge">
      <formula>LEFT(BN51,LEN("Lancement Projet fil rouge"))="Lancement Projet fil rouge"</formula>
    </cfRule>
    <cfRule type="beginsWith" dxfId="1274" priority="1465" operator="beginsWith" text="Vacances">
      <formula>LEFT(BN51,LEN("Vacances"))="Vacances"</formula>
    </cfRule>
    <cfRule type="beginsWith" dxfId="1273" priority="1466" operator="beginsWith" text="Séminaire d'intégration">
      <formula>LEFT(BN51,LEN("Séminaire d'intégration"))="Séminaire d'intégration"</formula>
    </cfRule>
    <cfRule type="beginsWith" dxfId="1272" priority="1467" operator="beginsWith" text="Accueil">
      <formula>LEFT(BN51,LEN("Accueil"))="Accueil"</formula>
    </cfRule>
    <cfRule type="beginsWith" dxfId="1271" priority="1468" operator="beginsWith" text="Stage">
      <formula>LEFT(BN51,LEN("Stage"))="Stage"</formula>
    </cfRule>
    <cfRule type="beginsWith" dxfId="1270" priority="1469" operator="beginsWith" text="Entreprise">
      <formula>LEFT(BN51,LEN("Entreprise"))="Entreprise"</formula>
    </cfRule>
    <cfRule type="beginsWith" dxfId="1269" priority="1470" operator="beginsWith" text="Voltaire">
      <formula>LEFT(BN51,LEN("Voltaire"))="Voltaire"</formula>
    </cfRule>
  </conditionalFormatting>
  <conditionalFormatting sqref="BN60">
    <cfRule type="beginsWith" dxfId="1268" priority="1455" operator="beginsWith" text="Projet professionnel : Séminaire PFI">
      <formula>LEFT(BN60,LEN("Projet professionnel : Séminaire PFI"))="Projet professionnel : Séminaire PFI"</formula>
    </cfRule>
    <cfRule type="beginsWith" dxfId="1267" priority="1456" operator="beginsWith" text="Lancement Projet fil rouge">
      <formula>LEFT(BN60,LEN("Lancement Projet fil rouge"))="Lancement Projet fil rouge"</formula>
    </cfRule>
    <cfRule type="beginsWith" dxfId="1266" priority="1457" operator="beginsWith" text="Vacances">
      <formula>LEFT(BN60,LEN("Vacances"))="Vacances"</formula>
    </cfRule>
    <cfRule type="beginsWith" dxfId="1265" priority="1458" operator="beginsWith" text="Séminaire d'intégration">
      <formula>LEFT(BN60,LEN("Séminaire d'intégration"))="Séminaire d'intégration"</formula>
    </cfRule>
    <cfRule type="beginsWith" dxfId="1264" priority="1459" operator="beginsWith" text="Accueil">
      <formula>LEFT(BN60,LEN("Accueil"))="Accueil"</formula>
    </cfRule>
    <cfRule type="beginsWith" dxfId="1263" priority="1460" operator="beginsWith" text="Stage">
      <formula>LEFT(BN60,LEN("Stage"))="Stage"</formula>
    </cfRule>
    <cfRule type="beginsWith" dxfId="1262" priority="1461" operator="beginsWith" text="Entreprise">
      <formula>LEFT(BN60,LEN("Entreprise"))="Entreprise"</formula>
    </cfRule>
    <cfRule type="beginsWith" dxfId="1261" priority="1462" operator="beginsWith" text="Voltaire">
      <formula>LEFT(BN60,LEN("Voltaire"))="Voltaire"</formula>
    </cfRule>
  </conditionalFormatting>
  <conditionalFormatting sqref="BN61">
    <cfRule type="beginsWith" dxfId="1260" priority="1447" operator="beginsWith" text="Projet professionnel : Séminaire PFI">
      <formula>LEFT(BN61,LEN("Projet professionnel : Séminaire PFI"))="Projet professionnel : Séminaire PFI"</formula>
    </cfRule>
    <cfRule type="beginsWith" dxfId="1259" priority="1448" operator="beginsWith" text="Lancement Projet fil rouge">
      <formula>LEFT(BN61,LEN("Lancement Projet fil rouge"))="Lancement Projet fil rouge"</formula>
    </cfRule>
    <cfRule type="beginsWith" dxfId="1258" priority="1449" operator="beginsWith" text="Vacances">
      <formula>LEFT(BN61,LEN("Vacances"))="Vacances"</formula>
    </cfRule>
    <cfRule type="beginsWith" dxfId="1257" priority="1450" operator="beginsWith" text="Séminaire d'intégration">
      <formula>LEFT(BN61,LEN("Séminaire d'intégration"))="Séminaire d'intégration"</formula>
    </cfRule>
    <cfRule type="beginsWith" dxfId="1256" priority="1451" operator="beginsWith" text="Accueil">
      <formula>LEFT(BN61,LEN("Accueil"))="Accueil"</formula>
    </cfRule>
    <cfRule type="beginsWith" dxfId="1255" priority="1452" operator="beginsWith" text="Stage">
      <formula>LEFT(BN61,LEN("Stage"))="Stage"</formula>
    </cfRule>
    <cfRule type="beginsWith" dxfId="1254" priority="1453" operator="beginsWith" text="Entreprise">
      <formula>LEFT(BN61,LEN("Entreprise"))="Entreprise"</formula>
    </cfRule>
    <cfRule type="beginsWith" dxfId="1253" priority="1454" operator="beginsWith" text="Voltaire">
      <formula>LEFT(BN61,LEN("Voltaire"))="Voltaire"</formula>
    </cfRule>
  </conditionalFormatting>
  <conditionalFormatting sqref="BN236">
    <cfRule type="beginsWith" dxfId="1252" priority="1440" operator="beginsWith" text="Lancement Projet fil rouge">
      <formula>LEFT(BN236,LEN("Lancement Projet fil rouge"))="Lancement Projet fil rouge"</formula>
    </cfRule>
  </conditionalFormatting>
  <conditionalFormatting sqref="BN226">
    <cfRule type="beginsWith" dxfId="1251" priority="1431" operator="beginsWith" text="Projet professionnel : Séminaire PFI">
      <formula>LEFT(BN226,LEN("Projet professionnel : Séminaire PFI"))="Projet professionnel : Séminaire PFI"</formula>
    </cfRule>
    <cfRule type="beginsWith" dxfId="1250" priority="1432" operator="beginsWith" text="Lancement Projet fil rouge">
      <formula>LEFT(BN226,LEN("Lancement Projet fil rouge"))="Lancement Projet fil rouge"</formula>
    </cfRule>
    <cfRule type="beginsWith" dxfId="1249" priority="1433" operator="beginsWith" text="Vacances">
      <formula>LEFT(BN226,LEN("Vacances"))="Vacances"</formula>
    </cfRule>
    <cfRule type="beginsWith" dxfId="1248" priority="1434" operator="beginsWith" text="Séminaire d'intégration">
      <formula>LEFT(BN226,LEN("Séminaire d'intégration"))="Séminaire d'intégration"</formula>
    </cfRule>
    <cfRule type="beginsWith" dxfId="1247" priority="1435" operator="beginsWith" text="Accueil">
      <formula>LEFT(BN226,LEN("Accueil"))="Accueil"</formula>
    </cfRule>
    <cfRule type="beginsWith" dxfId="1246" priority="1436" operator="beginsWith" text="Stage">
      <formula>LEFT(BN226,LEN("Stage"))="Stage"</formula>
    </cfRule>
    <cfRule type="beginsWith" dxfId="1245" priority="1437" operator="beginsWith" text="Entreprise">
      <formula>LEFT(BN226,LEN("Entreprise"))="Entreprise"</formula>
    </cfRule>
    <cfRule type="beginsWith" dxfId="1244" priority="1438" operator="beginsWith" text="Voltaire">
      <formula>LEFT(BN226,LEN("Voltaire"))="Voltaire"</formula>
    </cfRule>
  </conditionalFormatting>
  <conditionalFormatting sqref="BN236">
    <cfRule type="beginsWith" dxfId="1243" priority="1439" operator="beginsWith" text="Projet professionnel : Séminaire PFI">
      <formula>LEFT(BN236,LEN("Projet professionnel : Séminaire PFI"))="Projet professionnel : Séminaire PFI"</formula>
    </cfRule>
    <cfRule type="beginsWith" dxfId="1242" priority="1441" operator="beginsWith" text="Vacances">
      <formula>LEFT(BN236,LEN("Vacances"))="Vacances"</formula>
    </cfRule>
    <cfRule type="beginsWith" dxfId="1241" priority="1442" operator="beginsWith" text="Séminaire d'intégration">
      <formula>LEFT(BN236,LEN("Séminaire d'intégration"))="Séminaire d'intégration"</formula>
    </cfRule>
    <cfRule type="beginsWith" dxfId="1240" priority="1443" operator="beginsWith" text="Accueil">
      <formula>LEFT(BN236,LEN("Accueil"))="Accueil"</formula>
    </cfRule>
    <cfRule type="beginsWith" dxfId="1239" priority="1444" operator="beginsWith" text="Stage">
      <formula>LEFT(BN236,LEN("Stage"))="Stage"</formula>
    </cfRule>
    <cfRule type="beginsWith" dxfId="1238" priority="1445" operator="beginsWith" text="Entreprise">
      <formula>LEFT(BN236,LEN("Entreprise"))="Entreprise"</formula>
    </cfRule>
    <cfRule type="beginsWith" dxfId="1237" priority="1446" operator="beginsWith" text="Voltaire">
      <formula>LEFT(BN236,LEN("Voltaire"))="Voltaire"</formula>
    </cfRule>
  </conditionalFormatting>
  <conditionalFormatting sqref="BN241">
    <cfRule type="beginsWith" dxfId="1236" priority="1423" operator="beginsWith" text="Projet professionnel : Séminaire PFI">
      <formula>LEFT(BN241,LEN("Projet professionnel : Séminaire PFI"))="Projet professionnel : Séminaire PFI"</formula>
    </cfRule>
    <cfRule type="beginsWith" dxfId="1235" priority="1424" operator="beginsWith" text="Lancement Projet fil rouge">
      <formula>LEFT(BN241,LEN("Lancement Projet fil rouge"))="Lancement Projet fil rouge"</formula>
    </cfRule>
    <cfRule type="beginsWith" dxfId="1234" priority="1425" operator="beginsWith" text="Vacances">
      <formula>LEFT(BN241,LEN("Vacances"))="Vacances"</formula>
    </cfRule>
    <cfRule type="beginsWith" dxfId="1233" priority="1426" operator="beginsWith" text="Séminaire d'intégration">
      <formula>LEFT(BN241,LEN("Séminaire d'intégration"))="Séminaire d'intégration"</formula>
    </cfRule>
    <cfRule type="beginsWith" dxfId="1232" priority="1427" operator="beginsWith" text="Accueil">
      <formula>LEFT(BN241,LEN("Accueil"))="Accueil"</formula>
    </cfRule>
    <cfRule type="beginsWith" dxfId="1231" priority="1428" operator="beginsWith" text="Stage">
      <formula>LEFT(BN241,LEN("Stage"))="Stage"</formula>
    </cfRule>
    <cfRule type="beginsWith" dxfId="1230" priority="1429" operator="beginsWith" text="Entreprise">
      <formula>LEFT(BN241,LEN("Entreprise"))="Entreprise"</formula>
    </cfRule>
    <cfRule type="beginsWith" dxfId="1229" priority="1430" operator="beginsWith" text="Voltaire">
      <formula>LEFT(BN241,LEN("Voltaire"))="Voltaire"</formula>
    </cfRule>
  </conditionalFormatting>
  <conditionalFormatting sqref="CI161">
    <cfRule type="beginsWith" dxfId="1228" priority="1392" operator="beginsWith" text="Lancement Projet fil rouge">
      <formula>LEFT(CI161,LEN("Lancement Projet fil rouge"))="Lancement Projet fil rouge"</formula>
    </cfRule>
  </conditionalFormatting>
  <conditionalFormatting sqref="CI161">
    <cfRule type="beginsWith" dxfId="1227" priority="1393" operator="beginsWith" text="Vacances">
      <formula>LEFT(CI161,LEN("Vacances"))="Vacances"</formula>
    </cfRule>
  </conditionalFormatting>
  <conditionalFormatting sqref="CI161">
    <cfRule type="beginsWith" dxfId="1226" priority="1394" operator="beginsWith" text="Séminaire d'intégration">
      <formula>LEFT(CI161,LEN("Séminaire d'intégration"))="Séminaire d'intégration"</formula>
    </cfRule>
  </conditionalFormatting>
  <conditionalFormatting sqref="CI161">
    <cfRule type="beginsWith" dxfId="1225" priority="1395" operator="beginsWith" text="Accueil">
      <formula>LEFT(CI161,LEN("Accueil"))="Accueil"</formula>
    </cfRule>
  </conditionalFormatting>
  <conditionalFormatting sqref="CI161">
    <cfRule type="beginsWith" dxfId="1224" priority="1396" operator="beginsWith" text="Stage">
      <formula>LEFT(CI161,LEN("Stage"))="Stage"</formula>
    </cfRule>
    <cfRule type="beginsWith" dxfId="1223" priority="1397" operator="beginsWith" text="Entreprise">
      <formula>LEFT(CI161,LEN("Entreprise"))="Entreprise"</formula>
    </cfRule>
    <cfRule type="beginsWith" dxfId="1222" priority="1398" operator="beginsWith" text="Voltaire">
      <formula>LEFT(CI161,LEN("Voltaire"))="Voltaire"</formula>
    </cfRule>
  </conditionalFormatting>
  <conditionalFormatting sqref="AP106:AP110">
    <cfRule type="beginsWith" dxfId="1221" priority="1385" operator="beginsWith" text="Lancement Projet fil rouge">
      <formula>LEFT(AP106,LEN("Lancement Projet fil rouge"))="Lancement Projet fil rouge"</formula>
    </cfRule>
  </conditionalFormatting>
  <conditionalFormatting sqref="AP106:AP110">
    <cfRule type="beginsWith" dxfId="1220" priority="1386" operator="beginsWith" text="Vacances">
      <formula>LEFT(AP106,LEN("Vacances"))="Vacances"</formula>
    </cfRule>
  </conditionalFormatting>
  <conditionalFormatting sqref="AP106:AP110">
    <cfRule type="beginsWith" dxfId="1219" priority="1387" operator="beginsWith" text="Séminaire d'intégration">
      <formula>LEFT(AP106,LEN("Séminaire d'intégration"))="Séminaire d'intégration"</formula>
    </cfRule>
  </conditionalFormatting>
  <conditionalFormatting sqref="AP106:AP110">
    <cfRule type="beginsWith" dxfId="1218" priority="1388" operator="beginsWith" text="Accueil">
      <formula>LEFT(AP106,LEN("Accueil"))="Accueil"</formula>
    </cfRule>
  </conditionalFormatting>
  <conditionalFormatting sqref="AP106:AP110">
    <cfRule type="beginsWith" dxfId="1217" priority="1389" operator="beginsWith" text="Stage">
      <formula>LEFT(AP106,LEN("Stage"))="Stage"</formula>
    </cfRule>
    <cfRule type="beginsWith" dxfId="1216" priority="1390" operator="beginsWith" text="Entreprise">
      <formula>LEFT(AP106,LEN("Entreprise"))="Entreprise"</formula>
    </cfRule>
    <cfRule type="beginsWith" dxfId="1215" priority="1391" operator="beginsWith" text="Voltaire">
      <formula>LEFT(AP106,LEN("Voltaire"))="Voltaire"</formula>
    </cfRule>
  </conditionalFormatting>
  <conditionalFormatting sqref="EH146">
    <cfRule type="beginsWith" dxfId="1214" priority="1377" operator="beginsWith" text="Projet professionnel : Séminaire PFI">
      <formula>LEFT(EH146,LEN("Projet professionnel : Séminaire PFI"))="Projet professionnel : Séminaire PFI"</formula>
    </cfRule>
    <cfRule type="beginsWith" dxfId="1213" priority="1378" operator="beginsWith" text="Lancement Projet fil rouge">
      <formula>LEFT(EH146,LEN("Lancement Projet fil rouge"))="Lancement Projet fil rouge"</formula>
    </cfRule>
    <cfRule type="beginsWith" dxfId="1212" priority="1379" operator="beginsWith" text="Vacances">
      <formula>LEFT(EH146,LEN("Vacances"))="Vacances"</formula>
    </cfRule>
    <cfRule type="beginsWith" dxfId="1211" priority="1380" operator="beginsWith" text="Séminaire d'intégration">
      <formula>LEFT(EH146,LEN("Séminaire d'intégration"))="Séminaire d'intégration"</formula>
    </cfRule>
    <cfRule type="beginsWith" dxfId="1210" priority="1381" operator="beginsWith" text="Accueil">
      <formula>LEFT(EH146,LEN("Accueil"))="Accueil"</formula>
    </cfRule>
    <cfRule type="beginsWith" dxfId="1209" priority="1382" operator="beginsWith" text="Stage">
      <formula>LEFT(EH146,LEN("Stage"))="Stage"</formula>
    </cfRule>
    <cfRule type="beginsWith" dxfId="1208" priority="1383" operator="beginsWith" text="Entreprise">
      <formula>LEFT(EH146,LEN("Entreprise"))="Entreprise"</formula>
    </cfRule>
    <cfRule type="beginsWith" dxfId="1207" priority="1384" operator="beginsWith" text="Voltaire">
      <formula>LEFT(EH146,LEN("Voltaire"))="Voltaire"</formula>
    </cfRule>
  </conditionalFormatting>
  <conditionalFormatting sqref="EH156">
    <cfRule type="beginsWith" dxfId="1206" priority="1369" operator="beginsWith" text="Projet professionnel : Séminaire PFI">
      <formula>LEFT(EH156,LEN("Projet professionnel : Séminaire PFI"))="Projet professionnel : Séminaire PFI"</formula>
    </cfRule>
    <cfRule type="beginsWith" dxfId="1205" priority="1370" operator="beginsWith" text="Lancement Projet fil rouge">
      <formula>LEFT(EH156,LEN("Lancement Projet fil rouge"))="Lancement Projet fil rouge"</formula>
    </cfRule>
    <cfRule type="beginsWith" dxfId="1204" priority="1371" operator="beginsWith" text="Vacances">
      <formula>LEFT(EH156,LEN("Vacances"))="Vacances"</formula>
    </cfRule>
    <cfRule type="beginsWith" dxfId="1203" priority="1372" operator="beginsWith" text="Séminaire d'intégration">
      <formula>LEFT(EH156,LEN("Séminaire d'intégration"))="Séminaire d'intégration"</formula>
    </cfRule>
    <cfRule type="beginsWith" dxfId="1202" priority="1373" operator="beginsWith" text="Accueil">
      <formula>LEFT(EH156,LEN("Accueil"))="Accueil"</formula>
    </cfRule>
    <cfRule type="beginsWith" dxfId="1201" priority="1374" operator="beginsWith" text="Stage">
      <formula>LEFT(EH156,LEN("Stage"))="Stage"</formula>
    </cfRule>
    <cfRule type="beginsWith" dxfId="1200" priority="1375" operator="beginsWith" text="Entreprise">
      <formula>LEFT(EH156,LEN("Entreprise"))="Entreprise"</formula>
    </cfRule>
    <cfRule type="beginsWith" dxfId="1199" priority="1376" operator="beginsWith" text="Voltaire">
      <formula>LEFT(EH156,LEN("Voltaire"))="Voltaire"</formula>
    </cfRule>
  </conditionalFormatting>
  <conditionalFormatting sqref="EH86:EH94">
    <cfRule type="beginsWith" dxfId="1198" priority="1361" operator="beginsWith" text="Projet professionnel : Séminaire PFI">
      <formula>LEFT(EH86,LEN("Projet professionnel : Séminaire PFI"))="Projet professionnel : Séminaire PFI"</formula>
    </cfRule>
    <cfRule type="beginsWith" dxfId="1197" priority="1362" operator="beginsWith" text="Lancement Projet fil rouge">
      <formula>LEFT(EH86,LEN("Lancement Projet fil rouge"))="Lancement Projet fil rouge"</formula>
    </cfRule>
    <cfRule type="beginsWith" dxfId="1196" priority="1363" operator="beginsWith" text="Vacances">
      <formula>LEFT(EH86,LEN("Vacances"))="Vacances"</formula>
    </cfRule>
    <cfRule type="beginsWith" dxfId="1195" priority="1364" operator="beginsWith" text="Séminaire d'intégration">
      <formula>LEFT(EH86,LEN("Séminaire d'intégration"))="Séminaire d'intégration"</formula>
    </cfRule>
    <cfRule type="beginsWith" dxfId="1194" priority="1365" operator="beginsWith" text="Accueil">
      <formula>LEFT(EH86,LEN("Accueil"))="Accueil"</formula>
    </cfRule>
    <cfRule type="beginsWith" dxfId="1193" priority="1366" operator="beginsWith" text="Stage">
      <formula>LEFT(EH86,LEN("Stage"))="Stage"</formula>
    </cfRule>
    <cfRule type="beginsWith" dxfId="1192" priority="1367" operator="beginsWith" text="Entreprise">
      <formula>LEFT(EH86,LEN("Entreprise"))="Entreprise"</formula>
    </cfRule>
    <cfRule type="beginsWith" dxfId="1191" priority="1368" operator="beginsWith" text="Voltaire">
      <formula>LEFT(EH86,LEN("Voltaire"))="Voltaire"</formula>
    </cfRule>
  </conditionalFormatting>
  <conditionalFormatting sqref="EB101">
    <cfRule type="beginsWith" dxfId="1190" priority="1353" operator="beginsWith" text="Projet professionnel : Séminaire PFI">
      <formula>LEFT(EB101,LEN("Projet professionnel : Séminaire PFI"))="Projet professionnel : Séminaire PFI"</formula>
    </cfRule>
    <cfRule type="beginsWith" dxfId="1189" priority="1354" operator="beginsWith" text="Lancement Projet fil rouge">
      <formula>LEFT(EB101,LEN("Lancement Projet fil rouge"))="Lancement Projet fil rouge"</formula>
    </cfRule>
    <cfRule type="beginsWith" dxfId="1188" priority="1355" operator="beginsWith" text="Vacances">
      <formula>LEFT(EB101,LEN("Vacances"))="Vacances"</formula>
    </cfRule>
    <cfRule type="beginsWith" dxfId="1187" priority="1356" operator="beginsWith" text="Séminaire d'intégration">
      <formula>LEFT(EB101,LEN("Séminaire d'intégration"))="Séminaire d'intégration"</formula>
    </cfRule>
    <cfRule type="beginsWith" dxfId="1186" priority="1357" operator="beginsWith" text="Accueil">
      <formula>LEFT(EB101,LEN("Accueil"))="Accueil"</formula>
    </cfRule>
    <cfRule type="beginsWith" dxfId="1185" priority="1358" operator="beginsWith" text="Stage">
      <formula>LEFT(EB101,LEN("Stage"))="Stage"</formula>
    </cfRule>
    <cfRule type="beginsWith" dxfId="1184" priority="1359" operator="beginsWith" text="Entreprise">
      <formula>LEFT(EB101,LEN("Entreprise"))="Entreprise"</formula>
    </cfRule>
    <cfRule type="beginsWith" dxfId="1183" priority="1360" operator="beginsWith" text="Voltaire">
      <formula>LEFT(EB101,LEN("Voltaire"))="Voltaire"</formula>
    </cfRule>
  </conditionalFormatting>
  <conditionalFormatting sqref="EB116">
    <cfRule type="beginsWith" dxfId="1182" priority="1345" operator="beginsWith" text="Projet professionnel : Séminaire PFI">
      <formula>LEFT(EB116,LEN("Projet professionnel : Séminaire PFI"))="Projet professionnel : Séminaire PFI"</formula>
    </cfRule>
    <cfRule type="beginsWith" dxfId="1181" priority="1346" operator="beginsWith" text="Lancement Projet fil rouge">
      <formula>LEFT(EB116,LEN("Lancement Projet fil rouge"))="Lancement Projet fil rouge"</formula>
    </cfRule>
    <cfRule type="beginsWith" dxfId="1180" priority="1347" operator="beginsWith" text="Vacances">
      <formula>LEFT(EB116,LEN("Vacances"))="Vacances"</formula>
    </cfRule>
    <cfRule type="beginsWith" dxfId="1179" priority="1348" operator="beginsWith" text="Séminaire d'intégration">
      <formula>LEFT(EB116,LEN("Séminaire d'intégration"))="Séminaire d'intégration"</formula>
    </cfRule>
    <cfRule type="beginsWith" dxfId="1178" priority="1349" operator="beginsWith" text="Accueil">
      <formula>LEFT(EB116,LEN("Accueil"))="Accueil"</formula>
    </cfRule>
    <cfRule type="beginsWith" dxfId="1177" priority="1350" operator="beginsWith" text="Stage">
      <formula>LEFT(EB116,LEN("Stage"))="Stage"</formula>
    </cfRule>
    <cfRule type="beginsWith" dxfId="1176" priority="1351" operator="beginsWith" text="Entreprise">
      <formula>LEFT(EB116,LEN("Entreprise"))="Entreprise"</formula>
    </cfRule>
    <cfRule type="beginsWith" dxfId="1175" priority="1352" operator="beginsWith" text="Voltaire">
      <formula>LEFT(EB116,LEN("Voltaire"))="Voltaire"</formula>
    </cfRule>
  </conditionalFormatting>
  <conditionalFormatting sqref="EB161">
    <cfRule type="beginsWith" dxfId="1174" priority="1337" operator="beginsWith" text="Projet professionnel : Séminaire PFI">
      <formula>LEFT(EB161,LEN("Projet professionnel : Séminaire PFI"))="Projet professionnel : Séminaire PFI"</formula>
    </cfRule>
    <cfRule type="beginsWith" dxfId="1173" priority="1338" operator="beginsWith" text="Lancement Projet fil rouge">
      <formula>LEFT(EB161,LEN("Lancement Projet fil rouge"))="Lancement Projet fil rouge"</formula>
    </cfRule>
    <cfRule type="beginsWith" dxfId="1172" priority="1339" operator="beginsWith" text="Vacances">
      <formula>LEFT(EB161,LEN("Vacances"))="Vacances"</formula>
    </cfRule>
    <cfRule type="beginsWith" dxfId="1171" priority="1340" operator="beginsWith" text="Séminaire d'intégration">
      <formula>LEFT(EB161,LEN("Séminaire d'intégration"))="Séminaire d'intégration"</formula>
    </cfRule>
    <cfRule type="beginsWith" dxfId="1170" priority="1341" operator="beginsWith" text="Accueil">
      <formula>LEFT(EB161,LEN("Accueil"))="Accueil"</formula>
    </cfRule>
    <cfRule type="beginsWith" dxfId="1169" priority="1342" operator="beginsWith" text="Stage">
      <formula>LEFT(EB161,LEN("Stage"))="Stage"</formula>
    </cfRule>
    <cfRule type="beginsWith" dxfId="1168" priority="1343" operator="beginsWith" text="Entreprise">
      <formula>LEFT(EB161,LEN("Entreprise"))="Entreprise"</formula>
    </cfRule>
    <cfRule type="beginsWith" dxfId="1167" priority="1344" operator="beginsWith" text="Voltaire">
      <formula>LEFT(EB161,LEN("Voltaire"))="Voltaire"</formula>
    </cfRule>
  </conditionalFormatting>
  <conditionalFormatting sqref="EB151:EB156">
    <cfRule type="beginsWith" dxfId="1166" priority="1329" operator="beginsWith" text="Projet professionnel : Séminaire PFI">
      <formula>LEFT(EB151,LEN("Projet professionnel : Séminaire PFI"))="Projet professionnel : Séminaire PFI"</formula>
    </cfRule>
    <cfRule type="beginsWith" dxfId="1165" priority="1330" operator="beginsWith" text="Lancement Projet fil rouge">
      <formula>LEFT(EB151,LEN("Lancement Projet fil rouge"))="Lancement Projet fil rouge"</formula>
    </cfRule>
    <cfRule type="beginsWith" dxfId="1164" priority="1331" operator="beginsWith" text="Vacances">
      <formula>LEFT(EB151,LEN("Vacances"))="Vacances"</formula>
    </cfRule>
    <cfRule type="beginsWith" dxfId="1163" priority="1332" operator="beginsWith" text="Séminaire d'intégration">
      <formula>LEFT(EB151,LEN("Séminaire d'intégration"))="Séminaire d'intégration"</formula>
    </cfRule>
    <cfRule type="beginsWith" dxfId="1162" priority="1333" operator="beginsWith" text="Accueil">
      <formula>LEFT(EB151,LEN("Accueil"))="Accueil"</formula>
    </cfRule>
    <cfRule type="beginsWith" dxfId="1161" priority="1334" operator="beginsWith" text="Stage">
      <formula>LEFT(EB151,LEN("Stage"))="Stage"</formula>
    </cfRule>
    <cfRule type="beginsWith" dxfId="1160" priority="1335" operator="beginsWith" text="Entreprise">
      <formula>LEFT(EB151,LEN("Entreprise"))="Entreprise"</formula>
    </cfRule>
    <cfRule type="beginsWith" dxfId="1159" priority="1336" operator="beginsWith" text="Voltaire">
      <formula>LEFT(EB151,LEN("Voltaire"))="Voltaire"</formula>
    </cfRule>
  </conditionalFormatting>
  <conditionalFormatting sqref="EB176">
    <cfRule type="beginsWith" dxfId="1158" priority="1321" operator="beginsWith" text="Projet professionnel : Séminaire PFI">
      <formula>LEFT(EB176,LEN("Projet professionnel : Séminaire PFI"))="Projet professionnel : Séminaire PFI"</formula>
    </cfRule>
    <cfRule type="beginsWith" dxfId="1157" priority="1322" operator="beginsWith" text="Lancement Projet fil rouge">
      <formula>LEFT(EB176,LEN("Lancement Projet fil rouge"))="Lancement Projet fil rouge"</formula>
    </cfRule>
    <cfRule type="beginsWith" dxfId="1156" priority="1323" operator="beginsWith" text="Vacances">
      <formula>LEFT(EB176,LEN("Vacances"))="Vacances"</formula>
    </cfRule>
    <cfRule type="beginsWith" dxfId="1155" priority="1324" operator="beginsWith" text="Séminaire d'intégration">
      <formula>LEFT(EB176,LEN("Séminaire d'intégration"))="Séminaire d'intégration"</formula>
    </cfRule>
    <cfRule type="beginsWith" dxfId="1154" priority="1325" operator="beginsWith" text="Accueil">
      <formula>LEFT(EB176,LEN("Accueil"))="Accueil"</formula>
    </cfRule>
    <cfRule type="beginsWith" dxfId="1153" priority="1326" operator="beginsWith" text="Stage">
      <formula>LEFT(EB176,LEN("Stage"))="Stage"</formula>
    </cfRule>
    <cfRule type="beginsWith" dxfId="1152" priority="1327" operator="beginsWith" text="Entreprise">
      <formula>LEFT(EB176,LEN("Entreprise"))="Entreprise"</formula>
    </cfRule>
    <cfRule type="beginsWith" dxfId="1151" priority="1328" operator="beginsWith" text="Voltaire">
      <formula>LEFT(EB176,LEN("Voltaire"))="Voltaire"</formula>
    </cfRule>
  </conditionalFormatting>
  <conditionalFormatting sqref="EF176:EF180">
    <cfRule type="beginsWith" dxfId="1150" priority="1311" operator="beginsWith" text="Lancement Projet fil rouge">
      <formula>LEFT(EF176,LEN("Lancement Projet fil rouge"))="Lancement Projet fil rouge"</formula>
    </cfRule>
  </conditionalFormatting>
  <conditionalFormatting sqref="EF176:EF180">
    <cfRule type="beginsWith" dxfId="1149" priority="1312" operator="beginsWith" text="Vacances">
      <formula>LEFT(EF176,LEN("Vacances"))="Vacances"</formula>
    </cfRule>
  </conditionalFormatting>
  <conditionalFormatting sqref="EF176:EF180">
    <cfRule type="beginsWith" dxfId="1148" priority="1313" operator="beginsWith" text="Séminaire d'intégration">
      <formula>LEFT(EF176,LEN("Séminaire d'intégration"))="Séminaire d'intégration"</formula>
    </cfRule>
  </conditionalFormatting>
  <conditionalFormatting sqref="EF176:EF180">
    <cfRule type="beginsWith" dxfId="1147" priority="1314" operator="beginsWith" text="Accueil">
      <formula>LEFT(EF176,LEN("Accueil"))="Accueil"</formula>
    </cfRule>
  </conditionalFormatting>
  <conditionalFormatting sqref="EF176:EF180">
    <cfRule type="beginsWith" dxfId="1146" priority="1317" operator="beginsWith" text="Stage">
      <formula>LEFT(EF176,LEN("Stage"))="Stage"</formula>
    </cfRule>
    <cfRule type="beginsWith" dxfId="1145" priority="1318" operator="beginsWith" text="Entreprise">
      <formula>LEFT(EF176,LEN("Entreprise"))="Entreprise"</formula>
    </cfRule>
    <cfRule type="beginsWith" dxfId="1144" priority="1320" operator="beginsWith" text="Voltaire">
      <formula>LEFT(EF176,LEN("Voltaire"))="Voltaire"</formula>
    </cfRule>
  </conditionalFormatting>
  <conditionalFormatting sqref="EF176:EF180">
    <cfRule type="beginsWith" dxfId="1143" priority="1315" operator="beginsWith" text="TOPHYC">
      <formula>LEFT(EF176,LEN("TOPHYC"))="TOPHYC"</formula>
    </cfRule>
    <cfRule type="beginsWith" dxfId="1142" priority="1316" operator="beginsWith" text="Global Exam">
      <formula>LEFT(EF176,LEN("Global Exam"))="Global Exam"</formula>
    </cfRule>
    <cfRule type="beginsWith" dxfId="1141" priority="1319" operator="beginsWith" text="TOMIC">
      <formula>LEFT(EF176,LEN("TOMIC"))="TOMIC"</formula>
    </cfRule>
  </conditionalFormatting>
  <conditionalFormatting sqref="EF181:EF185">
    <cfRule type="beginsWith" dxfId="1140" priority="1301" operator="beginsWith" text="Lancement Projet fil rouge">
      <formula>LEFT(EF181,LEN("Lancement Projet fil rouge"))="Lancement Projet fil rouge"</formula>
    </cfRule>
  </conditionalFormatting>
  <conditionalFormatting sqref="EF181:EF185">
    <cfRule type="beginsWith" dxfId="1139" priority="1302" operator="beginsWith" text="Vacances">
      <formula>LEFT(EF181,LEN("Vacances"))="Vacances"</formula>
    </cfRule>
  </conditionalFormatting>
  <conditionalFormatting sqref="EF181:EF185">
    <cfRule type="beginsWith" dxfId="1138" priority="1303" operator="beginsWith" text="Séminaire d'intégration">
      <formula>LEFT(EF181,LEN("Séminaire d'intégration"))="Séminaire d'intégration"</formula>
    </cfRule>
  </conditionalFormatting>
  <conditionalFormatting sqref="EF181:EF185">
    <cfRule type="beginsWith" dxfId="1137" priority="1304" operator="beginsWith" text="Accueil">
      <formula>LEFT(EF181,LEN("Accueil"))="Accueil"</formula>
    </cfRule>
  </conditionalFormatting>
  <conditionalFormatting sqref="EF181:EF185">
    <cfRule type="beginsWith" dxfId="1136" priority="1307" operator="beginsWith" text="Stage">
      <formula>LEFT(EF181,LEN("Stage"))="Stage"</formula>
    </cfRule>
    <cfRule type="beginsWith" dxfId="1135" priority="1308" operator="beginsWith" text="Entreprise">
      <formula>LEFT(EF181,LEN("Entreprise"))="Entreprise"</formula>
    </cfRule>
    <cfRule type="beginsWith" dxfId="1134" priority="1310" operator="beginsWith" text="Voltaire">
      <formula>LEFT(EF181,LEN("Voltaire"))="Voltaire"</formula>
    </cfRule>
  </conditionalFormatting>
  <conditionalFormatting sqref="EF181:EF185">
    <cfRule type="beginsWith" dxfId="1133" priority="1305" operator="beginsWith" text="TOPHYC">
      <formula>LEFT(EF181,LEN("TOPHYC"))="TOPHYC"</formula>
    </cfRule>
    <cfRule type="beginsWith" dxfId="1132" priority="1306" operator="beginsWith" text="Global Exam">
      <formula>LEFT(EF181,LEN("Global Exam"))="Global Exam"</formula>
    </cfRule>
    <cfRule type="beginsWith" dxfId="1131" priority="1309" operator="beginsWith" text="TOMIC">
      <formula>LEFT(EF181,LEN("TOMIC"))="TOMIC"</formula>
    </cfRule>
  </conditionalFormatting>
  <conditionalFormatting sqref="DU181">
    <cfRule type="beginsWith" dxfId="1130" priority="1293" operator="beginsWith" text="Projet professionnel : Séminaire PFI">
      <formula>LEFT(DU181,LEN("Projet professionnel : Séminaire PFI"))="Projet professionnel : Séminaire PFI"</formula>
    </cfRule>
    <cfRule type="beginsWith" dxfId="1129" priority="1294" operator="beginsWith" text="Lancement Projet fil rouge">
      <formula>LEFT(DU181,LEN("Lancement Projet fil rouge"))="Lancement Projet fil rouge"</formula>
    </cfRule>
    <cfRule type="beginsWith" dxfId="1128" priority="1295" operator="beginsWith" text="Vacances">
      <formula>LEFT(DU181,LEN("Vacances"))="Vacances"</formula>
    </cfRule>
    <cfRule type="beginsWith" dxfId="1127" priority="1296" operator="beginsWith" text="Séminaire d'intégration">
      <formula>LEFT(DU181,LEN("Séminaire d'intégration"))="Séminaire d'intégration"</formula>
    </cfRule>
    <cfRule type="beginsWith" dxfId="1126" priority="1297" operator="beginsWith" text="Accueil">
      <formula>LEFT(DU181,LEN("Accueil"))="Accueil"</formula>
    </cfRule>
    <cfRule type="beginsWith" dxfId="1125" priority="1298" operator="beginsWith" text="Stage">
      <formula>LEFT(DU181,LEN("Stage"))="Stage"</formula>
    </cfRule>
    <cfRule type="beginsWith" dxfId="1124" priority="1299" operator="beginsWith" text="Entreprise">
      <formula>LEFT(DU181,LEN("Entreprise"))="Entreprise"</formula>
    </cfRule>
    <cfRule type="beginsWith" dxfId="1123" priority="1300" operator="beginsWith" text="Voltaire">
      <formula>LEFT(DU181,LEN("Voltaire"))="Voltaire"</formula>
    </cfRule>
  </conditionalFormatting>
  <conditionalFormatting sqref="DU131">
    <cfRule type="beginsWith" dxfId="1122" priority="1285" operator="beginsWith" text="Projet professionnel : Séminaire PFI">
      <formula>LEFT(DU131,LEN("Projet professionnel : Séminaire PFI"))="Projet professionnel : Séminaire PFI"</formula>
    </cfRule>
    <cfRule type="beginsWith" dxfId="1121" priority="1286" operator="beginsWith" text="Lancement Projet fil rouge">
      <formula>LEFT(DU131,LEN("Lancement Projet fil rouge"))="Lancement Projet fil rouge"</formula>
    </cfRule>
    <cfRule type="beginsWith" dxfId="1120" priority="1287" operator="beginsWith" text="Vacances">
      <formula>LEFT(DU131,LEN("Vacances"))="Vacances"</formula>
    </cfRule>
    <cfRule type="beginsWith" dxfId="1119" priority="1288" operator="beginsWith" text="Séminaire d'intégration">
      <formula>LEFT(DU131,LEN("Séminaire d'intégration"))="Séminaire d'intégration"</formula>
    </cfRule>
    <cfRule type="beginsWith" dxfId="1118" priority="1289" operator="beginsWith" text="Accueil">
      <formula>LEFT(DU131,LEN("Accueil"))="Accueil"</formula>
    </cfRule>
    <cfRule type="beginsWith" dxfId="1117" priority="1290" operator="beginsWith" text="Stage">
      <formula>LEFT(DU131,LEN("Stage"))="Stage"</formula>
    </cfRule>
    <cfRule type="beginsWith" dxfId="1116" priority="1291" operator="beginsWith" text="Entreprise">
      <formula>LEFT(DU131,LEN("Entreprise"))="Entreprise"</formula>
    </cfRule>
    <cfRule type="beginsWith" dxfId="1115" priority="1292" operator="beginsWith" text="Voltaire">
      <formula>LEFT(DU131,LEN("Voltaire"))="Voltaire"</formula>
    </cfRule>
  </conditionalFormatting>
  <conditionalFormatting sqref="DU136">
    <cfRule type="beginsWith" dxfId="1114" priority="1277" operator="beginsWith" text="Projet professionnel : Séminaire PFI">
      <formula>LEFT(DU136,LEN("Projet professionnel : Séminaire PFI"))="Projet professionnel : Séminaire PFI"</formula>
    </cfRule>
    <cfRule type="beginsWith" dxfId="1113" priority="1278" operator="beginsWith" text="Lancement Projet fil rouge">
      <formula>LEFT(DU136,LEN("Lancement Projet fil rouge"))="Lancement Projet fil rouge"</formula>
    </cfRule>
    <cfRule type="beginsWith" dxfId="1112" priority="1279" operator="beginsWith" text="Vacances">
      <formula>LEFT(DU136,LEN("Vacances"))="Vacances"</formula>
    </cfRule>
    <cfRule type="beginsWith" dxfId="1111" priority="1280" operator="beginsWith" text="Séminaire d'intégration">
      <formula>LEFT(DU136,LEN("Séminaire d'intégration"))="Séminaire d'intégration"</formula>
    </cfRule>
    <cfRule type="beginsWith" dxfId="1110" priority="1281" operator="beginsWith" text="Accueil">
      <formula>LEFT(DU136,LEN("Accueil"))="Accueil"</formula>
    </cfRule>
    <cfRule type="beginsWith" dxfId="1109" priority="1282" operator="beginsWith" text="Stage">
      <formula>LEFT(DU136,LEN("Stage"))="Stage"</formula>
    </cfRule>
    <cfRule type="beginsWith" dxfId="1108" priority="1283" operator="beginsWith" text="Entreprise">
      <formula>LEFT(DU136,LEN("Entreprise"))="Entreprise"</formula>
    </cfRule>
    <cfRule type="beginsWith" dxfId="1107" priority="1284" operator="beginsWith" text="Voltaire">
      <formula>LEFT(DU136,LEN("Voltaire"))="Voltaire"</formula>
    </cfRule>
  </conditionalFormatting>
  <conditionalFormatting sqref="DU101">
    <cfRule type="beginsWith" dxfId="1106" priority="1269" operator="beginsWith" text="Projet professionnel : Séminaire PFI">
      <formula>LEFT(DU101,LEN("Projet professionnel : Séminaire PFI"))="Projet professionnel : Séminaire PFI"</formula>
    </cfRule>
    <cfRule type="beginsWith" dxfId="1105" priority="1270" operator="beginsWith" text="Lancement Projet fil rouge">
      <formula>LEFT(DU101,LEN("Lancement Projet fil rouge"))="Lancement Projet fil rouge"</formula>
    </cfRule>
    <cfRule type="beginsWith" dxfId="1104" priority="1271" operator="beginsWith" text="Vacances">
      <formula>LEFT(DU101,LEN("Vacances"))="Vacances"</formula>
    </cfRule>
    <cfRule type="beginsWith" dxfId="1103" priority="1272" operator="beginsWith" text="Séminaire d'intégration">
      <formula>LEFT(DU101,LEN("Séminaire d'intégration"))="Séminaire d'intégration"</formula>
    </cfRule>
    <cfRule type="beginsWith" dxfId="1102" priority="1273" operator="beginsWith" text="Accueil">
      <formula>LEFT(DU101,LEN("Accueil"))="Accueil"</formula>
    </cfRule>
    <cfRule type="beginsWith" dxfId="1101" priority="1274" operator="beginsWith" text="Stage">
      <formula>LEFT(DU101,LEN("Stage"))="Stage"</formula>
    </cfRule>
    <cfRule type="beginsWith" dxfId="1100" priority="1275" operator="beginsWith" text="Entreprise">
      <formula>LEFT(DU101,LEN("Entreprise"))="Entreprise"</formula>
    </cfRule>
    <cfRule type="beginsWith" dxfId="1099" priority="1276" operator="beginsWith" text="Voltaire">
      <formula>LEFT(DU101,LEN("Voltaire"))="Voltaire"</formula>
    </cfRule>
  </conditionalFormatting>
  <conditionalFormatting sqref="DU76">
    <cfRule type="beginsWith" dxfId="1098" priority="1261" operator="beginsWith" text="Projet professionnel : Séminaire PFI">
      <formula>LEFT(DU76,LEN("Projet professionnel : Séminaire PFI"))="Projet professionnel : Séminaire PFI"</formula>
    </cfRule>
    <cfRule type="beginsWith" dxfId="1097" priority="1262" operator="beginsWith" text="Lancement Projet fil rouge">
      <formula>LEFT(DU76,LEN("Lancement Projet fil rouge"))="Lancement Projet fil rouge"</formula>
    </cfRule>
    <cfRule type="beginsWith" dxfId="1096" priority="1263" operator="beginsWith" text="Vacances">
      <formula>LEFT(DU76,LEN("Vacances"))="Vacances"</formula>
    </cfRule>
    <cfRule type="beginsWith" dxfId="1095" priority="1264" operator="beginsWith" text="Séminaire d'intégration">
      <formula>LEFT(DU76,LEN("Séminaire d'intégration"))="Séminaire d'intégration"</formula>
    </cfRule>
    <cfRule type="beginsWith" dxfId="1094" priority="1265" operator="beginsWith" text="Accueil">
      <formula>LEFT(DU76,LEN("Accueil"))="Accueil"</formula>
    </cfRule>
    <cfRule type="beginsWith" dxfId="1093" priority="1266" operator="beginsWith" text="Stage">
      <formula>LEFT(DU76,LEN("Stage"))="Stage"</formula>
    </cfRule>
    <cfRule type="beginsWith" dxfId="1092" priority="1267" operator="beginsWith" text="Entreprise">
      <formula>LEFT(DU76,LEN("Entreprise"))="Entreprise"</formula>
    </cfRule>
    <cfRule type="beginsWith" dxfId="1091" priority="1268" operator="beginsWith" text="Voltaire">
      <formula>LEFT(DU76,LEN("Voltaire"))="Voltaire"</formula>
    </cfRule>
  </conditionalFormatting>
  <conditionalFormatting sqref="CH191:CH198">
    <cfRule type="beginsWith" dxfId="1090" priority="961" operator="beginsWith" text="Projet professionnel : Séminaire PFI">
      <formula>LEFT(CH191,LEN("Projet professionnel : Séminaire PFI"))="Projet professionnel : Séminaire PFI"</formula>
    </cfRule>
    <cfRule type="beginsWith" dxfId="1089" priority="962" operator="beginsWith" text="Lancement Projet fil rouge">
      <formula>LEFT(CH191,LEN("Lancement Projet fil rouge"))="Lancement Projet fil rouge"</formula>
    </cfRule>
    <cfRule type="beginsWith" dxfId="1088" priority="963" operator="beginsWith" text="Vacances">
      <formula>LEFT(CH191,LEN("Vacances"))="Vacances"</formula>
    </cfRule>
    <cfRule type="beginsWith" dxfId="1087" priority="964" operator="beginsWith" text="Séminaire d'intégration">
      <formula>LEFT(CH191,LEN("Séminaire d'intégration"))="Séminaire d'intégration"</formula>
    </cfRule>
    <cfRule type="beginsWith" dxfId="1086" priority="965" operator="beginsWith" text="Accueil">
      <formula>LEFT(CH191,LEN("Accueil"))="Accueil"</formula>
    </cfRule>
    <cfRule type="beginsWith" dxfId="1085" priority="966" operator="beginsWith" text="Stage">
      <formula>LEFT(CH191,LEN("Stage"))="Stage"</formula>
    </cfRule>
    <cfRule type="beginsWith" dxfId="1084" priority="967" operator="beginsWith" text="Entreprise">
      <formula>LEFT(CH191,LEN("Entreprise"))="Entreprise"</formula>
    </cfRule>
    <cfRule type="beginsWith" dxfId="1083" priority="968" operator="beginsWith" text="Voltaire">
      <formula>LEFT(CH191,LEN("Voltaire"))="Voltaire"</formula>
    </cfRule>
  </conditionalFormatting>
  <conditionalFormatting sqref="DO140:DO145">
    <cfRule type="beginsWith" dxfId="1082" priority="1245" operator="beginsWith" text="Projet professionnel : Séminaire PFI">
      <formula>LEFT(DO140,LEN("Projet professionnel : Séminaire PFI"))="Projet professionnel : Séminaire PFI"</formula>
    </cfRule>
    <cfRule type="beginsWith" dxfId="1081" priority="1246" operator="beginsWith" text="Lancement Projet fil rouge">
      <formula>LEFT(DO140,LEN("Lancement Projet fil rouge"))="Lancement Projet fil rouge"</formula>
    </cfRule>
    <cfRule type="beginsWith" dxfId="1080" priority="1247" operator="beginsWith" text="Vacances">
      <formula>LEFT(DO140,LEN("Vacances"))="Vacances"</formula>
    </cfRule>
    <cfRule type="beginsWith" dxfId="1079" priority="1248" operator="beginsWith" text="Séminaire d'intégration">
      <formula>LEFT(DO140,LEN("Séminaire d'intégration"))="Séminaire d'intégration"</formula>
    </cfRule>
    <cfRule type="beginsWith" dxfId="1078" priority="1249" operator="beginsWith" text="Accueil">
      <formula>LEFT(DO140,LEN("Accueil"))="Accueil"</formula>
    </cfRule>
    <cfRule type="beginsWith" dxfId="1077" priority="1250" operator="beginsWith" text="Stage">
      <formula>LEFT(DO140,LEN("Stage"))="Stage"</formula>
    </cfRule>
    <cfRule type="beginsWith" dxfId="1076" priority="1251" operator="beginsWith" text="Entreprise">
      <formula>LEFT(DO140,LEN("Entreprise"))="Entreprise"</formula>
    </cfRule>
    <cfRule type="beginsWith" dxfId="1075" priority="1252" operator="beginsWith" text="Voltaire">
      <formula>LEFT(DO140,LEN("Voltaire"))="Voltaire"</formula>
    </cfRule>
  </conditionalFormatting>
  <conditionalFormatting sqref="DO81:DO86">
    <cfRule type="beginsWith" dxfId="1074" priority="1237" operator="beginsWith" text="Projet professionnel : Séminaire PFI">
      <formula>LEFT(DO81,LEN("Projet professionnel : Séminaire PFI"))="Projet professionnel : Séminaire PFI"</formula>
    </cfRule>
    <cfRule type="beginsWith" dxfId="1073" priority="1238" operator="beginsWith" text="Lancement Projet fil rouge">
      <formula>LEFT(DO81,LEN("Lancement Projet fil rouge"))="Lancement Projet fil rouge"</formula>
    </cfRule>
    <cfRule type="beginsWith" dxfId="1072" priority="1239" operator="beginsWith" text="Vacances">
      <formula>LEFT(DO81,LEN("Vacances"))="Vacances"</formula>
    </cfRule>
    <cfRule type="beginsWith" dxfId="1071" priority="1240" operator="beginsWith" text="Séminaire d'intégration">
      <formula>LEFT(DO81,LEN("Séminaire d'intégration"))="Séminaire d'intégration"</formula>
    </cfRule>
    <cfRule type="beginsWith" dxfId="1070" priority="1241" operator="beginsWith" text="Accueil">
      <formula>LEFT(DO81,LEN("Accueil"))="Accueil"</formula>
    </cfRule>
    <cfRule type="beginsWith" dxfId="1069" priority="1242" operator="beginsWith" text="Stage">
      <formula>LEFT(DO81,LEN("Stage"))="Stage"</formula>
    </cfRule>
    <cfRule type="beginsWith" dxfId="1068" priority="1243" operator="beginsWith" text="Entreprise">
      <formula>LEFT(DO81,LEN("Entreprise"))="Entreprise"</formula>
    </cfRule>
    <cfRule type="beginsWith" dxfId="1067" priority="1244" operator="beginsWith" text="Voltaire">
      <formula>LEFT(DO81,LEN("Voltaire"))="Voltaire"</formula>
    </cfRule>
  </conditionalFormatting>
  <conditionalFormatting sqref="DI111">
    <cfRule type="beginsWith" dxfId="1066" priority="1229" operator="beginsWith" text="Projet professionnel : Séminaire PFI">
      <formula>LEFT(DI111,LEN("Projet professionnel : Séminaire PFI"))="Projet professionnel : Séminaire PFI"</formula>
    </cfRule>
    <cfRule type="beginsWith" dxfId="1065" priority="1230" operator="beginsWith" text="Lancement Projet fil rouge">
      <formula>LEFT(DI111,LEN("Lancement Projet fil rouge"))="Lancement Projet fil rouge"</formula>
    </cfRule>
    <cfRule type="beginsWith" dxfId="1064" priority="1231" operator="beginsWith" text="Vacances">
      <formula>LEFT(DI111,LEN("Vacances"))="Vacances"</formula>
    </cfRule>
    <cfRule type="beginsWith" dxfId="1063" priority="1232" operator="beginsWith" text="Séminaire d'intégration">
      <formula>LEFT(DI111,LEN("Séminaire d'intégration"))="Séminaire d'intégration"</formula>
    </cfRule>
    <cfRule type="beginsWith" dxfId="1062" priority="1233" operator="beginsWith" text="Accueil">
      <formula>LEFT(DI111,LEN("Accueil"))="Accueil"</formula>
    </cfRule>
    <cfRule type="beginsWith" dxfId="1061" priority="1234" operator="beginsWith" text="Stage">
      <formula>LEFT(DI111,LEN("Stage"))="Stage"</formula>
    </cfRule>
    <cfRule type="beginsWith" dxfId="1060" priority="1235" operator="beginsWith" text="Entreprise">
      <formula>LEFT(DI111,LEN("Entreprise"))="Entreprise"</formula>
    </cfRule>
    <cfRule type="beginsWith" dxfId="1059" priority="1236" operator="beginsWith" text="Voltaire">
      <formula>LEFT(DI111,LEN("Voltaire"))="Voltaire"</formula>
    </cfRule>
  </conditionalFormatting>
  <conditionalFormatting sqref="DI86:DI93">
    <cfRule type="beginsWith" dxfId="1058" priority="1221" operator="beginsWith" text="Projet professionnel : Séminaire PFI">
      <formula>LEFT(DI86,LEN("Projet professionnel : Séminaire PFI"))="Projet professionnel : Séminaire PFI"</formula>
    </cfRule>
    <cfRule type="beginsWith" dxfId="1057" priority="1222" operator="beginsWith" text="Lancement Projet fil rouge">
      <formula>LEFT(DI86,LEN("Lancement Projet fil rouge"))="Lancement Projet fil rouge"</formula>
    </cfRule>
    <cfRule type="beginsWith" dxfId="1056" priority="1223" operator="beginsWith" text="Vacances">
      <formula>LEFT(DI86,LEN("Vacances"))="Vacances"</formula>
    </cfRule>
    <cfRule type="beginsWith" dxfId="1055" priority="1224" operator="beginsWith" text="Séminaire d'intégration">
      <formula>LEFT(DI86,LEN("Séminaire d'intégration"))="Séminaire d'intégration"</formula>
    </cfRule>
    <cfRule type="beginsWith" dxfId="1054" priority="1225" operator="beginsWith" text="Accueil">
      <formula>LEFT(DI86,LEN("Accueil"))="Accueil"</formula>
    </cfRule>
    <cfRule type="beginsWith" dxfId="1053" priority="1226" operator="beginsWith" text="Stage">
      <formula>LEFT(DI86,LEN("Stage"))="Stage"</formula>
    </cfRule>
    <cfRule type="beginsWith" dxfId="1052" priority="1227" operator="beginsWith" text="Entreprise">
      <formula>LEFT(DI86,LEN("Entreprise"))="Entreprise"</formula>
    </cfRule>
    <cfRule type="beginsWith" dxfId="1051" priority="1228" operator="beginsWith" text="Voltaire">
      <formula>LEFT(DI86,LEN("Voltaire"))="Voltaire"</formula>
    </cfRule>
  </conditionalFormatting>
  <conditionalFormatting sqref="DI171">
    <cfRule type="beginsWith" dxfId="1050" priority="1213" operator="beginsWith" text="Projet professionnel : Séminaire PFI">
      <formula>LEFT(DI171,LEN("Projet professionnel : Séminaire PFI"))="Projet professionnel : Séminaire PFI"</formula>
    </cfRule>
    <cfRule type="beginsWith" dxfId="1049" priority="1214" operator="beginsWith" text="Lancement Projet fil rouge">
      <formula>LEFT(DI171,LEN("Lancement Projet fil rouge"))="Lancement Projet fil rouge"</formula>
    </cfRule>
    <cfRule type="beginsWith" dxfId="1048" priority="1215" operator="beginsWith" text="Vacances">
      <formula>LEFT(DI171,LEN("Vacances"))="Vacances"</formula>
    </cfRule>
    <cfRule type="beginsWith" dxfId="1047" priority="1216" operator="beginsWith" text="Séminaire d'intégration">
      <formula>LEFT(DI171,LEN("Séminaire d'intégration"))="Séminaire d'intégration"</formula>
    </cfRule>
    <cfRule type="beginsWith" dxfId="1046" priority="1217" operator="beginsWith" text="Accueil">
      <formula>LEFT(DI171,LEN("Accueil"))="Accueil"</formula>
    </cfRule>
    <cfRule type="beginsWith" dxfId="1045" priority="1218" operator="beginsWith" text="Stage">
      <formula>LEFT(DI171,LEN("Stage"))="Stage"</formula>
    </cfRule>
    <cfRule type="beginsWith" dxfId="1044" priority="1219" operator="beginsWith" text="Entreprise">
      <formula>LEFT(DI171,LEN("Entreprise"))="Entreprise"</formula>
    </cfRule>
    <cfRule type="beginsWith" dxfId="1043" priority="1220" operator="beginsWith" text="Voltaire">
      <formula>LEFT(DI171,LEN("Voltaire"))="Voltaire"</formula>
    </cfRule>
  </conditionalFormatting>
  <conditionalFormatting sqref="DI151:DI159">
    <cfRule type="beginsWith" dxfId="1042" priority="1205" operator="beginsWith" text="Projet professionnel : Séminaire PFI">
      <formula>LEFT(DI151,LEN("Projet professionnel : Séminaire PFI"))="Projet professionnel : Séminaire PFI"</formula>
    </cfRule>
    <cfRule type="beginsWith" dxfId="1041" priority="1206" operator="beginsWith" text="Lancement Projet fil rouge">
      <formula>LEFT(DI151,LEN("Lancement Projet fil rouge"))="Lancement Projet fil rouge"</formula>
    </cfRule>
    <cfRule type="beginsWith" dxfId="1040" priority="1207" operator="beginsWith" text="Vacances">
      <formula>LEFT(DI151,LEN("Vacances"))="Vacances"</formula>
    </cfRule>
    <cfRule type="beginsWith" dxfId="1039" priority="1208" operator="beginsWith" text="Séminaire d'intégration">
      <formula>LEFT(DI151,LEN("Séminaire d'intégration"))="Séminaire d'intégration"</formula>
    </cfRule>
    <cfRule type="beginsWith" dxfId="1038" priority="1209" operator="beginsWith" text="Accueil">
      <formula>LEFT(DI151,LEN("Accueil"))="Accueil"</formula>
    </cfRule>
    <cfRule type="beginsWith" dxfId="1037" priority="1210" operator="beginsWith" text="Stage">
      <formula>LEFT(DI151,LEN("Stage"))="Stage"</formula>
    </cfRule>
    <cfRule type="beginsWith" dxfId="1036" priority="1211" operator="beginsWith" text="Entreprise">
      <formula>LEFT(DI151,LEN("Entreprise"))="Entreprise"</formula>
    </cfRule>
    <cfRule type="beginsWith" dxfId="1035" priority="1212" operator="beginsWith" text="Voltaire">
      <formula>LEFT(DI151,LEN("Voltaire"))="Voltaire"</formula>
    </cfRule>
  </conditionalFormatting>
  <conditionalFormatting sqref="DJ191">
    <cfRule type="beginsWith" dxfId="1034" priority="1198" operator="beginsWith" text="Lancement Projet fil rouge">
      <formula>LEFT(DJ191,LEN("Lancement Projet fil rouge"))="Lancement Projet fil rouge"</formula>
    </cfRule>
  </conditionalFormatting>
  <conditionalFormatting sqref="DJ191">
    <cfRule type="beginsWith" dxfId="1033" priority="1199" operator="beginsWith" text="Vacances">
      <formula>LEFT(DJ191,LEN("Vacances"))="Vacances"</formula>
    </cfRule>
  </conditionalFormatting>
  <conditionalFormatting sqref="DJ191">
    <cfRule type="beginsWith" dxfId="1032" priority="1200" operator="beginsWith" text="Séminaire d'intégration">
      <formula>LEFT(DJ191,LEN("Séminaire d'intégration"))="Séminaire d'intégration"</formula>
    </cfRule>
  </conditionalFormatting>
  <conditionalFormatting sqref="DJ191">
    <cfRule type="beginsWith" dxfId="1031" priority="1201" operator="beginsWith" text="Accueil">
      <formula>LEFT(DJ191,LEN("Accueil"))="Accueil"</formula>
    </cfRule>
  </conditionalFormatting>
  <conditionalFormatting sqref="DJ191">
    <cfRule type="beginsWith" dxfId="1030" priority="1202" operator="beginsWith" text="Stage">
      <formula>LEFT(DJ191,LEN("Stage"))="Stage"</formula>
    </cfRule>
    <cfRule type="beginsWith" dxfId="1029" priority="1203" operator="beginsWith" text="Entreprise">
      <formula>LEFT(DJ191,LEN("Entreprise"))="Entreprise"</formula>
    </cfRule>
    <cfRule type="beginsWith" dxfId="1028" priority="1204" operator="beginsWith" text="Voltaire">
      <formula>LEFT(DJ191,LEN("Voltaire"))="Voltaire"</formula>
    </cfRule>
  </conditionalFormatting>
  <conditionalFormatting sqref="DJ195">
    <cfRule type="beginsWith" dxfId="1027" priority="1191" operator="beginsWith" text="Lancement Projet fil rouge">
      <formula>LEFT(DJ195,LEN("Lancement Projet fil rouge"))="Lancement Projet fil rouge"</formula>
    </cfRule>
    <cfRule type="beginsWith" dxfId="1026" priority="1192" operator="beginsWith" text="Vacances">
      <formula>LEFT(DJ195,LEN("Vacances"))="Vacances"</formula>
    </cfRule>
    <cfRule type="beginsWith" dxfId="1025" priority="1193" operator="beginsWith" text="Séminaire d'intégration">
      <formula>LEFT(DJ195,LEN("Séminaire d'intégration"))="Séminaire d'intégration"</formula>
    </cfRule>
    <cfRule type="beginsWith" dxfId="1024" priority="1194" operator="beginsWith" text="Accueil">
      <formula>LEFT(DJ195,LEN("Accueil"))="Accueil"</formula>
    </cfRule>
    <cfRule type="beginsWith" dxfId="1023" priority="1195" operator="beginsWith" text="Stage">
      <formula>LEFT(DJ195,LEN("Stage"))="Stage"</formula>
    </cfRule>
    <cfRule type="beginsWith" dxfId="1022" priority="1196" operator="beginsWith" text="Entreprise">
      <formula>LEFT(DJ195,LEN("Entreprise"))="Entreprise"</formula>
    </cfRule>
    <cfRule type="beginsWith" dxfId="1021" priority="1197" operator="beginsWith" text="Voltaire">
      <formula>LEFT(DJ195,LEN("Voltaire"))="Voltaire"</formula>
    </cfRule>
  </conditionalFormatting>
  <conditionalFormatting sqref="DB201">
    <cfRule type="beginsWith" dxfId="1020" priority="1183" operator="beginsWith" text="Projet professionnel : Séminaire PFI">
      <formula>LEFT(DB201,LEN("Projet professionnel : Séminaire PFI"))="Projet professionnel : Séminaire PFI"</formula>
    </cfRule>
    <cfRule type="beginsWith" dxfId="1019" priority="1184" operator="beginsWith" text="Lancement Projet fil rouge">
      <formula>LEFT(DB201,LEN("Lancement Projet fil rouge"))="Lancement Projet fil rouge"</formula>
    </cfRule>
    <cfRule type="beginsWith" dxfId="1018" priority="1185" operator="beginsWith" text="Vacances">
      <formula>LEFT(DB201,LEN("Vacances"))="Vacances"</formula>
    </cfRule>
    <cfRule type="beginsWith" dxfId="1017" priority="1186" operator="beginsWith" text="Séminaire d'intégration">
      <formula>LEFT(DB201,LEN("Séminaire d'intégration"))="Séminaire d'intégration"</formula>
    </cfRule>
    <cfRule type="beginsWith" dxfId="1016" priority="1187" operator="beginsWith" text="Accueil">
      <formula>LEFT(DB201,LEN("Accueil"))="Accueil"</formula>
    </cfRule>
    <cfRule type="beginsWith" dxfId="1015" priority="1188" operator="beginsWith" text="Stage">
      <formula>LEFT(DB201,LEN("Stage"))="Stage"</formula>
    </cfRule>
    <cfRule type="beginsWith" dxfId="1014" priority="1189" operator="beginsWith" text="Entreprise">
      <formula>LEFT(DB201,LEN("Entreprise"))="Entreprise"</formula>
    </cfRule>
    <cfRule type="beginsWith" dxfId="1013" priority="1190" operator="beginsWith" text="Voltaire">
      <formula>LEFT(DB201,LEN("Voltaire"))="Voltaire"</formula>
    </cfRule>
  </conditionalFormatting>
  <conditionalFormatting sqref="CH206">
    <cfRule type="beginsWith" dxfId="1012" priority="969" operator="beginsWith" text="Projet professionnel : Séminaire PFI">
      <formula>LEFT(CH206,LEN("Projet professionnel : Séminaire PFI"))="Projet professionnel : Séminaire PFI"</formula>
    </cfRule>
    <cfRule type="beginsWith" dxfId="1011" priority="970" operator="beginsWith" text="Lancement Projet fil rouge">
      <formula>LEFT(CH206,LEN("Lancement Projet fil rouge"))="Lancement Projet fil rouge"</formula>
    </cfRule>
    <cfRule type="beginsWith" dxfId="1010" priority="971" operator="beginsWith" text="Vacances">
      <formula>LEFT(CH206,LEN("Vacances"))="Vacances"</formula>
    </cfRule>
    <cfRule type="beginsWith" dxfId="1009" priority="972" operator="beginsWith" text="Séminaire d'intégration">
      <formula>LEFT(CH206,LEN("Séminaire d'intégration"))="Séminaire d'intégration"</formula>
    </cfRule>
    <cfRule type="beginsWith" dxfId="1008" priority="973" operator="beginsWith" text="Accueil">
      <formula>LEFT(CH206,LEN("Accueil"))="Accueil"</formula>
    </cfRule>
    <cfRule type="beginsWith" dxfId="1007" priority="974" operator="beginsWith" text="Stage">
      <formula>LEFT(CH206,LEN("Stage"))="Stage"</formula>
    </cfRule>
    <cfRule type="beginsWith" dxfId="1006" priority="975" operator="beginsWith" text="Entreprise">
      <formula>LEFT(CH206,LEN("Entreprise"))="Entreprise"</formula>
    </cfRule>
    <cfRule type="beginsWith" dxfId="1005" priority="976" operator="beginsWith" text="Voltaire">
      <formula>LEFT(CH206,LEN("Voltaire"))="Voltaire"</formula>
    </cfRule>
  </conditionalFormatting>
  <conditionalFormatting sqref="DB216">
    <cfRule type="beginsWith" dxfId="1004" priority="1167" operator="beginsWith" text="Projet professionnel : Séminaire PFI">
      <formula>LEFT(DB216,LEN("Projet professionnel : Séminaire PFI"))="Projet professionnel : Séminaire PFI"</formula>
    </cfRule>
    <cfRule type="beginsWith" dxfId="1003" priority="1168" operator="beginsWith" text="Lancement Projet fil rouge">
      <formula>LEFT(DB216,LEN("Lancement Projet fil rouge"))="Lancement Projet fil rouge"</formula>
    </cfRule>
    <cfRule type="beginsWith" dxfId="1002" priority="1169" operator="beginsWith" text="Vacances">
      <formula>LEFT(DB216,LEN("Vacances"))="Vacances"</formula>
    </cfRule>
    <cfRule type="beginsWith" dxfId="1001" priority="1170" operator="beginsWith" text="Séminaire d'intégration">
      <formula>LEFT(DB216,LEN("Séminaire d'intégration"))="Séminaire d'intégration"</formula>
    </cfRule>
    <cfRule type="beginsWith" dxfId="1000" priority="1171" operator="beginsWith" text="Accueil">
      <formula>LEFT(DB216,LEN("Accueil"))="Accueil"</formula>
    </cfRule>
    <cfRule type="beginsWith" dxfId="999" priority="1172" operator="beginsWith" text="Stage">
      <formula>LEFT(DB216,LEN("Stage"))="Stage"</formula>
    </cfRule>
    <cfRule type="beginsWith" dxfId="998" priority="1173" operator="beginsWith" text="Entreprise">
      <formula>LEFT(DB216,LEN("Entreprise"))="Entreprise"</formula>
    </cfRule>
    <cfRule type="beginsWith" dxfId="997" priority="1174" operator="beginsWith" text="Voltaire">
      <formula>LEFT(DB216,LEN("Voltaire"))="Voltaire"</formula>
    </cfRule>
  </conditionalFormatting>
  <conditionalFormatting sqref="DB191:DB196">
    <cfRule type="beginsWith" dxfId="996" priority="1159" operator="beginsWith" text="Projet professionnel : Séminaire PFI">
      <formula>LEFT(DB191,LEN("Projet professionnel : Séminaire PFI"))="Projet professionnel : Séminaire PFI"</formula>
    </cfRule>
    <cfRule type="beginsWith" dxfId="995" priority="1160" operator="beginsWith" text="Lancement Projet fil rouge">
      <formula>LEFT(DB191,LEN("Lancement Projet fil rouge"))="Lancement Projet fil rouge"</formula>
    </cfRule>
    <cfRule type="beginsWith" dxfId="994" priority="1161" operator="beginsWith" text="Vacances">
      <formula>LEFT(DB191,LEN("Vacances"))="Vacances"</formula>
    </cfRule>
    <cfRule type="beginsWith" dxfId="993" priority="1162" operator="beginsWith" text="Séminaire d'intégration">
      <formula>LEFT(DB191,LEN("Séminaire d'intégration"))="Séminaire d'intégration"</formula>
    </cfRule>
    <cfRule type="beginsWith" dxfId="992" priority="1163" operator="beginsWith" text="Accueil">
      <formula>LEFT(DB191,LEN("Accueil"))="Accueil"</formula>
    </cfRule>
    <cfRule type="beginsWith" dxfId="991" priority="1164" operator="beginsWith" text="Stage">
      <formula>LEFT(DB191,LEN("Stage"))="Stage"</formula>
    </cfRule>
    <cfRule type="beginsWith" dxfId="990" priority="1165" operator="beginsWith" text="Entreprise">
      <formula>LEFT(DB191,LEN("Entreprise"))="Entreprise"</formula>
    </cfRule>
    <cfRule type="beginsWith" dxfId="989" priority="1166" operator="beginsWith" text="Voltaire">
      <formula>LEFT(DB191,LEN("Voltaire"))="Voltaire"</formula>
    </cfRule>
  </conditionalFormatting>
  <conditionalFormatting sqref="DB161">
    <cfRule type="beginsWith" dxfId="988" priority="1151" operator="beginsWith" text="Projet professionnel : Séminaire PFI">
      <formula>LEFT(DB161,LEN("Projet professionnel : Séminaire PFI"))="Projet professionnel : Séminaire PFI"</formula>
    </cfRule>
    <cfRule type="beginsWith" dxfId="987" priority="1152" operator="beginsWith" text="Lancement Projet fil rouge">
      <formula>LEFT(DB161,LEN("Lancement Projet fil rouge"))="Lancement Projet fil rouge"</formula>
    </cfRule>
    <cfRule type="beginsWith" dxfId="986" priority="1153" operator="beginsWith" text="Vacances">
      <formula>LEFT(DB161,LEN("Vacances"))="Vacances"</formula>
    </cfRule>
    <cfRule type="beginsWith" dxfId="985" priority="1154" operator="beginsWith" text="Séminaire d'intégration">
      <formula>LEFT(DB161,LEN("Séminaire d'intégration"))="Séminaire d'intégration"</formula>
    </cfRule>
    <cfRule type="beginsWith" dxfId="984" priority="1155" operator="beginsWith" text="Accueil">
      <formula>LEFT(DB161,LEN("Accueil"))="Accueil"</formula>
    </cfRule>
    <cfRule type="beginsWith" dxfId="983" priority="1156" operator="beginsWith" text="Stage">
      <formula>LEFT(DB161,LEN("Stage"))="Stage"</formula>
    </cfRule>
    <cfRule type="beginsWith" dxfId="982" priority="1157" operator="beginsWith" text="Entreprise">
      <formula>LEFT(DB161,LEN("Entreprise"))="Entreprise"</formula>
    </cfRule>
    <cfRule type="beginsWith" dxfId="981" priority="1158" operator="beginsWith" text="Voltaire">
      <formula>LEFT(DB161,LEN("Voltaire"))="Voltaire"</formula>
    </cfRule>
  </conditionalFormatting>
  <conditionalFormatting sqref="DB151">
    <cfRule type="beginsWith" dxfId="980" priority="1135" operator="beginsWith" text="Projet professionnel : Séminaire PFI">
      <formula>LEFT(DB151,LEN("Projet professionnel : Séminaire PFI"))="Projet professionnel : Séminaire PFI"</formula>
    </cfRule>
    <cfRule type="beginsWith" dxfId="979" priority="1136" operator="beginsWith" text="Lancement Projet fil rouge">
      <formula>LEFT(DB151,LEN("Lancement Projet fil rouge"))="Lancement Projet fil rouge"</formula>
    </cfRule>
    <cfRule type="beginsWith" dxfId="978" priority="1137" operator="beginsWith" text="Vacances">
      <formula>LEFT(DB151,LEN("Vacances"))="Vacances"</formula>
    </cfRule>
    <cfRule type="beginsWith" dxfId="977" priority="1138" operator="beginsWith" text="Séminaire d'intégration">
      <formula>LEFT(DB151,LEN("Séminaire d'intégration"))="Séminaire d'intégration"</formula>
    </cfRule>
    <cfRule type="beginsWith" dxfId="976" priority="1139" operator="beginsWith" text="Accueil">
      <formula>LEFT(DB151,LEN("Accueil"))="Accueil"</formula>
    </cfRule>
    <cfRule type="beginsWith" dxfId="975" priority="1140" operator="beginsWith" text="Stage">
      <formula>LEFT(DB151,LEN("Stage"))="Stage"</formula>
    </cfRule>
    <cfRule type="beginsWith" dxfId="974" priority="1141" operator="beginsWith" text="Entreprise">
      <formula>LEFT(DB151,LEN("Entreprise"))="Entreprise"</formula>
    </cfRule>
    <cfRule type="beginsWith" dxfId="973" priority="1142" operator="beginsWith" text="Voltaire">
      <formula>LEFT(DB151,LEN("Voltaire"))="Voltaire"</formula>
    </cfRule>
    <cfRule type="beginsWith" dxfId="972" priority="1143" operator="beginsWith" text="Projet professionnel : Séminaire PFI">
      <formula>LEFT(DB151,LEN("Projet professionnel : Séminaire PFI"))="Projet professionnel : Séminaire PFI"</formula>
    </cfRule>
    <cfRule type="beginsWith" dxfId="971" priority="1144" operator="beginsWith" text="Lancement Projet fil rouge">
      <formula>LEFT(DB151,LEN("Lancement Projet fil rouge"))="Lancement Projet fil rouge"</formula>
    </cfRule>
    <cfRule type="beginsWith" dxfId="970" priority="1145" operator="beginsWith" text="Vacances">
      <formula>LEFT(DB151,LEN("Vacances"))="Vacances"</formula>
    </cfRule>
    <cfRule type="beginsWith" dxfId="969" priority="1146" operator="beginsWith" text="Séminaire d'intégration">
      <formula>LEFT(DB151,LEN("Séminaire d'intégration"))="Séminaire d'intégration"</formula>
    </cfRule>
    <cfRule type="beginsWith" dxfId="968" priority="1147" operator="beginsWith" text="Accueil">
      <formula>LEFT(DB151,LEN("Accueil"))="Accueil"</formula>
    </cfRule>
    <cfRule type="beginsWith" dxfId="967" priority="1148" operator="beginsWith" text="Stage">
      <formula>LEFT(DB151,LEN("Stage"))="Stage"</formula>
    </cfRule>
    <cfRule type="beginsWith" dxfId="966" priority="1149" operator="beginsWith" text="Entreprise">
      <formula>LEFT(DB151,LEN("Entreprise"))="Entreprise"</formula>
    </cfRule>
    <cfRule type="beginsWith" dxfId="965" priority="1150" operator="beginsWith" text="Voltaire">
      <formula>LEFT(DB151,LEN("Voltaire"))="Voltaire"</formula>
    </cfRule>
  </conditionalFormatting>
  <conditionalFormatting sqref="DB156">
    <cfRule type="beginsWith" dxfId="964" priority="1127" operator="beginsWith" text="Projet professionnel : Séminaire PFI">
      <formula>LEFT(DB156,LEN("Projet professionnel : Séminaire PFI"))="Projet professionnel : Séminaire PFI"</formula>
    </cfRule>
    <cfRule type="beginsWith" dxfId="963" priority="1128" operator="beginsWith" text="Lancement Projet fil rouge">
      <formula>LEFT(DB156,LEN("Lancement Projet fil rouge"))="Lancement Projet fil rouge"</formula>
    </cfRule>
    <cfRule type="beginsWith" dxfId="962" priority="1129" operator="beginsWith" text="Vacances">
      <formula>LEFT(DB156,LEN("Vacances"))="Vacances"</formula>
    </cfRule>
    <cfRule type="beginsWith" dxfId="961" priority="1130" operator="beginsWith" text="Séminaire d'intégration">
      <formula>LEFT(DB156,LEN("Séminaire d'intégration"))="Séminaire d'intégration"</formula>
    </cfRule>
    <cfRule type="beginsWith" dxfId="960" priority="1131" operator="beginsWith" text="Accueil">
      <formula>LEFT(DB156,LEN("Accueil"))="Accueil"</formula>
    </cfRule>
    <cfRule type="beginsWith" dxfId="959" priority="1132" operator="beginsWith" text="Stage">
      <formula>LEFT(DB156,LEN("Stage"))="Stage"</formula>
    </cfRule>
    <cfRule type="beginsWith" dxfId="958" priority="1133" operator="beginsWith" text="Entreprise">
      <formula>LEFT(DB156,LEN("Entreprise"))="Entreprise"</formula>
    </cfRule>
    <cfRule type="beginsWith" dxfId="957" priority="1134" operator="beginsWith" text="Voltaire">
      <formula>LEFT(DB156,LEN("Voltaire"))="Voltaire"</formula>
    </cfRule>
  </conditionalFormatting>
  <conditionalFormatting sqref="DB116">
    <cfRule type="beginsWith" dxfId="956" priority="1119" operator="beginsWith" text="Projet professionnel : Séminaire PFI">
      <formula>LEFT(DB116,LEN("Projet professionnel : Séminaire PFI"))="Projet professionnel : Séminaire PFI"</formula>
    </cfRule>
    <cfRule type="beginsWith" dxfId="955" priority="1120" operator="beginsWith" text="Lancement Projet fil rouge">
      <formula>LEFT(DB116,LEN("Lancement Projet fil rouge"))="Lancement Projet fil rouge"</formula>
    </cfRule>
    <cfRule type="beginsWith" dxfId="954" priority="1121" operator="beginsWith" text="Vacances">
      <formula>LEFT(DB116,LEN("Vacances"))="Vacances"</formula>
    </cfRule>
    <cfRule type="beginsWith" dxfId="953" priority="1122" operator="beginsWith" text="Séminaire d'intégration">
      <formula>LEFT(DB116,LEN("Séminaire d'intégration"))="Séminaire d'intégration"</formula>
    </cfRule>
    <cfRule type="beginsWith" dxfId="952" priority="1123" operator="beginsWith" text="Accueil">
      <formula>LEFT(DB116,LEN("Accueil"))="Accueil"</formula>
    </cfRule>
    <cfRule type="beginsWith" dxfId="951" priority="1124" operator="beginsWith" text="Stage">
      <formula>LEFT(DB116,LEN("Stage"))="Stage"</formula>
    </cfRule>
    <cfRule type="beginsWith" dxfId="950" priority="1125" operator="beginsWith" text="Entreprise">
      <formula>LEFT(DB116,LEN("Entreprise"))="Entreprise"</formula>
    </cfRule>
    <cfRule type="beginsWith" dxfId="949" priority="1126" operator="beginsWith" text="Voltaire">
      <formula>LEFT(DB116,LEN("Voltaire"))="Voltaire"</formula>
    </cfRule>
  </conditionalFormatting>
  <conditionalFormatting sqref="DB76">
    <cfRule type="beginsWith" dxfId="948" priority="1111" operator="beginsWith" text="Projet professionnel : Séminaire PFI">
      <formula>LEFT(DB76,LEN("Projet professionnel : Séminaire PFI"))="Projet professionnel : Séminaire PFI"</formula>
    </cfRule>
    <cfRule type="beginsWith" dxfId="947" priority="1112" operator="beginsWith" text="Lancement Projet fil rouge">
      <formula>LEFT(DB76,LEN("Lancement Projet fil rouge"))="Lancement Projet fil rouge"</formula>
    </cfRule>
    <cfRule type="beginsWith" dxfId="946" priority="1113" operator="beginsWith" text="Vacances">
      <formula>LEFT(DB76,LEN("Vacances"))="Vacances"</formula>
    </cfRule>
    <cfRule type="beginsWith" dxfId="945" priority="1114" operator="beginsWith" text="Séminaire d'intégration">
      <formula>LEFT(DB76,LEN("Séminaire d'intégration"))="Séminaire d'intégration"</formula>
    </cfRule>
    <cfRule type="beginsWith" dxfId="944" priority="1115" operator="beginsWith" text="Accueil">
      <formula>LEFT(DB76,LEN("Accueil"))="Accueil"</formula>
    </cfRule>
    <cfRule type="beginsWith" dxfId="943" priority="1116" operator="beginsWith" text="Stage">
      <formula>LEFT(DB76,LEN("Stage"))="Stage"</formula>
    </cfRule>
    <cfRule type="beginsWith" dxfId="942" priority="1117" operator="beginsWith" text="Entreprise">
      <formula>LEFT(DB76,LEN("Entreprise"))="Entreprise"</formula>
    </cfRule>
    <cfRule type="beginsWith" dxfId="941" priority="1118" operator="beginsWith" text="Voltaire">
      <formula>LEFT(DB76,LEN("Voltaire"))="Voltaire"</formula>
    </cfRule>
  </conditionalFormatting>
  <conditionalFormatting sqref="DB101:DB107">
    <cfRule type="beginsWith" dxfId="940" priority="1103" operator="beginsWith" text="Projet professionnel : Séminaire PFI">
      <formula>LEFT(DB101,LEN("Projet professionnel : Séminaire PFI"))="Projet professionnel : Séminaire PFI"</formula>
    </cfRule>
    <cfRule type="beginsWith" dxfId="939" priority="1104" operator="beginsWith" text="Lancement Projet fil rouge">
      <formula>LEFT(DB101,LEN("Lancement Projet fil rouge"))="Lancement Projet fil rouge"</formula>
    </cfRule>
    <cfRule type="beginsWith" dxfId="938" priority="1105" operator="beginsWith" text="Vacances">
      <formula>LEFT(DB101,LEN("Vacances"))="Vacances"</formula>
    </cfRule>
    <cfRule type="beginsWith" dxfId="937" priority="1106" operator="beginsWith" text="Séminaire d'intégration">
      <formula>LEFT(DB101,LEN("Séminaire d'intégration"))="Séminaire d'intégration"</formula>
    </cfRule>
    <cfRule type="beginsWith" dxfId="936" priority="1107" operator="beginsWith" text="Accueil">
      <formula>LEFT(DB101,LEN("Accueil"))="Accueil"</formula>
    </cfRule>
    <cfRule type="beginsWith" dxfId="935" priority="1108" operator="beginsWith" text="Stage">
      <formula>LEFT(DB101,LEN("Stage"))="Stage"</formula>
    </cfRule>
    <cfRule type="beginsWith" dxfId="934" priority="1109" operator="beginsWith" text="Entreprise">
      <formula>LEFT(DB101,LEN("Entreprise"))="Entreprise"</formula>
    </cfRule>
    <cfRule type="beginsWith" dxfId="933" priority="1110" operator="beginsWith" text="Voltaire">
      <formula>LEFT(DB101,LEN("Voltaire"))="Voltaire"</formula>
    </cfRule>
  </conditionalFormatting>
  <conditionalFormatting sqref="DB66:DB71">
    <cfRule type="beginsWith" dxfId="932" priority="1095" operator="beginsWith" text="Projet professionnel : Séminaire PFI">
      <formula>LEFT(DB66,LEN("Projet professionnel : Séminaire PFI"))="Projet professionnel : Séminaire PFI"</formula>
    </cfRule>
    <cfRule type="beginsWith" dxfId="931" priority="1096" operator="beginsWith" text="Lancement Projet fil rouge">
      <formula>LEFT(DB66,LEN("Lancement Projet fil rouge"))="Lancement Projet fil rouge"</formula>
    </cfRule>
    <cfRule type="beginsWith" dxfId="930" priority="1097" operator="beginsWith" text="Vacances">
      <formula>LEFT(DB66,LEN("Vacances"))="Vacances"</formula>
    </cfRule>
    <cfRule type="beginsWith" dxfId="929" priority="1098" operator="beginsWith" text="Séminaire d'intégration">
      <formula>LEFT(DB66,LEN("Séminaire d'intégration"))="Séminaire d'intégration"</formula>
    </cfRule>
    <cfRule type="beginsWith" dxfId="928" priority="1099" operator="beginsWith" text="Accueil">
      <formula>LEFT(DB66,LEN("Accueil"))="Accueil"</formula>
    </cfRule>
    <cfRule type="beginsWith" dxfId="927" priority="1100" operator="beginsWith" text="Stage">
      <formula>LEFT(DB66,LEN("Stage"))="Stage"</formula>
    </cfRule>
    <cfRule type="beginsWith" dxfId="926" priority="1101" operator="beginsWith" text="Entreprise">
      <formula>LEFT(DB66,LEN("Entreprise"))="Entreprise"</formula>
    </cfRule>
    <cfRule type="beginsWith" dxfId="925" priority="1102" operator="beginsWith" text="Voltaire">
      <formula>LEFT(DB66,LEN("Voltaire"))="Voltaire"</formula>
    </cfRule>
  </conditionalFormatting>
  <conditionalFormatting sqref="CT191">
    <cfRule type="beginsWith" dxfId="924" priority="1087" operator="beginsWith" text="Projet professionnel : Séminaire PFI">
      <formula>LEFT(CT191,LEN("Projet professionnel : Séminaire PFI"))="Projet professionnel : Séminaire PFI"</formula>
    </cfRule>
    <cfRule type="beginsWith" dxfId="923" priority="1088" operator="beginsWith" text="Lancement Projet fil rouge">
      <formula>LEFT(CT191,LEN("Lancement Projet fil rouge"))="Lancement Projet fil rouge"</formula>
    </cfRule>
    <cfRule type="beginsWith" dxfId="922" priority="1089" operator="beginsWith" text="Vacances">
      <formula>LEFT(CT191,LEN("Vacances"))="Vacances"</formula>
    </cfRule>
    <cfRule type="beginsWith" dxfId="921" priority="1090" operator="beginsWith" text="Séminaire d'intégration">
      <formula>LEFT(CT191,LEN("Séminaire d'intégration"))="Séminaire d'intégration"</formula>
    </cfRule>
    <cfRule type="beginsWith" dxfId="920" priority="1091" operator="beginsWith" text="Accueil">
      <formula>LEFT(CT191,LEN("Accueil"))="Accueil"</formula>
    </cfRule>
    <cfRule type="beginsWith" dxfId="919" priority="1092" operator="beginsWith" text="Stage">
      <formula>LEFT(CT191,LEN("Stage"))="Stage"</formula>
    </cfRule>
    <cfRule type="beginsWith" dxfId="918" priority="1093" operator="beginsWith" text="Entreprise">
      <formula>LEFT(CT191,LEN("Entreprise"))="Entreprise"</formula>
    </cfRule>
    <cfRule type="beginsWith" dxfId="917" priority="1094" operator="beginsWith" text="Voltaire">
      <formula>LEFT(CT191,LEN("Voltaire"))="Voltaire"</formula>
    </cfRule>
  </conditionalFormatting>
  <conditionalFormatting sqref="CV181:CV182">
    <cfRule type="beginsWith" dxfId="916" priority="1070" operator="beginsWith" text="Lancement Projet fil rouge">
      <formula>LEFT(CV181,LEN("Lancement Projet fil rouge"))="Lancement Projet fil rouge"</formula>
    </cfRule>
    <cfRule type="beginsWith" dxfId="915" priority="1071" operator="beginsWith" text="Vacances">
      <formula>LEFT(CV181,LEN("Vacances"))="Vacances"</formula>
    </cfRule>
    <cfRule type="beginsWith" dxfId="914" priority="1072" operator="beginsWith" text="Séminaire d'intégration">
      <formula>LEFT(CV181,LEN("Séminaire d'intégration"))="Séminaire d'intégration"</formula>
    </cfRule>
    <cfRule type="beginsWith" dxfId="913" priority="1073" operator="beginsWith" text="Accueil">
      <formula>LEFT(CV181,LEN("Accueil"))="Accueil"</formula>
    </cfRule>
    <cfRule type="beginsWith" dxfId="912" priority="1074" operator="beginsWith" text="Stage">
      <formula>LEFT(CV181,LEN("Stage"))="Stage"</formula>
    </cfRule>
    <cfRule type="beginsWith" dxfId="911" priority="1075" operator="beginsWith" text="Entreprise">
      <formula>LEFT(CV181,LEN("Entreprise"))="Entreprise"</formula>
    </cfRule>
    <cfRule type="beginsWith" dxfId="910" priority="1076" operator="beginsWith" text="Voltaire">
      <formula>LEFT(CV181,LEN("Voltaire"))="Voltaire"</formula>
    </cfRule>
  </conditionalFormatting>
  <conditionalFormatting sqref="CW181:CX182">
    <cfRule type="beginsWith" dxfId="909" priority="1077" operator="beginsWith" text="Lancement Projet fil rouge">
      <formula>LEFT(CW181,LEN("Lancement Projet fil rouge"))="Lancement Projet fil rouge"</formula>
    </cfRule>
    <cfRule type="beginsWith" dxfId="908" priority="1078" operator="beginsWith" text="Vacances">
      <formula>LEFT(CW181,LEN("Vacances"))="Vacances"</formula>
    </cfRule>
    <cfRule type="beginsWith" dxfId="907" priority="1079" operator="beginsWith" text="Séminaire d'intégration">
      <formula>LEFT(CW181,LEN("Séminaire d'intégration"))="Séminaire d'intégration"</formula>
    </cfRule>
    <cfRule type="beginsWith" dxfId="906" priority="1080" operator="beginsWith" text="Accueil">
      <formula>LEFT(CW181,LEN("Accueil"))="Accueil"</formula>
    </cfRule>
    <cfRule type="beginsWith" dxfId="905" priority="1081" operator="beginsWith" text="TOPHYC">
      <formula>LEFT(CW181,LEN("TOPHYC"))="TOPHYC"</formula>
    </cfRule>
    <cfRule type="beginsWith" dxfId="904" priority="1082" operator="beginsWith" text="Global Exam">
      <formula>LEFT(CW181,LEN("Global Exam"))="Global Exam"</formula>
    </cfRule>
    <cfRule type="beginsWith" dxfId="903" priority="1083" operator="beginsWith" text="Stage">
      <formula>LEFT(CW181,LEN("Stage"))="Stage"</formula>
    </cfRule>
    <cfRule type="beginsWith" dxfId="902" priority="1084" operator="beginsWith" text="Entreprise">
      <formula>LEFT(CW181,LEN("Entreprise"))="Entreprise"</formula>
    </cfRule>
    <cfRule type="beginsWith" dxfId="901" priority="1085" operator="beginsWith" text="TOMIC">
      <formula>LEFT(CW181,LEN("TOMIC"))="TOMIC"</formula>
    </cfRule>
    <cfRule type="beginsWith" dxfId="900" priority="1086" operator="beginsWith" text="Voltaire">
      <formula>LEFT(CW181,LEN("Voltaire"))="Voltaire"</formula>
    </cfRule>
  </conditionalFormatting>
  <conditionalFormatting sqref="CT121">
    <cfRule type="beginsWith" dxfId="899" priority="1062" operator="beginsWith" text="Projet professionnel : Séminaire PFI">
      <formula>LEFT(CT121,LEN("Projet professionnel : Séminaire PFI"))="Projet professionnel : Séminaire PFI"</formula>
    </cfRule>
    <cfRule type="beginsWith" dxfId="898" priority="1063" operator="beginsWith" text="Lancement Projet fil rouge">
      <formula>LEFT(CT121,LEN("Lancement Projet fil rouge"))="Lancement Projet fil rouge"</formula>
    </cfRule>
    <cfRule type="beginsWith" dxfId="897" priority="1064" operator="beginsWith" text="Vacances">
      <formula>LEFT(CT121,LEN("Vacances"))="Vacances"</formula>
    </cfRule>
    <cfRule type="beginsWith" dxfId="896" priority="1065" operator="beginsWith" text="Séminaire d'intégration">
      <formula>LEFT(CT121,LEN("Séminaire d'intégration"))="Séminaire d'intégration"</formula>
    </cfRule>
    <cfRule type="beginsWith" dxfId="895" priority="1066" operator="beginsWith" text="Accueil">
      <formula>LEFT(CT121,LEN("Accueil"))="Accueil"</formula>
    </cfRule>
    <cfRule type="beginsWith" dxfId="894" priority="1067" operator="beginsWith" text="Stage">
      <formula>LEFT(CT121,LEN("Stage"))="Stage"</formula>
    </cfRule>
    <cfRule type="beginsWith" dxfId="893" priority="1068" operator="beginsWith" text="Entreprise">
      <formula>LEFT(CT121,LEN("Entreprise"))="Entreprise"</formula>
    </cfRule>
    <cfRule type="beginsWith" dxfId="892" priority="1069" operator="beginsWith" text="Voltaire">
      <formula>LEFT(CT121,LEN("Voltaire"))="Voltaire"</formula>
    </cfRule>
  </conditionalFormatting>
  <conditionalFormatting sqref="CT161:CT167">
    <cfRule type="beginsWith" dxfId="891" priority="1054" operator="beginsWith" text="Projet professionnel : Séminaire PFI">
      <formula>LEFT(CT161,LEN("Projet professionnel : Séminaire PFI"))="Projet professionnel : Séminaire PFI"</formula>
    </cfRule>
    <cfRule type="beginsWith" dxfId="890" priority="1055" operator="beginsWith" text="Lancement Projet fil rouge">
      <formula>LEFT(CT161,LEN("Lancement Projet fil rouge"))="Lancement Projet fil rouge"</formula>
    </cfRule>
    <cfRule type="beginsWith" dxfId="889" priority="1056" operator="beginsWith" text="Vacances">
      <formula>LEFT(CT161,LEN("Vacances"))="Vacances"</formula>
    </cfRule>
    <cfRule type="beginsWith" dxfId="888" priority="1057" operator="beginsWith" text="Séminaire d'intégration">
      <formula>LEFT(CT161,LEN("Séminaire d'intégration"))="Séminaire d'intégration"</formula>
    </cfRule>
    <cfRule type="beginsWith" dxfId="887" priority="1058" operator="beginsWith" text="Accueil">
      <formula>LEFT(CT161,LEN("Accueil"))="Accueil"</formula>
    </cfRule>
    <cfRule type="beginsWith" dxfId="886" priority="1059" operator="beginsWith" text="Stage">
      <formula>LEFT(CT161,LEN("Stage"))="Stage"</formula>
    </cfRule>
    <cfRule type="beginsWith" dxfId="885" priority="1060" operator="beginsWith" text="Entreprise">
      <formula>LEFT(CT161,LEN("Entreprise"))="Entreprise"</formula>
    </cfRule>
    <cfRule type="beginsWith" dxfId="884" priority="1061" operator="beginsWith" text="Voltaire">
      <formula>LEFT(CT161,LEN("Voltaire"))="Voltaire"</formula>
    </cfRule>
  </conditionalFormatting>
  <conditionalFormatting sqref="CT91:CT96">
    <cfRule type="beginsWith" dxfId="883" priority="1046" operator="beginsWith" text="Projet professionnel : Séminaire PFI">
      <formula>LEFT(CT91,LEN("Projet professionnel : Séminaire PFI"))="Projet professionnel : Séminaire PFI"</formula>
    </cfRule>
    <cfRule type="beginsWith" dxfId="882" priority="1047" operator="beginsWith" text="Lancement Projet fil rouge">
      <formula>LEFT(CT91,LEN("Lancement Projet fil rouge"))="Lancement Projet fil rouge"</formula>
    </cfRule>
    <cfRule type="beginsWith" dxfId="881" priority="1048" operator="beginsWith" text="Vacances">
      <formula>LEFT(CT91,LEN("Vacances"))="Vacances"</formula>
    </cfRule>
    <cfRule type="beginsWith" dxfId="880" priority="1049" operator="beginsWith" text="Séminaire d'intégration">
      <formula>LEFT(CT91,LEN("Séminaire d'intégration"))="Séminaire d'intégration"</formula>
    </cfRule>
    <cfRule type="beginsWith" dxfId="879" priority="1050" operator="beginsWith" text="Accueil">
      <formula>LEFT(CT91,LEN("Accueil"))="Accueil"</formula>
    </cfRule>
    <cfRule type="beginsWith" dxfId="878" priority="1051" operator="beginsWith" text="Stage">
      <formula>LEFT(CT91,LEN("Stage"))="Stage"</formula>
    </cfRule>
    <cfRule type="beginsWith" dxfId="877" priority="1052" operator="beginsWith" text="Entreprise">
      <formula>LEFT(CT91,LEN("Entreprise"))="Entreprise"</formula>
    </cfRule>
    <cfRule type="beginsWith" dxfId="876" priority="1053" operator="beginsWith" text="Voltaire">
      <formula>LEFT(CT91,LEN("Voltaire"))="Voltaire"</formula>
    </cfRule>
  </conditionalFormatting>
  <conditionalFormatting sqref="CN106">
    <cfRule type="beginsWith" dxfId="875" priority="1038" operator="beginsWith" text="Projet professionnel : Séminaire PFI">
      <formula>LEFT(CN106,LEN("Projet professionnel : Séminaire PFI"))="Projet professionnel : Séminaire PFI"</formula>
    </cfRule>
    <cfRule type="beginsWith" dxfId="874" priority="1039" operator="beginsWith" text="Lancement Projet fil rouge">
      <formula>LEFT(CN106,LEN("Lancement Projet fil rouge"))="Lancement Projet fil rouge"</formula>
    </cfRule>
    <cfRule type="beginsWith" dxfId="873" priority="1040" operator="beginsWith" text="Vacances">
      <formula>LEFT(CN106,LEN("Vacances"))="Vacances"</formula>
    </cfRule>
    <cfRule type="beginsWith" dxfId="872" priority="1041" operator="beginsWith" text="Séminaire d'intégration">
      <formula>LEFT(CN106,LEN("Séminaire d'intégration"))="Séminaire d'intégration"</formula>
    </cfRule>
    <cfRule type="beginsWith" dxfId="871" priority="1042" operator="beginsWith" text="Accueil">
      <formula>LEFT(CN106,LEN("Accueil"))="Accueil"</formula>
    </cfRule>
    <cfRule type="beginsWith" dxfId="870" priority="1043" operator="beginsWith" text="Stage">
      <formula>LEFT(CN106,LEN("Stage"))="Stage"</formula>
    </cfRule>
    <cfRule type="beginsWith" dxfId="869" priority="1044" operator="beginsWith" text="Entreprise">
      <formula>LEFT(CN106,LEN("Entreprise"))="Entreprise"</formula>
    </cfRule>
    <cfRule type="beginsWith" dxfId="868" priority="1045" operator="beginsWith" text="Voltaire">
      <formula>LEFT(CN106,LEN("Voltaire"))="Voltaire"</formula>
    </cfRule>
  </conditionalFormatting>
  <conditionalFormatting sqref="CN66:CN73">
    <cfRule type="beginsWith" dxfId="867" priority="1030" operator="beginsWith" text="Projet professionnel : Séminaire PFI">
      <formula>LEFT(CN66,LEN("Projet professionnel : Séminaire PFI"))="Projet professionnel : Séminaire PFI"</formula>
    </cfRule>
    <cfRule type="beginsWith" dxfId="866" priority="1031" operator="beginsWith" text="Lancement Projet fil rouge">
      <formula>LEFT(CN66,LEN("Lancement Projet fil rouge"))="Lancement Projet fil rouge"</formula>
    </cfRule>
    <cfRule type="beginsWith" dxfId="865" priority="1032" operator="beginsWith" text="Vacances">
      <formula>LEFT(CN66,LEN("Vacances"))="Vacances"</formula>
    </cfRule>
    <cfRule type="beginsWith" dxfId="864" priority="1033" operator="beginsWith" text="Séminaire d'intégration">
      <formula>LEFT(CN66,LEN("Séminaire d'intégration"))="Séminaire d'intégration"</formula>
    </cfRule>
    <cfRule type="beginsWith" dxfId="863" priority="1034" operator="beginsWith" text="Accueil">
      <formula>LEFT(CN66,LEN("Accueil"))="Accueil"</formula>
    </cfRule>
    <cfRule type="beginsWith" dxfId="862" priority="1035" operator="beginsWith" text="Stage">
      <formula>LEFT(CN66,LEN("Stage"))="Stage"</formula>
    </cfRule>
    <cfRule type="beginsWith" dxfId="861" priority="1036" operator="beginsWith" text="Entreprise">
      <formula>LEFT(CN66,LEN("Entreprise"))="Entreprise"</formula>
    </cfRule>
    <cfRule type="beginsWith" dxfId="860" priority="1037" operator="beginsWith" text="Voltaire">
      <formula>LEFT(CN66,LEN("Voltaire"))="Voltaire"</formula>
    </cfRule>
  </conditionalFormatting>
  <conditionalFormatting sqref="CN151">
    <cfRule type="beginsWith" dxfId="859" priority="1022" operator="beginsWith" text="Projet professionnel : Séminaire PFI">
      <formula>LEFT(CN151,LEN("Projet professionnel : Séminaire PFI"))="Projet professionnel : Séminaire PFI"</formula>
    </cfRule>
    <cfRule type="beginsWith" dxfId="858" priority="1023" operator="beginsWith" text="Lancement Projet fil rouge">
      <formula>LEFT(CN151,LEN("Lancement Projet fil rouge"))="Lancement Projet fil rouge"</formula>
    </cfRule>
    <cfRule type="beginsWith" dxfId="857" priority="1024" operator="beginsWith" text="Vacances">
      <formula>LEFT(CN151,LEN("Vacances"))="Vacances"</formula>
    </cfRule>
    <cfRule type="beginsWith" dxfId="856" priority="1025" operator="beginsWith" text="Séminaire d'intégration">
      <formula>LEFT(CN151,LEN("Séminaire d'intégration"))="Séminaire d'intégration"</formula>
    </cfRule>
    <cfRule type="beginsWith" dxfId="855" priority="1026" operator="beginsWith" text="Accueil">
      <formula>LEFT(CN151,LEN("Accueil"))="Accueil"</formula>
    </cfRule>
    <cfRule type="beginsWith" dxfId="854" priority="1027" operator="beginsWith" text="Stage">
      <formula>LEFT(CN151,LEN("Stage"))="Stage"</formula>
    </cfRule>
    <cfRule type="beginsWith" dxfId="853" priority="1028" operator="beginsWith" text="Entreprise">
      <formula>LEFT(CN151,LEN("Entreprise"))="Entreprise"</formula>
    </cfRule>
    <cfRule type="beginsWith" dxfId="852" priority="1029" operator="beginsWith" text="Voltaire">
      <formula>LEFT(CN151,LEN("Voltaire"))="Voltaire"</formula>
    </cfRule>
  </conditionalFormatting>
  <conditionalFormatting sqref="CN186:CN194">
    <cfRule type="beginsWith" dxfId="851" priority="1014" operator="beginsWith" text="Projet professionnel : Séminaire PFI">
      <formula>LEFT(CN186,LEN("Projet professionnel : Séminaire PFI"))="Projet professionnel : Séminaire PFI"</formula>
    </cfRule>
    <cfRule type="beginsWith" dxfId="850" priority="1015" operator="beginsWith" text="Lancement Projet fil rouge">
      <formula>LEFT(CN186,LEN("Lancement Projet fil rouge"))="Lancement Projet fil rouge"</formula>
    </cfRule>
    <cfRule type="beginsWith" dxfId="849" priority="1016" operator="beginsWith" text="Vacances">
      <formula>LEFT(CN186,LEN("Vacances"))="Vacances"</formula>
    </cfRule>
    <cfRule type="beginsWith" dxfId="848" priority="1017" operator="beginsWith" text="Séminaire d'intégration">
      <formula>LEFT(CN186,LEN("Séminaire d'intégration"))="Séminaire d'intégration"</formula>
    </cfRule>
    <cfRule type="beginsWith" dxfId="847" priority="1018" operator="beginsWith" text="Accueil">
      <formula>LEFT(CN186,LEN("Accueil"))="Accueil"</formula>
    </cfRule>
    <cfRule type="beginsWith" dxfId="846" priority="1019" operator="beginsWith" text="Stage">
      <formula>LEFT(CN186,LEN("Stage"))="Stage"</formula>
    </cfRule>
    <cfRule type="beginsWith" dxfId="845" priority="1020" operator="beginsWith" text="Entreprise">
      <formula>LEFT(CN186,LEN("Entreprise"))="Entreprise"</formula>
    </cfRule>
    <cfRule type="beginsWith" dxfId="844" priority="1021" operator="beginsWith" text="Voltaire">
      <formula>LEFT(CN186,LEN("Voltaire"))="Voltaire"</formula>
    </cfRule>
  </conditionalFormatting>
  <conditionalFormatting sqref="CO191">
    <cfRule type="beginsWith" dxfId="843" priority="1007" operator="beginsWith" text="Lancement Projet fil rouge">
      <formula>LEFT(CO191,LEN("Lancement Projet fil rouge"))="Lancement Projet fil rouge"</formula>
    </cfRule>
  </conditionalFormatting>
  <conditionalFormatting sqref="CO191">
    <cfRule type="beginsWith" dxfId="842" priority="1008" operator="beginsWith" text="Vacances">
      <formula>LEFT(CO191,LEN("Vacances"))="Vacances"</formula>
    </cfRule>
  </conditionalFormatting>
  <conditionalFormatting sqref="CO191">
    <cfRule type="beginsWith" dxfId="841" priority="1009" operator="beginsWith" text="Séminaire d'intégration">
      <formula>LEFT(CO191,LEN("Séminaire d'intégration"))="Séminaire d'intégration"</formula>
    </cfRule>
  </conditionalFormatting>
  <conditionalFormatting sqref="CO191">
    <cfRule type="beginsWith" dxfId="840" priority="1010" operator="beginsWith" text="Accueil">
      <formula>LEFT(CO191,LEN("Accueil"))="Accueil"</formula>
    </cfRule>
  </conditionalFormatting>
  <conditionalFormatting sqref="CO191">
    <cfRule type="beginsWith" dxfId="839" priority="1011" operator="beginsWith" text="Stage">
      <formula>LEFT(CO191,LEN("Stage"))="Stage"</formula>
    </cfRule>
    <cfRule type="beginsWith" dxfId="838" priority="1012" operator="beginsWith" text="Entreprise">
      <formula>LEFT(CO191,LEN("Entreprise"))="Entreprise"</formula>
    </cfRule>
    <cfRule type="beginsWith" dxfId="837" priority="1013" operator="beginsWith" text="Voltaire">
      <formula>LEFT(CO191,LEN("Voltaire"))="Voltaire"</formula>
    </cfRule>
  </conditionalFormatting>
  <conditionalFormatting sqref="CO195">
    <cfRule type="beginsWith" dxfId="836" priority="1000" operator="beginsWith" text="Lancement Projet fil rouge">
      <formula>LEFT(CO195,LEN("Lancement Projet fil rouge"))="Lancement Projet fil rouge"</formula>
    </cfRule>
    <cfRule type="beginsWith" dxfId="835" priority="1001" operator="beginsWith" text="Vacances">
      <formula>LEFT(CO195,LEN("Vacances"))="Vacances"</formula>
    </cfRule>
    <cfRule type="beginsWith" dxfId="834" priority="1002" operator="beginsWith" text="Séminaire d'intégration">
      <formula>LEFT(CO195,LEN("Séminaire d'intégration"))="Séminaire d'intégration"</formula>
    </cfRule>
    <cfRule type="beginsWith" dxfId="833" priority="1003" operator="beginsWith" text="Accueil">
      <formula>LEFT(CO195,LEN("Accueil"))="Accueil"</formula>
    </cfRule>
    <cfRule type="beginsWith" dxfId="832" priority="1004" operator="beginsWith" text="Stage">
      <formula>LEFT(CO195,LEN("Stage"))="Stage"</formula>
    </cfRule>
    <cfRule type="beginsWith" dxfId="831" priority="1005" operator="beginsWith" text="Entreprise">
      <formula>LEFT(CO195,LEN("Entreprise"))="Entreprise"</formula>
    </cfRule>
    <cfRule type="beginsWith" dxfId="830" priority="1006" operator="beginsWith" text="Voltaire">
      <formula>LEFT(CO195,LEN("Voltaire"))="Voltaire"</formula>
    </cfRule>
  </conditionalFormatting>
  <conditionalFormatting sqref="EO191">
    <cfRule type="beginsWith" dxfId="829" priority="993" operator="beginsWith" text="Lancement Projet fil rouge">
      <formula>LEFT(EO191,LEN("Lancement Projet fil rouge"))="Lancement Projet fil rouge"</formula>
    </cfRule>
  </conditionalFormatting>
  <conditionalFormatting sqref="EO191">
    <cfRule type="beginsWith" dxfId="828" priority="994" operator="beginsWith" text="Vacances">
      <formula>LEFT(EO191,LEN("Vacances"))="Vacances"</formula>
    </cfRule>
  </conditionalFormatting>
  <conditionalFormatting sqref="EO191">
    <cfRule type="beginsWith" dxfId="827" priority="995" operator="beginsWith" text="Séminaire d'intégration">
      <formula>LEFT(EO191,LEN("Séminaire d'intégration"))="Séminaire d'intégration"</formula>
    </cfRule>
  </conditionalFormatting>
  <conditionalFormatting sqref="EO191">
    <cfRule type="beginsWith" dxfId="826" priority="996" operator="beginsWith" text="Accueil">
      <formula>LEFT(EO191,LEN("Accueil"))="Accueil"</formula>
    </cfRule>
  </conditionalFormatting>
  <conditionalFormatting sqref="EO191">
    <cfRule type="beginsWith" dxfId="825" priority="997" operator="beginsWith" text="Stage">
      <formula>LEFT(EO191,LEN("Stage"))="Stage"</formula>
    </cfRule>
    <cfRule type="beginsWith" dxfId="824" priority="998" operator="beginsWith" text="Entreprise">
      <formula>LEFT(EO191,LEN("Entreprise"))="Entreprise"</formula>
    </cfRule>
    <cfRule type="beginsWith" dxfId="823" priority="999" operator="beginsWith" text="Voltaire">
      <formula>LEFT(EO191,LEN("Voltaire"))="Voltaire"</formula>
    </cfRule>
  </conditionalFormatting>
  <conditionalFormatting sqref="CH116">
    <cfRule type="beginsWith" dxfId="822" priority="985" operator="beginsWith" text="Projet professionnel : Séminaire PFI">
      <formula>LEFT(CH116,LEN("Projet professionnel : Séminaire PFI"))="Projet professionnel : Séminaire PFI"</formula>
    </cfRule>
    <cfRule type="beginsWith" dxfId="821" priority="986" operator="beginsWith" text="Lancement Projet fil rouge">
      <formula>LEFT(CH116,LEN("Lancement Projet fil rouge"))="Lancement Projet fil rouge"</formula>
    </cfRule>
    <cfRule type="beginsWith" dxfId="820" priority="987" operator="beginsWith" text="Vacances">
      <formula>LEFT(CH116,LEN("Vacances"))="Vacances"</formula>
    </cfRule>
    <cfRule type="beginsWith" dxfId="819" priority="988" operator="beginsWith" text="Séminaire d'intégration">
      <formula>LEFT(CH116,LEN("Séminaire d'intégration"))="Séminaire d'intégration"</formula>
    </cfRule>
    <cfRule type="beginsWith" dxfId="818" priority="989" operator="beginsWith" text="Accueil">
      <formula>LEFT(CH116,LEN("Accueil"))="Accueil"</formula>
    </cfRule>
    <cfRule type="beginsWith" dxfId="817" priority="990" operator="beginsWith" text="Stage">
      <formula>LEFT(CH116,LEN("Stage"))="Stage"</formula>
    </cfRule>
    <cfRule type="beginsWith" dxfId="816" priority="991" operator="beginsWith" text="Entreprise">
      <formula>LEFT(CH116,LEN("Entreprise"))="Entreprise"</formula>
    </cfRule>
    <cfRule type="beginsWith" dxfId="815" priority="992" operator="beginsWith" text="Voltaire">
      <formula>LEFT(CH116,LEN("Voltaire"))="Voltaire"</formula>
    </cfRule>
  </conditionalFormatting>
  <conditionalFormatting sqref="CH161">
    <cfRule type="beginsWith" dxfId="814" priority="977" operator="beginsWith" text="Projet professionnel : Séminaire PFI">
      <formula>LEFT(CH161,LEN("Projet professionnel : Séminaire PFI"))="Projet professionnel : Séminaire PFI"</formula>
    </cfRule>
    <cfRule type="beginsWith" dxfId="813" priority="978" operator="beginsWith" text="Lancement Projet fil rouge">
      <formula>LEFT(CH161,LEN("Lancement Projet fil rouge"))="Lancement Projet fil rouge"</formula>
    </cfRule>
    <cfRule type="beginsWith" dxfId="812" priority="979" operator="beginsWith" text="Vacances">
      <formula>LEFT(CH161,LEN("Vacances"))="Vacances"</formula>
    </cfRule>
    <cfRule type="beginsWith" dxfId="811" priority="980" operator="beginsWith" text="Séminaire d'intégration">
      <formula>LEFT(CH161,LEN("Séminaire d'intégration"))="Séminaire d'intégration"</formula>
    </cfRule>
    <cfRule type="beginsWith" dxfId="810" priority="981" operator="beginsWith" text="Accueil">
      <formula>LEFT(CH161,LEN("Accueil"))="Accueil"</formula>
    </cfRule>
    <cfRule type="beginsWith" dxfId="809" priority="982" operator="beginsWith" text="Stage">
      <formula>LEFT(CH161,LEN("Stage"))="Stage"</formula>
    </cfRule>
    <cfRule type="beginsWith" dxfId="808" priority="983" operator="beginsWith" text="Entreprise">
      <formula>LEFT(CH161,LEN("Entreprise"))="Entreprise"</formula>
    </cfRule>
    <cfRule type="beginsWith" dxfId="807" priority="984" operator="beginsWith" text="Voltaire">
      <formula>LEFT(CH161,LEN("Voltaire"))="Voltaire"</formula>
    </cfRule>
  </conditionalFormatting>
  <conditionalFormatting sqref="BR31:BR125 BR161:BR163 BR165:BR168 BR171 BR173 BR175:BR178 BR196:BR197 BR199:BR203 BR211:BR213 BR215 BR221:BR223 BR225 BR1:BR2 BR5 BR241:BR1048576">
    <cfRule type="beginsWith" dxfId="806" priority="791" operator="beginsWith" text="Lancement Projet fil rouge">
      <formula>LEFT(BR1,LEN("Lancement Projet fil rouge"))="Lancement Projet fil rouge"</formula>
    </cfRule>
  </conditionalFormatting>
  <conditionalFormatting sqref="BR31:BR125 BR161:BR163 BR165:BR168 BR171 BR173 BR175:BR178 BR196:BR197 BR199:BR203 BR211:BR213 BR215 BR221:BR223 BR225 BR1:BR2 BR5 BR241:BR1048576">
    <cfRule type="beginsWith" dxfId="805" priority="792" operator="beginsWith" text="Vacances">
      <formula>LEFT(BR1,LEN("Vacances"))="Vacances"</formula>
    </cfRule>
  </conditionalFormatting>
  <conditionalFormatting sqref="BR31:BR125 BR161:BR163 BR165:BR168 BR171 BR173 BR175:BR178 BR196:BR197 BR199:BR203 BR211:BR213 BR215 BR221:BR223 BR225 BR1:BR2 BR5 BR241:BR1048576">
    <cfRule type="beginsWith" dxfId="804" priority="793" operator="beginsWith" text="Séminaire d'intégration">
      <formula>LEFT(BR1,LEN("Séminaire d'intégration"))="Séminaire d'intégration"</formula>
    </cfRule>
  </conditionalFormatting>
  <conditionalFormatting sqref="BR31:BR125 BR161:BR163 BR165:BR168 BR171 BR173 BR175:BR178 BR196:BR197 BR199:BR203 BR211:BR213 BR215 BR221:BR223 BR225 BR1:BR2 BR5 BR241:BR1048576">
    <cfRule type="beginsWith" dxfId="803" priority="794" operator="beginsWith" text="Accueil">
      <formula>LEFT(BR1,LEN("Accueil"))="Accueil"</formula>
    </cfRule>
  </conditionalFormatting>
  <conditionalFormatting sqref="BR31:BR125 BR161:BR163 BR165:BR168 BR171 BR173 BR175:BR178 BR196:BR197 BR199:BR203 BR211:BR213 BR215 BR221:BR223 BR225 BR1:BR2 BR5 BR241:BR1048576">
    <cfRule type="beginsWith" dxfId="802" priority="797" operator="beginsWith" text="Stage">
      <formula>LEFT(BR1,LEN("Stage"))="Stage"</formula>
    </cfRule>
    <cfRule type="beginsWith" dxfId="801" priority="798" operator="beginsWith" text="Entreprise">
      <formula>LEFT(BR1,LEN("Entreprise"))="Entreprise"</formula>
    </cfRule>
    <cfRule type="beginsWith" dxfId="800" priority="800" operator="beginsWith" text="Voltaire">
      <formula>LEFT(BR1,LEN("Voltaire"))="Voltaire"</formula>
    </cfRule>
  </conditionalFormatting>
  <conditionalFormatting sqref="BR1:BR2 BR5 BR31:BR125 BR161:BR163 BR165:BR168 BR171 BR173 BR175:BR178 BR196:BR197 BR199:BR203 BR211:BR213 BR215 BR221:BR223 BR225 BR241:BR1048576">
    <cfRule type="beginsWith" dxfId="799" priority="795" operator="beginsWith" text="TOPHYC">
      <formula>LEFT(BR1,LEN("TOPHYC"))="TOPHYC"</formula>
    </cfRule>
    <cfRule type="beginsWith" dxfId="798" priority="796" operator="beginsWith" text="Global Exam">
      <formula>LEFT(BR1,LEN("Global Exam"))="Global Exam"</formula>
    </cfRule>
    <cfRule type="beginsWith" dxfId="797" priority="799" operator="beginsWith" text="TOMIC">
      <formula>LEFT(BR1,LEN("TOMIC"))="TOMIC"</formula>
    </cfRule>
  </conditionalFormatting>
  <conditionalFormatting sqref="BR126:BR129">
    <cfRule type="beginsWith" dxfId="796" priority="651" operator="beginsWith" text="Lancement Projet fil rouge">
      <formula>LEFT(BR126,LEN("Lancement Projet fil rouge"))="Lancement Projet fil rouge"</formula>
    </cfRule>
    <cfRule type="beginsWith" dxfId="795" priority="652" operator="beginsWith" text="Vacances">
      <formula>LEFT(BR126,LEN("Vacances"))="Vacances"</formula>
    </cfRule>
    <cfRule type="beginsWith" dxfId="794" priority="653" operator="beginsWith" text="Séminaire d'intégration">
      <formula>LEFT(BR126,LEN("Séminaire d'intégration"))="Séminaire d'intégration"</formula>
    </cfRule>
    <cfRule type="beginsWith" dxfId="793" priority="654" operator="beginsWith" text="Accueil">
      <formula>LEFT(BR126,LEN("Accueil"))="Accueil"</formula>
    </cfRule>
    <cfRule type="beginsWith" dxfId="792" priority="657" operator="beginsWith" text="Stage">
      <formula>LEFT(BR126,LEN("Stage"))="Stage"</formula>
    </cfRule>
    <cfRule type="beginsWith" dxfId="791" priority="658" operator="beginsWith" text="Entreprise">
      <formula>LEFT(BR126,LEN("Entreprise"))="Entreprise"</formula>
    </cfRule>
    <cfRule type="beginsWith" dxfId="790" priority="660" operator="beginsWith" text="Voltaire">
      <formula>LEFT(BR126,LEN("Voltaire"))="Voltaire"</formula>
    </cfRule>
  </conditionalFormatting>
  <conditionalFormatting sqref="BR131:BR135">
    <cfRule type="beginsWith" dxfId="789" priority="661" operator="beginsWith" text="Lancement Projet fil rouge">
      <formula>LEFT(BR131,LEN("Lancement Projet fil rouge"))="Lancement Projet fil rouge"</formula>
    </cfRule>
    <cfRule type="beginsWith" dxfId="788" priority="662" operator="beginsWith" text="Vacances">
      <formula>LEFT(BR131,LEN("Vacances"))="Vacances"</formula>
    </cfRule>
    <cfRule type="beginsWith" dxfId="787" priority="663" operator="beginsWith" text="Séminaire d'intégration">
      <formula>LEFT(BR131,LEN("Séminaire d'intégration"))="Séminaire d'intégration"</formula>
    </cfRule>
    <cfRule type="beginsWith" dxfId="786" priority="664" operator="beginsWith" text="Accueil">
      <formula>LEFT(BR131,LEN("Accueil"))="Accueil"</formula>
    </cfRule>
    <cfRule type="beginsWith" dxfId="785" priority="667" operator="beginsWith" text="Stage">
      <formula>LEFT(BR131,LEN("Stage"))="Stage"</formula>
    </cfRule>
    <cfRule type="beginsWith" dxfId="784" priority="668" operator="beginsWith" text="Entreprise">
      <formula>LEFT(BR131,LEN("Entreprise"))="Entreprise"</formula>
    </cfRule>
    <cfRule type="beginsWith" dxfId="783" priority="670" operator="beginsWith" text="Voltaire">
      <formula>LEFT(BR131,LEN("Voltaire"))="Voltaire"</formula>
    </cfRule>
  </conditionalFormatting>
  <conditionalFormatting sqref="BR181:BR185">
    <cfRule type="beginsWith" dxfId="782" priority="721" operator="beginsWith" text="Lancement Projet fil rouge">
      <formula>LEFT(BR181,LEN("Lancement Projet fil rouge"))="Lancement Projet fil rouge"</formula>
    </cfRule>
    <cfRule type="beginsWith" dxfId="781" priority="722" operator="beginsWith" text="Vacances">
      <formula>LEFT(BR181,LEN("Vacances"))="Vacances"</formula>
    </cfRule>
    <cfRule type="beginsWith" dxfId="780" priority="723" operator="beginsWith" text="Séminaire d'intégration">
      <formula>LEFT(BR181,LEN("Séminaire d'intégration"))="Séminaire d'intégration"</formula>
    </cfRule>
    <cfRule type="beginsWith" dxfId="779" priority="724" operator="beginsWith" text="Accueil">
      <formula>LEFT(BR181,LEN("Accueil"))="Accueil"</formula>
    </cfRule>
    <cfRule type="beginsWith" dxfId="778" priority="727" operator="beginsWith" text="Stage">
      <formula>LEFT(BR181,LEN("Stage"))="Stage"</formula>
    </cfRule>
    <cfRule type="beginsWith" dxfId="777" priority="728" operator="beginsWith" text="Entreprise">
      <formula>LEFT(BR181,LEN("Entreprise"))="Entreprise"</formula>
    </cfRule>
    <cfRule type="beginsWith" dxfId="776" priority="730" operator="beginsWith" text="Voltaire">
      <formula>LEFT(BR181,LEN("Voltaire"))="Voltaire"</formula>
    </cfRule>
  </conditionalFormatting>
  <conditionalFormatting sqref="BR186 BR190">
    <cfRule type="beginsWith" dxfId="775" priority="751" operator="beginsWith" text="Lancement Projet fil rouge">
      <formula>LEFT(BR186,LEN("Lancement Projet fil rouge"))="Lancement Projet fil rouge"</formula>
    </cfRule>
    <cfRule type="beginsWith" dxfId="774" priority="752" operator="beginsWith" text="Vacances">
      <formula>LEFT(BR186,LEN("Vacances"))="Vacances"</formula>
    </cfRule>
    <cfRule type="beginsWith" dxfId="773" priority="753" operator="beginsWith" text="Séminaire d'intégration">
      <formula>LEFT(BR186,LEN("Séminaire d'intégration"))="Séminaire d'intégration"</formula>
    </cfRule>
    <cfRule type="beginsWith" dxfId="772" priority="754" operator="beginsWith" text="Accueil">
      <formula>LEFT(BR186,LEN("Accueil"))="Accueil"</formula>
    </cfRule>
    <cfRule type="beginsWith" dxfId="771" priority="757" operator="beginsWith" text="Stage">
      <formula>LEFT(BR186,LEN("Stage"))="Stage"</formula>
    </cfRule>
    <cfRule type="beginsWith" dxfId="770" priority="758" operator="beginsWith" text="Entreprise">
      <formula>LEFT(BR186,LEN("Entreprise"))="Entreprise"</formula>
    </cfRule>
    <cfRule type="beginsWith" dxfId="769" priority="760" operator="beginsWith" text="Voltaire">
      <formula>LEFT(BR186,LEN("Voltaire"))="Voltaire"</formula>
    </cfRule>
  </conditionalFormatting>
  <conditionalFormatting sqref="BR136:BR139 BR141:BR145">
    <cfRule type="beginsWith" dxfId="768" priority="631" operator="beginsWith" text="Lancement Projet fil rouge">
      <formula>LEFT(BR136,LEN("Lancement Projet fil rouge"))="Lancement Projet fil rouge"</formula>
    </cfRule>
    <cfRule type="beginsWith" dxfId="767" priority="632" operator="beginsWith" text="Vacances">
      <formula>LEFT(BR136,LEN("Vacances"))="Vacances"</formula>
    </cfRule>
    <cfRule type="beginsWith" dxfId="766" priority="633" operator="beginsWith" text="Séminaire d'intégration">
      <formula>LEFT(BR136,LEN("Séminaire d'intégration"))="Séminaire d'intégration"</formula>
    </cfRule>
    <cfRule type="beginsWith" dxfId="765" priority="634" operator="beginsWith" text="Accueil">
      <formula>LEFT(BR136,LEN("Accueil"))="Accueil"</formula>
    </cfRule>
    <cfRule type="beginsWith" dxfId="764" priority="637" operator="beginsWith" text="Stage">
      <formula>LEFT(BR136,LEN("Stage"))="Stage"</formula>
    </cfRule>
    <cfRule type="beginsWith" dxfId="763" priority="638" operator="beginsWith" text="Entreprise">
      <formula>LEFT(BR136,LEN("Entreprise"))="Entreprise"</formula>
    </cfRule>
    <cfRule type="beginsWith" dxfId="762" priority="640" operator="beginsWith" text="Voltaire">
      <formula>LEFT(BR136,LEN("Voltaire"))="Voltaire"</formula>
    </cfRule>
  </conditionalFormatting>
  <conditionalFormatting sqref="BR6:BR10">
    <cfRule type="beginsWith" dxfId="761" priority="671" operator="beginsWith" text="Lancement Projet fil rouge">
      <formula>LEFT(BR6,LEN("Lancement Projet fil rouge"))="Lancement Projet fil rouge"</formula>
    </cfRule>
    <cfRule type="beginsWith" dxfId="760" priority="672" operator="beginsWith" text="Vacances">
      <formula>LEFT(BR6,LEN("Vacances"))="Vacances"</formula>
    </cfRule>
    <cfRule type="beginsWith" dxfId="759" priority="673" operator="beginsWith" text="Séminaire d'intégration">
      <formula>LEFT(BR6,LEN("Séminaire d'intégration"))="Séminaire d'intégration"</formula>
    </cfRule>
    <cfRule type="beginsWith" dxfId="758" priority="674" operator="beginsWith" text="Accueil">
      <formula>LEFT(BR6,LEN("Accueil"))="Accueil"</formula>
    </cfRule>
    <cfRule type="beginsWith" dxfId="757" priority="677" operator="beginsWith" text="Stage">
      <formula>LEFT(BR6,LEN("Stage"))="Stage"</formula>
    </cfRule>
    <cfRule type="beginsWith" dxfId="756" priority="678" operator="beginsWith" text="Entreprise">
      <formula>LEFT(BR6,LEN("Entreprise"))="Entreprise"</formula>
    </cfRule>
    <cfRule type="beginsWith" dxfId="755" priority="680" operator="beginsWith" text="Voltaire">
      <formula>LEFT(BR6,LEN("Voltaire"))="Voltaire"</formula>
    </cfRule>
  </conditionalFormatting>
  <conditionalFormatting sqref="BR11:BR15">
    <cfRule type="beginsWith" dxfId="754" priority="701" operator="beginsWith" text="Lancement Projet fil rouge">
      <formula>LEFT(BR11,LEN("Lancement Projet fil rouge"))="Lancement Projet fil rouge"</formula>
    </cfRule>
    <cfRule type="beginsWith" dxfId="753" priority="702" operator="beginsWith" text="Vacances">
      <formula>LEFT(BR11,LEN("Vacances"))="Vacances"</formula>
    </cfRule>
    <cfRule type="beginsWith" dxfId="752" priority="703" operator="beginsWith" text="Séminaire d'intégration">
      <formula>LEFT(BR11,LEN("Séminaire d'intégration"))="Séminaire d'intégration"</formula>
    </cfRule>
    <cfRule type="beginsWith" dxfId="751" priority="704" operator="beginsWith" text="Accueil">
      <formula>LEFT(BR11,LEN("Accueil"))="Accueil"</formula>
    </cfRule>
    <cfRule type="beginsWith" dxfId="750" priority="707" operator="beginsWith" text="Stage">
      <formula>LEFT(BR11,LEN("Stage"))="Stage"</formula>
    </cfRule>
    <cfRule type="beginsWith" dxfId="749" priority="708" operator="beginsWith" text="Entreprise">
      <formula>LEFT(BR11,LEN("Entreprise"))="Entreprise"</formula>
    </cfRule>
    <cfRule type="beginsWith" dxfId="748" priority="710" operator="beginsWith" text="Voltaire">
      <formula>LEFT(BR11,LEN("Voltaire"))="Voltaire"</formula>
    </cfRule>
  </conditionalFormatting>
  <conditionalFormatting sqref="BR16:BR20">
    <cfRule type="beginsWith" dxfId="747" priority="711" operator="beginsWith" text="Lancement Projet fil rouge">
      <formula>LEFT(BR16,LEN("Lancement Projet fil rouge"))="Lancement Projet fil rouge"</formula>
    </cfRule>
    <cfRule type="beginsWith" dxfId="746" priority="712" operator="beginsWith" text="Vacances">
      <formula>LEFT(BR16,LEN("Vacances"))="Vacances"</formula>
    </cfRule>
    <cfRule type="beginsWith" dxfId="745" priority="713" operator="beginsWith" text="Séminaire d'intégration">
      <formula>LEFT(BR16,LEN("Séminaire d'intégration"))="Séminaire d'intégration"</formula>
    </cfRule>
    <cfRule type="beginsWith" dxfId="744" priority="714" operator="beginsWith" text="Accueil">
      <formula>LEFT(BR16,LEN("Accueil"))="Accueil"</formula>
    </cfRule>
    <cfRule type="beginsWith" dxfId="743" priority="717" operator="beginsWith" text="Stage">
      <formula>LEFT(BR16,LEN("Stage"))="Stage"</formula>
    </cfRule>
    <cfRule type="beginsWith" dxfId="742" priority="718" operator="beginsWith" text="Entreprise">
      <formula>LEFT(BR16,LEN("Entreprise"))="Entreprise"</formula>
    </cfRule>
    <cfRule type="beginsWith" dxfId="741" priority="720" operator="beginsWith" text="Voltaire">
      <formula>LEFT(BR16,LEN("Voltaire"))="Voltaire"</formula>
    </cfRule>
  </conditionalFormatting>
  <conditionalFormatting sqref="BR21:BR25">
    <cfRule type="beginsWith" dxfId="740" priority="691" operator="beginsWith" text="Lancement Projet fil rouge">
      <formula>LEFT(BR21,LEN("Lancement Projet fil rouge"))="Lancement Projet fil rouge"</formula>
    </cfRule>
    <cfRule type="beginsWith" dxfId="739" priority="692" operator="beginsWith" text="Vacances">
      <formula>LEFT(BR21,LEN("Vacances"))="Vacances"</formula>
    </cfRule>
    <cfRule type="beginsWith" dxfId="738" priority="693" operator="beginsWith" text="Séminaire d'intégration">
      <formula>LEFT(BR21,LEN("Séminaire d'intégration"))="Séminaire d'intégration"</formula>
    </cfRule>
    <cfRule type="beginsWith" dxfId="737" priority="694" operator="beginsWith" text="Accueil">
      <formula>LEFT(BR21,LEN("Accueil"))="Accueil"</formula>
    </cfRule>
    <cfRule type="beginsWith" dxfId="736" priority="697" operator="beginsWith" text="Stage">
      <formula>LEFT(BR21,LEN("Stage"))="Stage"</formula>
    </cfRule>
    <cfRule type="beginsWith" dxfId="735" priority="698" operator="beginsWith" text="Entreprise">
      <formula>LEFT(BR21,LEN("Entreprise"))="Entreprise"</formula>
    </cfRule>
    <cfRule type="beginsWith" dxfId="734" priority="700" operator="beginsWith" text="Voltaire">
      <formula>LEFT(BR21,LEN("Voltaire"))="Voltaire"</formula>
    </cfRule>
  </conditionalFormatting>
  <conditionalFormatting sqref="BR226:BR227 BR229:BR230">
    <cfRule type="beginsWith" dxfId="733" priority="531" operator="beginsWith" text="Lancement Projet fil rouge">
      <formula>LEFT(BR226,LEN("Lancement Projet fil rouge"))="Lancement Projet fil rouge"</formula>
    </cfRule>
    <cfRule type="beginsWith" dxfId="732" priority="532" operator="beginsWith" text="Vacances">
      <formula>LEFT(BR226,LEN("Vacances"))="Vacances"</formula>
    </cfRule>
    <cfRule type="beginsWith" dxfId="731" priority="533" operator="beginsWith" text="Séminaire d'intégration">
      <formula>LEFT(BR226,LEN("Séminaire d'intégration"))="Séminaire d'intégration"</formula>
    </cfRule>
    <cfRule type="beginsWith" dxfId="730" priority="534" operator="beginsWith" text="Accueil">
      <formula>LEFT(BR226,LEN("Accueil"))="Accueil"</formula>
    </cfRule>
    <cfRule type="beginsWith" dxfId="729" priority="537" operator="beginsWith" text="Stage">
      <formula>LEFT(BR226,LEN("Stage"))="Stage"</formula>
    </cfRule>
    <cfRule type="beginsWith" dxfId="728" priority="538" operator="beginsWith" text="Entreprise">
      <formula>LEFT(BR226,LEN("Entreprise"))="Entreprise"</formula>
    </cfRule>
    <cfRule type="beginsWith" dxfId="727" priority="540" operator="beginsWith" text="Voltaire">
      <formula>LEFT(BR226,LEN("Voltaire"))="Voltaire"</formula>
    </cfRule>
  </conditionalFormatting>
  <conditionalFormatting sqref="BR126:BR129">
    <cfRule type="beginsWith" dxfId="726" priority="655" operator="beginsWith" text="TOPHYC">
      <formula>LEFT(BR126,LEN("TOPHYC"))="TOPHYC"</formula>
    </cfRule>
    <cfRule type="beginsWith" dxfId="725" priority="656" operator="beginsWith" text="Global Exam">
      <formula>LEFT(BR126,LEN("Global Exam"))="Global Exam"</formula>
    </cfRule>
    <cfRule type="beginsWith" dxfId="724" priority="659" operator="beginsWith" text="TOMIC">
      <formula>LEFT(BR126,LEN("TOMIC"))="TOMIC"</formula>
    </cfRule>
  </conditionalFormatting>
  <conditionalFormatting sqref="BR130">
    <cfRule type="beginsWith" dxfId="723" priority="641" operator="beginsWith" text="Lancement Projet fil rouge">
      <formula>LEFT(BR130,LEN("Lancement Projet fil rouge"))="Lancement Projet fil rouge"</formula>
    </cfRule>
    <cfRule type="beginsWith" dxfId="722" priority="642" operator="beginsWith" text="Vacances">
      <formula>LEFT(BR130,LEN("Vacances"))="Vacances"</formula>
    </cfRule>
    <cfRule type="beginsWith" dxfId="721" priority="643" operator="beginsWith" text="Séminaire d'intégration">
      <formula>LEFT(BR130,LEN("Séminaire d'intégration"))="Séminaire d'intégration"</formula>
    </cfRule>
    <cfRule type="beginsWith" dxfId="720" priority="644" operator="beginsWith" text="Accueil">
      <formula>LEFT(BR130,LEN("Accueil"))="Accueil"</formula>
    </cfRule>
    <cfRule type="beginsWith" dxfId="719" priority="645" operator="beginsWith" text="TOPHYC">
      <formula>LEFT(BR130,LEN("TOPHYC"))="TOPHYC"</formula>
    </cfRule>
    <cfRule type="beginsWith" dxfId="718" priority="646" operator="beginsWith" text="Global Exam">
      <formula>LEFT(BR130,LEN("Global Exam"))="Global Exam"</formula>
    </cfRule>
    <cfRule type="beginsWith" dxfId="717" priority="647" operator="beginsWith" text="Stage">
      <formula>LEFT(BR130,LEN("Stage"))="Stage"</formula>
    </cfRule>
    <cfRule type="beginsWith" dxfId="716" priority="648" operator="beginsWith" text="Entreprise">
      <formula>LEFT(BR130,LEN("Entreprise"))="Entreprise"</formula>
    </cfRule>
    <cfRule type="beginsWith" dxfId="715" priority="649" operator="beginsWith" text="TOMIC">
      <formula>LEFT(BR130,LEN("TOMIC"))="TOMIC"</formula>
    </cfRule>
    <cfRule type="beginsWith" dxfId="714" priority="650" operator="beginsWith" text="Voltaire">
      <formula>LEFT(BR130,LEN("Voltaire"))="Voltaire"</formula>
    </cfRule>
  </conditionalFormatting>
  <conditionalFormatting sqref="BR131:BR135">
    <cfRule type="beginsWith" dxfId="713" priority="665" operator="beginsWith" text="TOPHYC">
      <formula>LEFT(BR131,LEN("TOPHYC"))="TOPHYC"</formula>
    </cfRule>
    <cfRule type="beginsWith" dxfId="712" priority="666" operator="beginsWith" text="Global Exam">
      <formula>LEFT(BR131,LEN("Global Exam"))="Global Exam"</formula>
    </cfRule>
    <cfRule type="beginsWith" dxfId="711" priority="669" operator="beginsWith" text="TOMIC">
      <formula>LEFT(BR131,LEN("TOMIC"))="TOMIC"</formula>
    </cfRule>
  </conditionalFormatting>
  <conditionalFormatting sqref="BR136:BR139 BR141:BR145">
    <cfRule type="beginsWith" dxfId="710" priority="635" operator="beginsWith" text="TOPHYC">
      <formula>LEFT(BR136,LEN("TOPHYC"))="TOPHYC"</formula>
    </cfRule>
    <cfRule type="beginsWith" dxfId="709" priority="636" operator="beginsWith" text="Global Exam">
      <formula>LEFT(BR136,LEN("Global Exam"))="Global Exam"</formula>
    </cfRule>
    <cfRule type="beginsWith" dxfId="708" priority="639" operator="beginsWith" text="TOMIC">
      <formula>LEFT(BR136,LEN("TOMIC"))="TOMIC"</formula>
    </cfRule>
  </conditionalFormatting>
  <conditionalFormatting sqref="BR140">
    <cfRule type="beginsWith" dxfId="707" priority="521" operator="beginsWith" text="Lancement Projet fil rouge">
      <formula>LEFT(BR140,LEN("Lancement Projet fil rouge"))="Lancement Projet fil rouge"</formula>
    </cfRule>
    <cfRule type="beginsWith" dxfId="706" priority="522" operator="beginsWith" text="Vacances">
      <formula>LEFT(BR140,LEN("Vacances"))="Vacances"</formula>
    </cfRule>
    <cfRule type="beginsWith" dxfId="705" priority="523" operator="beginsWith" text="Séminaire d'intégration">
      <formula>LEFT(BR140,LEN("Séminaire d'intégration"))="Séminaire d'intégration"</formula>
    </cfRule>
    <cfRule type="beginsWith" dxfId="704" priority="524" operator="beginsWith" text="Accueil">
      <formula>LEFT(BR140,LEN("Accueil"))="Accueil"</formula>
    </cfRule>
    <cfRule type="beginsWith" dxfId="703" priority="525" operator="beginsWith" text="TOPHYC">
      <formula>LEFT(BR140,LEN("TOPHYC"))="TOPHYC"</formula>
    </cfRule>
    <cfRule type="beginsWith" dxfId="702" priority="526" operator="beginsWith" text="Global Exam">
      <formula>LEFT(BR140,LEN("Global Exam"))="Global Exam"</formula>
    </cfRule>
    <cfRule type="beginsWith" dxfId="701" priority="527" operator="beginsWith" text="Stage">
      <formula>LEFT(BR140,LEN("Stage"))="Stage"</formula>
    </cfRule>
    <cfRule type="beginsWith" dxfId="700" priority="528" operator="beginsWith" text="Entreprise">
      <formula>LEFT(BR140,LEN("Entreprise"))="Entreprise"</formula>
    </cfRule>
    <cfRule type="beginsWith" dxfId="699" priority="529" operator="beginsWith" text="TOMIC">
      <formula>LEFT(BR140,LEN("TOMIC"))="TOMIC"</formula>
    </cfRule>
    <cfRule type="beginsWith" dxfId="698" priority="530" operator="beginsWith" text="Voltaire">
      <formula>LEFT(BR140,LEN("Voltaire"))="Voltaire"</formula>
    </cfRule>
  </conditionalFormatting>
  <conditionalFormatting sqref="BR146:BR148">
    <cfRule type="beginsWith" dxfId="697" priority="621" operator="beginsWith" text="Lancement Projet fil rouge">
      <formula>LEFT(BR146,LEN("Lancement Projet fil rouge"))="Lancement Projet fil rouge"</formula>
    </cfRule>
    <cfRule type="beginsWith" dxfId="696" priority="622" operator="beginsWith" text="Vacances">
      <formula>LEFT(BR146,LEN("Vacances"))="Vacances"</formula>
    </cfRule>
    <cfRule type="beginsWith" dxfId="695" priority="623" operator="beginsWith" text="Séminaire d'intégration">
      <formula>LEFT(BR146,LEN("Séminaire d'intégration"))="Séminaire d'intégration"</formula>
    </cfRule>
    <cfRule type="beginsWith" dxfId="694" priority="624" operator="beginsWith" text="Accueil">
      <formula>LEFT(BR146,LEN("Accueil"))="Accueil"</formula>
    </cfRule>
    <cfRule type="beginsWith" dxfId="693" priority="625" operator="beginsWith" text="TOPHYC">
      <formula>LEFT(BR146,LEN("TOPHYC"))="TOPHYC"</formula>
    </cfRule>
    <cfRule type="beginsWith" dxfId="692" priority="626" operator="beginsWith" text="Global Exam">
      <formula>LEFT(BR146,LEN("Global Exam"))="Global Exam"</formula>
    </cfRule>
    <cfRule type="beginsWith" dxfId="691" priority="627" operator="beginsWith" text="Stage">
      <formula>LEFT(BR146,LEN("Stage"))="Stage"</formula>
    </cfRule>
    <cfRule type="beginsWith" dxfId="690" priority="628" operator="beginsWith" text="Entreprise">
      <formula>LEFT(BR146,LEN("Entreprise"))="Entreprise"</formula>
    </cfRule>
    <cfRule type="beginsWith" dxfId="689" priority="629" operator="beginsWith" text="TOMIC">
      <formula>LEFT(BR146,LEN("TOMIC"))="TOMIC"</formula>
    </cfRule>
    <cfRule type="beginsWith" dxfId="688" priority="630" operator="beginsWith" text="Voltaire">
      <formula>LEFT(BR146,LEN("Voltaire"))="Voltaire"</formula>
    </cfRule>
  </conditionalFormatting>
  <conditionalFormatting sqref="BR149">
    <cfRule type="beginsWith" dxfId="687" priority="451" operator="beginsWith" text="Lancement Projet fil rouge">
      <formula>LEFT(BR149,LEN("Lancement Projet fil rouge"))="Lancement Projet fil rouge"</formula>
    </cfRule>
    <cfRule type="beginsWith" dxfId="686" priority="452" operator="beginsWith" text="Vacances">
      <formula>LEFT(BR149,LEN("Vacances"))="Vacances"</formula>
    </cfRule>
    <cfRule type="beginsWith" dxfId="685" priority="453" operator="beginsWith" text="Séminaire d'intégration">
      <formula>LEFT(BR149,LEN("Séminaire d'intégration"))="Séminaire d'intégration"</formula>
    </cfRule>
    <cfRule type="beginsWith" dxfId="684" priority="454" operator="beginsWith" text="Accueil">
      <formula>LEFT(BR149,LEN("Accueil"))="Accueil"</formula>
    </cfRule>
    <cfRule type="beginsWith" dxfId="683" priority="455" operator="beginsWith" text="TOPHYC">
      <formula>LEFT(BR149,LEN("TOPHYC"))="TOPHYC"</formula>
    </cfRule>
    <cfRule type="beginsWith" dxfId="682" priority="456" operator="beginsWith" text="Global Exam">
      <formula>LEFT(BR149,LEN("Global Exam"))="Global Exam"</formula>
    </cfRule>
    <cfRule type="beginsWith" dxfId="681" priority="457" operator="beginsWith" text="Stage">
      <formula>LEFT(BR149,LEN("Stage"))="Stage"</formula>
    </cfRule>
    <cfRule type="beginsWith" dxfId="680" priority="458" operator="beginsWith" text="Entreprise">
      <formula>LEFT(BR149,LEN("Entreprise"))="Entreprise"</formula>
    </cfRule>
    <cfRule type="beginsWith" dxfId="679" priority="459" operator="beginsWith" text="TOMIC">
      <formula>LEFT(BR149,LEN("TOMIC"))="TOMIC"</formula>
    </cfRule>
    <cfRule type="beginsWith" dxfId="678" priority="460" operator="beginsWith" text="Voltaire">
      <formula>LEFT(BR149,LEN("Voltaire"))="Voltaire"</formula>
    </cfRule>
  </conditionalFormatting>
  <conditionalFormatting sqref="BR151:BR153 BR155">
    <cfRule type="beginsWith" dxfId="677" priority="611" operator="beginsWith" text="Lancement Projet fil rouge">
      <formula>LEFT(BR151,LEN("Lancement Projet fil rouge"))="Lancement Projet fil rouge"</formula>
    </cfRule>
    <cfRule type="beginsWith" dxfId="676" priority="612" operator="beginsWith" text="Vacances">
      <formula>LEFT(BR151,LEN("Vacances"))="Vacances"</formula>
    </cfRule>
    <cfRule type="beginsWith" dxfId="675" priority="613" operator="beginsWith" text="Séminaire d'intégration">
      <formula>LEFT(BR151,LEN("Séminaire d'intégration"))="Séminaire d'intégration"</formula>
    </cfRule>
    <cfRule type="beginsWith" dxfId="674" priority="614" operator="beginsWith" text="Accueil">
      <formula>LEFT(BR151,LEN("Accueil"))="Accueil"</formula>
    </cfRule>
    <cfRule type="beginsWith" dxfId="673" priority="615" operator="beginsWith" text="TOPHYC">
      <formula>LEFT(BR151,LEN("TOPHYC"))="TOPHYC"</formula>
    </cfRule>
    <cfRule type="beginsWith" dxfId="672" priority="616" operator="beginsWith" text="Global Exam">
      <formula>LEFT(BR151,LEN("Global Exam"))="Global Exam"</formula>
    </cfRule>
    <cfRule type="beginsWith" dxfId="671" priority="617" operator="beginsWith" text="Stage">
      <formula>LEFT(BR151,LEN("Stage"))="Stage"</formula>
    </cfRule>
    <cfRule type="beginsWith" dxfId="670" priority="618" operator="beginsWith" text="Entreprise">
      <formula>LEFT(BR151,LEN("Entreprise"))="Entreprise"</formula>
    </cfRule>
    <cfRule type="beginsWith" dxfId="669" priority="619" operator="beginsWith" text="TOMIC">
      <formula>LEFT(BR151,LEN("TOMIC"))="TOMIC"</formula>
    </cfRule>
    <cfRule type="beginsWith" dxfId="668" priority="620" operator="beginsWith" text="Voltaire">
      <formula>LEFT(BR151,LEN("Voltaire"))="Voltaire"</formula>
    </cfRule>
  </conditionalFormatting>
  <conditionalFormatting sqref="BR154">
    <cfRule type="beginsWith" dxfId="667" priority="441" operator="beginsWith" text="Lancement Projet fil rouge">
      <formula>LEFT(BR154,LEN("Lancement Projet fil rouge"))="Lancement Projet fil rouge"</formula>
    </cfRule>
    <cfRule type="beginsWith" dxfId="666" priority="442" operator="beginsWith" text="Vacances">
      <formula>LEFT(BR154,LEN("Vacances"))="Vacances"</formula>
    </cfRule>
    <cfRule type="beginsWith" dxfId="665" priority="443" operator="beginsWith" text="Séminaire d'intégration">
      <formula>LEFT(BR154,LEN("Séminaire d'intégration"))="Séminaire d'intégration"</formula>
    </cfRule>
    <cfRule type="beginsWith" dxfId="664" priority="444" operator="beginsWith" text="Accueil">
      <formula>LEFT(BR154,LEN("Accueil"))="Accueil"</formula>
    </cfRule>
    <cfRule type="beginsWith" dxfId="663" priority="445" operator="beginsWith" text="TOPHYC">
      <formula>LEFT(BR154,LEN("TOPHYC"))="TOPHYC"</formula>
    </cfRule>
    <cfRule type="beginsWith" dxfId="662" priority="446" operator="beginsWith" text="Global Exam">
      <formula>LEFT(BR154,LEN("Global Exam"))="Global Exam"</formula>
    </cfRule>
    <cfRule type="beginsWith" dxfId="661" priority="447" operator="beginsWith" text="Stage">
      <formula>LEFT(BR154,LEN("Stage"))="Stage"</formula>
    </cfRule>
    <cfRule type="beginsWith" dxfId="660" priority="448" operator="beginsWith" text="Entreprise">
      <formula>LEFT(BR154,LEN("Entreprise"))="Entreprise"</formula>
    </cfRule>
    <cfRule type="beginsWith" dxfId="659" priority="449" operator="beginsWith" text="TOMIC">
      <formula>LEFT(BR154,LEN("TOMIC"))="TOMIC"</formula>
    </cfRule>
    <cfRule type="beginsWith" dxfId="658" priority="450" operator="beginsWith" text="Voltaire">
      <formula>LEFT(BR154,LEN("Voltaire"))="Voltaire"</formula>
    </cfRule>
  </conditionalFormatting>
  <conditionalFormatting sqref="BR160">
    <cfRule type="beginsWith" dxfId="657" priority="511" operator="beginsWith" text="Lancement Projet fil rouge">
      <formula>LEFT(BR160,LEN("Lancement Projet fil rouge"))="Lancement Projet fil rouge"</formula>
    </cfRule>
    <cfRule type="beginsWith" dxfId="656" priority="512" operator="beginsWith" text="Vacances">
      <formula>LEFT(BR160,LEN("Vacances"))="Vacances"</formula>
    </cfRule>
    <cfRule type="beginsWith" dxfId="655" priority="513" operator="beginsWith" text="Séminaire d'intégration">
      <formula>LEFT(BR160,LEN("Séminaire d'intégration"))="Séminaire d'intégration"</formula>
    </cfRule>
    <cfRule type="beginsWith" dxfId="654" priority="514" operator="beginsWith" text="Accueil">
      <formula>LEFT(BR160,LEN("Accueil"))="Accueil"</formula>
    </cfRule>
    <cfRule type="beginsWith" dxfId="653" priority="515" operator="beginsWith" text="TOPHYC">
      <formula>LEFT(BR160,LEN("TOPHYC"))="TOPHYC"</formula>
    </cfRule>
    <cfRule type="beginsWith" dxfId="652" priority="516" operator="beginsWith" text="Global Exam">
      <formula>LEFT(BR160,LEN("Global Exam"))="Global Exam"</formula>
    </cfRule>
    <cfRule type="beginsWith" dxfId="651" priority="517" operator="beginsWith" text="Stage">
      <formula>LEFT(BR160,LEN("Stage"))="Stage"</formula>
    </cfRule>
    <cfRule type="beginsWith" dxfId="650" priority="518" operator="beginsWith" text="Entreprise">
      <formula>LEFT(BR160,LEN("Entreprise"))="Entreprise"</formula>
    </cfRule>
    <cfRule type="beginsWith" dxfId="649" priority="519" operator="beginsWith" text="TOMIC">
      <formula>LEFT(BR160,LEN("TOMIC"))="TOMIC"</formula>
    </cfRule>
    <cfRule type="beginsWith" dxfId="648" priority="520" operator="beginsWith" text="Voltaire">
      <formula>LEFT(BR160,LEN("Voltaire"))="Voltaire"</formula>
    </cfRule>
  </conditionalFormatting>
  <conditionalFormatting sqref="BR170">
    <cfRule type="beginsWith" dxfId="647" priority="501" operator="beginsWith" text="Lancement Projet fil rouge">
      <formula>LEFT(BR170,LEN("Lancement Projet fil rouge"))="Lancement Projet fil rouge"</formula>
    </cfRule>
    <cfRule type="beginsWith" dxfId="646" priority="502" operator="beginsWith" text="Vacances">
      <formula>LEFT(BR170,LEN("Vacances"))="Vacances"</formula>
    </cfRule>
    <cfRule type="beginsWith" dxfId="645" priority="503" operator="beginsWith" text="Séminaire d'intégration">
      <formula>LEFT(BR170,LEN("Séminaire d'intégration"))="Séminaire d'intégration"</formula>
    </cfRule>
    <cfRule type="beginsWith" dxfId="644" priority="504" operator="beginsWith" text="Accueil">
      <formula>LEFT(BR170,LEN("Accueil"))="Accueil"</formula>
    </cfRule>
    <cfRule type="beginsWith" dxfId="643" priority="505" operator="beginsWith" text="TOPHYC">
      <formula>LEFT(BR170,LEN("TOPHYC"))="TOPHYC"</formula>
    </cfRule>
    <cfRule type="beginsWith" dxfId="642" priority="506" operator="beginsWith" text="Global Exam">
      <formula>LEFT(BR170,LEN("Global Exam"))="Global Exam"</formula>
    </cfRule>
    <cfRule type="beginsWith" dxfId="641" priority="507" operator="beginsWith" text="Stage">
      <formula>LEFT(BR170,LEN("Stage"))="Stage"</formula>
    </cfRule>
    <cfRule type="beginsWith" dxfId="640" priority="508" operator="beginsWith" text="Entreprise">
      <formula>LEFT(BR170,LEN("Entreprise"))="Entreprise"</formula>
    </cfRule>
    <cfRule type="beginsWith" dxfId="639" priority="509" operator="beginsWith" text="TOMIC">
      <formula>LEFT(BR170,LEN("TOMIC"))="TOMIC"</formula>
    </cfRule>
    <cfRule type="beginsWith" dxfId="638" priority="510" operator="beginsWith" text="Voltaire">
      <formula>LEFT(BR170,LEN("Voltaire"))="Voltaire"</formula>
    </cfRule>
  </conditionalFormatting>
  <conditionalFormatting sqref="BR172">
    <cfRule type="beginsWith" dxfId="637" priority="581" operator="beginsWith" text="Lancement Projet fil rouge">
      <formula>LEFT(BR172,LEN("Lancement Projet fil rouge"))="Lancement Projet fil rouge"</formula>
    </cfRule>
    <cfRule type="beginsWith" dxfId="636" priority="582" operator="beginsWith" text="Vacances">
      <formula>LEFT(BR172,LEN("Vacances"))="Vacances"</formula>
    </cfRule>
    <cfRule type="beginsWith" dxfId="635" priority="583" operator="beginsWith" text="Séminaire d'intégration">
      <formula>LEFT(BR172,LEN("Séminaire d'intégration"))="Séminaire d'intégration"</formula>
    </cfRule>
    <cfRule type="beginsWith" dxfId="634" priority="584" operator="beginsWith" text="Accueil">
      <formula>LEFT(BR172,LEN("Accueil"))="Accueil"</formula>
    </cfRule>
    <cfRule type="beginsWith" dxfId="633" priority="585" operator="beginsWith" text="TOPHYC">
      <formula>LEFT(BR172,LEN("TOPHYC"))="TOPHYC"</formula>
    </cfRule>
    <cfRule type="beginsWith" dxfId="632" priority="586" operator="beginsWith" text="Global Exam">
      <formula>LEFT(BR172,LEN("Global Exam"))="Global Exam"</formula>
    </cfRule>
    <cfRule type="beginsWith" dxfId="631" priority="587" operator="beginsWith" text="Stage">
      <formula>LEFT(BR172,LEN("Stage"))="Stage"</formula>
    </cfRule>
    <cfRule type="beginsWith" dxfId="630" priority="588" operator="beginsWith" text="Entreprise">
      <formula>LEFT(BR172,LEN("Entreprise"))="Entreprise"</formula>
    </cfRule>
    <cfRule type="beginsWith" dxfId="629" priority="589" operator="beginsWith" text="TOMIC">
      <formula>LEFT(BR172,LEN("TOMIC"))="TOMIC"</formula>
    </cfRule>
    <cfRule type="beginsWith" dxfId="628" priority="590" operator="beginsWith" text="Voltaire">
      <formula>LEFT(BR172,LEN("Voltaire"))="Voltaire"</formula>
    </cfRule>
  </conditionalFormatting>
  <conditionalFormatting sqref="BR179">
    <cfRule type="beginsWith" dxfId="617" priority="681" operator="beginsWith" text="Lancement Projet fil rouge">
      <formula>LEFT(BR179,LEN("Lancement Projet fil rouge"))="Lancement Projet fil rouge"</formula>
    </cfRule>
    <cfRule type="beginsWith" dxfId="616" priority="682" operator="beginsWith" text="Vacances">
      <formula>LEFT(BR179,LEN("Vacances"))="Vacances"</formula>
    </cfRule>
    <cfRule type="beginsWith" dxfId="615" priority="683" operator="beginsWith" text="Séminaire d'intégration">
      <formula>LEFT(BR179,LEN("Séminaire d'intégration"))="Séminaire d'intégration"</formula>
    </cfRule>
    <cfRule type="beginsWith" dxfId="614" priority="684" operator="beginsWith" text="Accueil">
      <formula>LEFT(BR179,LEN("Accueil"))="Accueil"</formula>
    </cfRule>
    <cfRule type="beginsWith" dxfId="613" priority="685" operator="beginsWith" text="TOPHYC">
      <formula>LEFT(BR179,LEN("TOPHYC"))="TOPHYC"</formula>
    </cfRule>
    <cfRule type="beginsWith" dxfId="612" priority="686" operator="beginsWith" text="Global Exam">
      <formula>LEFT(BR179,LEN("Global Exam"))="Global Exam"</formula>
    </cfRule>
    <cfRule type="beginsWith" dxfId="611" priority="687" operator="beginsWith" text="Stage">
      <formula>LEFT(BR179,LEN("Stage"))="Stage"</formula>
    </cfRule>
    <cfRule type="beginsWith" dxfId="610" priority="688" operator="beginsWith" text="Entreprise">
      <formula>LEFT(BR179,LEN("Entreprise"))="Entreprise"</formula>
    </cfRule>
    <cfRule type="beginsWith" dxfId="609" priority="689" operator="beginsWith" text="TOMIC">
      <formula>LEFT(BR179,LEN("TOMIC"))="TOMIC"</formula>
    </cfRule>
    <cfRule type="beginsWith" dxfId="608" priority="690" operator="beginsWith" text="Voltaire">
      <formula>LEFT(BR179,LEN("Voltaire"))="Voltaire"</formula>
    </cfRule>
  </conditionalFormatting>
  <conditionalFormatting sqref="BR180">
    <cfRule type="beginsWith" dxfId="607" priority="591" operator="beginsWith" text="Lancement Projet fil rouge">
      <formula>LEFT(BR180,LEN("Lancement Projet fil rouge"))="Lancement Projet fil rouge"</formula>
    </cfRule>
    <cfRule type="beginsWith" dxfId="606" priority="592" operator="beginsWith" text="Vacances">
      <formula>LEFT(BR180,LEN("Vacances"))="Vacances"</formula>
    </cfRule>
    <cfRule type="beginsWith" dxfId="605" priority="593" operator="beginsWith" text="Séminaire d'intégration">
      <formula>LEFT(BR180,LEN("Séminaire d'intégration"))="Séminaire d'intégration"</formula>
    </cfRule>
    <cfRule type="beginsWith" dxfId="604" priority="594" operator="beginsWith" text="Accueil">
      <formula>LEFT(BR180,LEN("Accueil"))="Accueil"</formula>
    </cfRule>
    <cfRule type="beginsWith" dxfId="603" priority="595" operator="beginsWith" text="TOPHYC">
      <formula>LEFT(BR180,LEN("TOPHYC"))="TOPHYC"</formula>
    </cfRule>
    <cfRule type="beginsWith" dxfId="602" priority="596" operator="beginsWith" text="Global Exam">
      <formula>LEFT(BR180,LEN("Global Exam"))="Global Exam"</formula>
    </cfRule>
    <cfRule type="beginsWith" dxfId="601" priority="597" operator="beginsWith" text="Stage">
      <formula>LEFT(BR180,LEN("Stage"))="Stage"</formula>
    </cfRule>
    <cfRule type="beginsWith" dxfId="600" priority="598" operator="beginsWith" text="Entreprise">
      <formula>LEFT(BR180,LEN("Entreprise"))="Entreprise"</formula>
    </cfRule>
    <cfRule type="beginsWith" dxfId="599" priority="599" operator="beginsWith" text="TOMIC">
      <formula>LEFT(BR180,LEN("TOMIC"))="TOMIC"</formula>
    </cfRule>
    <cfRule type="beginsWith" dxfId="598" priority="600" operator="beginsWith" text="Voltaire">
      <formula>LEFT(BR180,LEN("Voltaire"))="Voltaire"</formula>
    </cfRule>
  </conditionalFormatting>
  <conditionalFormatting sqref="BR187">
    <cfRule type="beginsWith" dxfId="597" priority="571" operator="beginsWith" text="Lancement Projet fil rouge">
      <formula>LEFT(BR187,LEN("Lancement Projet fil rouge"))="Lancement Projet fil rouge"</formula>
    </cfRule>
    <cfRule type="beginsWith" dxfId="596" priority="572" operator="beginsWith" text="Vacances">
      <formula>LEFT(BR187,LEN("Vacances"))="Vacances"</formula>
    </cfRule>
    <cfRule type="beginsWith" dxfId="595" priority="573" operator="beginsWith" text="Séminaire d'intégration">
      <formula>LEFT(BR187,LEN("Séminaire d'intégration"))="Séminaire d'intégration"</formula>
    </cfRule>
    <cfRule type="beginsWith" dxfId="594" priority="574" operator="beginsWith" text="Accueil">
      <formula>LEFT(BR187,LEN("Accueil"))="Accueil"</formula>
    </cfRule>
    <cfRule type="beginsWith" dxfId="593" priority="575" operator="beginsWith" text="TOPHYC">
      <formula>LEFT(BR187,LEN("TOPHYC"))="TOPHYC"</formula>
    </cfRule>
    <cfRule type="beginsWith" dxfId="592" priority="576" operator="beginsWith" text="Global Exam">
      <formula>LEFT(BR187,LEN("Global Exam"))="Global Exam"</formula>
    </cfRule>
    <cfRule type="beginsWith" dxfId="591" priority="577" operator="beginsWith" text="Stage">
      <formula>LEFT(BR187,LEN("Stage"))="Stage"</formula>
    </cfRule>
    <cfRule type="beginsWith" dxfId="590" priority="578" operator="beginsWith" text="Entreprise">
      <formula>LEFT(BR187,LEN("Entreprise"))="Entreprise"</formula>
    </cfRule>
    <cfRule type="beginsWith" dxfId="589" priority="579" operator="beginsWith" text="TOMIC">
      <formula>LEFT(BR187,LEN("TOMIC"))="TOMIC"</formula>
    </cfRule>
    <cfRule type="beginsWith" dxfId="588" priority="580" operator="beginsWith" text="Voltaire">
      <formula>LEFT(BR187,LEN("Voltaire"))="Voltaire"</formula>
    </cfRule>
  </conditionalFormatting>
  <conditionalFormatting sqref="BR188">
    <cfRule type="beginsWith" dxfId="587" priority="741" operator="beginsWith" text="Lancement Projet fil rouge">
      <formula>LEFT(BR188,LEN("Lancement Projet fil rouge"))="Lancement Projet fil rouge"</formula>
    </cfRule>
    <cfRule type="beginsWith" dxfId="586" priority="742" operator="beginsWith" text="Vacances">
      <formula>LEFT(BR188,LEN("Vacances"))="Vacances"</formula>
    </cfRule>
    <cfRule type="beginsWith" dxfId="585" priority="743" operator="beginsWith" text="Séminaire d'intégration">
      <formula>LEFT(BR188,LEN("Séminaire d'intégration"))="Séminaire d'intégration"</formula>
    </cfRule>
    <cfRule type="beginsWith" dxfId="584" priority="744" operator="beginsWith" text="Accueil">
      <formula>LEFT(BR188,LEN("Accueil"))="Accueil"</formula>
    </cfRule>
    <cfRule type="beginsWith" dxfId="583" priority="745" operator="beginsWith" text="TOPHYC">
      <formula>LEFT(BR188,LEN("TOPHYC"))="TOPHYC"</formula>
    </cfRule>
    <cfRule type="beginsWith" dxfId="582" priority="746" operator="beginsWith" text="Global Exam">
      <formula>LEFT(BR188,LEN("Global Exam"))="Global Exam"</formula>
    </cfRule>
    <cfRule type="beginsWith" dxfId="581" priority="747" operator="beginsWith" text="Stage">
      <formula>LEFT(BR188,LEN("Stage"))="Stage"</formula>
    </cfRule>
    <cfRule type="beginsWith" dxfId="580" priority="748" operator="beginsWith" text="Entreprise">
      <formula>LEFT(BR188,LEN("Entreprise"))="Entreprise"</formula>
    </cfRule>
    <cfRule type="beginsWith" dxfId="579" priority="749" operator="beginsWith" text="TOMIC">
      <formula>LEFT(BR188,LEN("TOMIC"))="TOMIC"</formula>
    </cfRule>
    <cfRule type="beginsWith" dxfId="578" priority="750" operator="beginsWith" text="Voltaire">
      <formula>LEFT(BR188,LEN("Voltaire"))="Voltaire"</formula>
    </cfRule>
  </conditionalFormatting>
  <conditionalFormatting sqref="BR189">
    <cfRule type="beginsWith" dxfId="577" priority="561" operator="beginsWith" text="Lancement Projet fil rouge">
      <formula>LEFT(BR189,LEN("Lancement Projet fil rouge"))="Lancement Projet fil rouge"</formula>
    </cfRule>
    <cfRule type="beginsWith" dxfId="576" priority="562" operator="beginsWith" text="Vacances">
      <formula>LEFT(BR189,LEN("Vacances"))="Vacances"</formula>
    </cfRule>
    <cfRule type="beginsWith" dxfId="575" priority="563" operator="beginsWith" text="Séminaire d'intégration">
      <formula>LEFT(BR189,LEN("Séminaire d'intégration"))="Séminaire d'intégration"</formula>
    </cfRule>
    <cfRule type="beginsWith" dxfId="574" priority="564" operator="beginsWith" text="Accueil">
      <formula>LEFT(BR189,LEN("Accueil"))="Accueil"</formula>
    </cfRule>
    <cfRule type="beginsWith" dxfId="573" priority="565" operator="beginsWith" text="TOPHYC">
      <formula>LEFT(BR189,LEN("TOPHYC"))="TOPHYC"</formula>
    </cfRule>
    <cfRule type="beginsWith" dxfId="572" priority="566" operator="beginsWith" text="Global Exam">
      <formula>LEFT(BR189,LEN("Global Exam"))="Global Exam"</formula>
    </cfRule>
    <cfRule type="beginsWith" dxfId="571" priority="567" operator="beginsWith" text="Stage">
      <formula>LEFT(BR189,LEN("Stage"))="Stage"</formula>
    </cfRule>
    <cfRule type="beginsWith" dxfId="570" priority="568" operator="beginsWith" text="Entreprise">
      <formula>LEFT(BR189,LEN("Entreprise"))="Entreprise"</formula>
    </cfRule>
    <cfRule type="beginsWith" dxfId="569" priority="569" operator="beginsWith" text="TOMIC">
      <formula>LEFT(BR189,LEN("TOMIC"))="TOMIC"</formula>
    </cfRule>
    <cfRule type="beginsWith" dxfId="568" priority="570" operator="beginsWith" text="Voltaire">
      <formula>LEFT(BR189,LEN("Voltaire"))="Voltaire"</formula>
    </cfRule>
  </conditionalFormatting>
  <conditionalFormatting sqref="BR191:BR193">
    <cfRule type="beginsWith" dxfId="567" priority="761" operator="beginsWith" text="Lancement Projet fil rouge">
      <formula>LEFT(BR191,LEN("Lancement Projet fil rouge"))="Lancement Projet fil rouge"</formula>
    </cfRule>
    <cfRule type="beginsWith" dxfId="566" priority="762" operator="beginsWith" text="Vacances">
      <formula>LEFT(BR191,LEN("Vacances"))="Vacances"</formula>
    </cfRule>
    <cfRule type="beginsWith" dxfId="565" priority="763" operator="beginsWith" text="Séminaire d'intégration">
      <formula>LEFT(BR191,LEN("Séminaire d'intégration"))="Séminaire d'intégration"</formula>
    </cfRule>
    <cfRule type="beginsWith" dxfId="564" priority="764" operator="beginsWith" text="Accueil">
      <formula>LEFT(BR191,LEN("Accueil"))="Accueil"</formula>
    </cfRule>
    <cfRule type="beginsWith" dxfId="563" priority="765" operator="beginsWith" text="TOPHYC">
      <formula>LEFT(BR191,LEN("TOPHYC"))="TOPHYC"</formula>
    </cfRule>
    <cfRule type="beginsWith" dxfId="562" priority="766" operator="beginsWith" text="Global Exam">
      <formula>LEFT(BR191,LEN("Global Exam"))="Global Exam"</formula>
    </cfRule>
    <cfRule type="beginsWith" dxfId="561" priority="767" operator="beginsWith" text="Stage">
      <formula>LEFT(BR191,LEN("Stage"))="Stage"</formula>
    </cfRule>
    <cfRule type="beginsWith" dxfId="560" priority="768" operator="beginsWith" text="Entreprise">
      <formula>LEFT(BR191,LEN("Entreprise"))="Entreprise"</formula>
    </cfRule>
    <cfRule type="beginsWith" dxfId="559" priority="769" operator="beginsWith" text="TOMIC">
      <formula>LEFT(BR191,LEN("TOMIC"))="TOMIC"</formula>
    </cfRule>
    <cfRule type="beginsWith" dxfId="558" priority="770" operator="beginsWith" text="Voltaire">
      <formula>LEFT(BR191,LEN("Voltaire"))="Voltaire"</formula>
    </cfRule>
  </conditionalFormatting>
  <conditionalFormatting sqref="BR194">
    <cfRule type="beginsWith" dxfId="557" priority="431" operator="beginsWith" text="Lancement Projet fil rouge">
      <formula>LEFT(BR194,LEN("Lancement Projet fil rouge"))="Lancement Projet fil rouge"</formula>
    </cfRule>
    <cfRule type="beginsWith" dxfId="556" priority="432" operator="beginsWith" text="Vacances">
      <formula>LEFT(BR194,LEN("Vacances"))="Vacances"</formula>
    </cfRule>
    <cfRule type="beginsWith" dxfId="555" priority="433" operator="beginsWith" text="Séminaire d'intégration">
      <formula>LEFT(BR194,LEN("Séminaire d'intégration"))="Séminaire d'intégration"</formula>
    </cfRule>
    <cfRule type="beginsWith" dxfId="554" priority="434" operator="beginsWith" text="Accueil">
      <formula>LEFT(BR194,LEN("Accueil"))="Accueil"</formula>
    </cfRule>
    <cfRule type="beginsWith" dxfId="553" priority="435" operator="beginsWith" text="TOPHYC">
      <formula>LEFT(BR194,LEN("TOPHYC"))="TOPHYC"</formula>
    </cfRule>
    <cfRule type="beginsWith" dxfId="552" priority="436" operator="beginsWith" text="Global Exam">
      <formula>LEFT(BR194,LEN("Global Exam"))="Global Exam"</formula>
    </cfRule>
    <cfRule type="beginsWith" dxfId="551" priority="437" operator="beginsWith" text="Stage">
      <formula>LEFT(BR194,LEN("Stage"))="Stage"</formula>
    </cfRule>
    <cfRule type="beginsWith" dxfId="550" priority="438" operator="beginsWith" text="Entreprise">
      <formula>LEFT(BR194,LEN("Entreprise"))="Entreprise"</formula>
    </cfRule>
    <cfRule type="beginsWith" dxfId="549" priority="439" operator="beginsWith" text="TOMIC">
      <formula>LEFT(BR194,LEN("TOMIC"))="TOMIC"</formula>
    </cfRule>
    <cfRule type="beginsWith" dxfId="548" priority="440" operator="beginsWith" text="Voltaire">
      <formula>LEFT(BR194,LEN("Voltaire"))="Voltaire"</formula>
    </cfRule>
  </conditionalFormatting>
  <conditionalFormatting sqref="BR195">
    <cfRule type="beginsWith" dxfId="547" priority="731" operator="beginsWith" text="Lancement Projet fil rouge">
      <formula>LEFT(BR195,LEN("Lancement Projet fil rouge"))="Lancement Projet fil rouge"</formula>
    </cfRule>
    <cfRule type="beginsWith" dxfId="546" priority="732" operator="beginsWith" text="Vacances">
      <formula>LEFT(BR195,LEN("Vacances"))="Vacances"</formula>
    </cfRule>
    <cfRule type="beginsWith" dxfId="545" priority="733" operator="beginsWith" text="Séminaire d'intégration">
      <formula>LEFT(BR195,LEN("Séminaire d'intégration"))="Séminaire d'intégration"</formula>
    </cfRule>
    <cfRule type="beginsWith" dxfId="544" priority="734" operator="beginsWith" text="Accueil">
      <formula>LEFT(BR195,LEN("Accueil"))="Accueil"</formula>
    </cfRule>
    <cfRule type="beginsWith" dxfId="543" priority="735" operator="beginsWith" text="TOPHYC">
      <formula>LEFT(BR195,LEN("TOPHYC"))="TOPHYC"</formula>
    </cfRule>
    <cfRule type="beginsWith" dxfId="542" priority="736" operator="beginsWith" text="Global Exam">
      <formula>LEFT(BR195,LEN("Global Exam"))="Global Exam"</formula>
    </cfRule>
    <cfRule type="beginsWith" dxfId="541" priority="737" operator="beginsWith" text="Stage">
      <formula>LEFT(BR195,LEN("Stage"))="Stage"</formula>
    </cfRule>
    <cfRule type="beginsWith" dxfId="540" priority="738" operator="beginsWith" text="Entreprise">
      <formula>LEFT(BR195,LEN("Entreprise"))="Entreprise"</formula>
    </cfRule>
    <cfRule type="beginsWith" dxfId="539" priority="739" operator="beginsWith" text="TOMIC">
      <formula>LEFT(BR195,LEN("TOMIC"))="TOMIC"</formula>
    </cfRule>
    <cfRule type="beginsWith" dxfId="538" priority="740" operator="beginsWith" text="Voltaire">
      <formula>LEFT(BR195,LEN("Voltaire"))="Voltaire"</formula>
    </cfRule>
  </conditionalFormatting>
  <conditionalFormatting sqref="BR198">
    <cfRule type="beginsWith" dxfId="537" priority="551" operator="beginsWith" text="Lancement Projet fil rouge">
      <formula>LEFT(BR198,LEN("Lancement Projet fil rouge"))="Lancement Projet fil rouge"</formula>
    </cfRule>
    <cfRule type="beginsWith" dxfId="536" priority="552" operator="beginsWith" text="Vacances">
      <formula>LEFT(BR198,LEN("Vacances"))="Vacances"</formula>
    </cfRule>
    <cfRule type="beginsWith" dxfId="535" priority="553" operator="beginsWith" text="Séminaire d'intégration">
      <formula>LEFT(BR198,LEN("Séminaire d'intégration"))="Séminaire d'intégration"</formula>
    </cfRule>
    <cfRule type="beginsWith" dxfId="534" priority="554" operator="beginsWith" text="Accueil">
      <formula>LEFT(BR198,LEN("Accueil"))="Accueil"</formula>
    </cfRule>
    <cfRule type="beginsWith" dxfId="533" priority="555" operator="beginsWith" text="TOPHYC">
      <formula>LEFT(BR198,LEN("TOPHYC"))="TOPHYC"</formula>
    </cfRule>
    <cfRule type="beginsWith" dxfId="532" priority="556" operator="beginsWith" text="Global Exam">
      <formula>LEFT(BR198,LEN("Global Exam"))="Global Exam"</formula>
    </cfRule>
    <cfRule type="beginsWith" dxfId="531" priority="557" operator="beginsWith" text="Stage">
      <formula>LEFT(BR198,LEN("Stage"))="Stage"</formula>
    </cfRule>
    <cfRule type="beginsWith" dxfId="530" priority="558" operator="beginsWith" text="Entreprise">
      <formula>LEFT(BR198,LEN("Entreprise"))="Entreprise"</formula>
    </cfRule>
    <cfRule type="beginsWith" dxfId="529" priority="559" operator="beginsWith" text="TOMIC">
      <formula>LEFT(BR198,LEN("TOMIC"))="TOMIC"</formula>
    </cfRule>
    <cfRule type="beginsWith" dxfId="528" priority="560" operator="beginsWith" text="Voltaire">
      <formula>LEFT(BR198,LEN("Voltaire"))="Voltaire"</formula>
    </cfRule>
  </conditionalFormatting>
  <conditionalFormatting sqref="BR207">
    <cfRule type="beginsWith" dxfId="527" priority="491" operator="beginsWith" text="Lancement Projet fil rouge">
      <formula>LEFT(BR207,LEN("Lancement Projet fil rouge"))="Lancement Projet fil rouge"</formula>
    </cfRule>
    <cfRule type="beginsWith" dxfId="526" priority="492" operator="beginsWith" text="Vacances">
      <formula>LEFT(BR207,LEN("Vacances"))="Vacances"</formula>
    </cfRule>
    <cfRule type="beginsWith" dxfId="525" priority="493" operator="beginsWith" text="Séminaire d'intégration">
      <formula>LEFT(BR207,LEN("Séminaire d'intégration"))="Séminaire d'intégration"</formula>
    </cfRule>
    <cfRule type="beginsWith" dxfId="524" priority="494" operator="beginsWith" text="Accueil">
      <formula>LEFT(BR207,LEN("Accueil"))="Accueil"</formula>
    </cfRule>
    <cfRule type="beginsWith" dxfId="523" priority="495" operator="beginsWith" text="TOPHYC">
      <formula>LEFT(BR207,LEN("TOPHYC"))="TOPHYC"</formula>
    </cfRule>
    <cfRule type="beginsWith" dxfId="522" priority="496" operator="beginsWith" text="Global Exam">
      <formula>LEFT(BR207,LEN("Global Exam"))="Global Exam"</formula>
    </cfRule>
    <cfRule type="beginsWith" dxfId="521" priority="497" operator="beginsWith" text="Stage">
      <formula>LEFT(BR207,LEN("Stage"))="Stage"</formula>
    </cfRule>
    <cfRule type="beginsWith" dxfId="520" priority="498" operator="beginsWith" text="Entreprise">
      <formula>LEFT(BR207,LEN("Entreprise"))="Entreprise"</formula>
    </cfRule>
    <cfRule type="beginsWith" dxfId="519" priority="499" operator="beginsWith" text="TOMIC">
      <formula>LEFT(BR207,LEN("TOMIC"))="TOMIC"</formula>
    </cfRule>
    <cfRule type="beginsWith" dxfId="518" priority="500" operator="beginsWith" text="Voltaire">
      <formula>LEFT(BR207,LEN("Voltaire"))="Voltaire"</formula>
    </cfRule>
  </conditionalFormatting>
  <conditionalFormatting sqref="BR208">
    <cfRule type="beginsWith" dxfId="517" priority="411" operator="beginsWith" text="Lancement Projet fil rouge">
      <formula>LEFT(BR208,LEN("Lancement Projet fil rouge"))="Lancement Projet fil rouge"</formula>
    </cfRule>
    <cfRule type="beginsWith" dxfId="516" priority="412" operator="beginsWith" text="Vacances">
      <formula>LEFT(BR208,LEN("Vacances"))="Vacances"</formula>
    </cfRule>
    <cfRule type="beginsWith" dxfId="515" priority="413" operator="beginsWith" text="Séminaire d'intégration">
      <formula>LEFT(BR208,LEN("Séminaire d'intégration"))="Séminaire d'intégration"</formula>
    </cfRule>
    <cfRule type="beginsWith" dxfId="514" priority="414" operator="beginsWith" text="Accueil">
      <formula>LEFT(BR208,LEN("Accueil"))="Accueil"</formula>
    </cfRule>
    <cfRule type="beginsWith" dxfId="513" priority="415" operator="beginsWith" text="TOPHYC">
      <formula>LEFT(BR208,LEN("TOPHYC"))="TOPHYC"</formula>
    </cfRule>
    <cfRule type="beginsWith" dxfId="512" priority="416" operator="beginsWith" text="Global Exam">
      <formula>LEFT(BR208,LEN("Global Exam"))="Global Exam"</formula>
    </cfRule>
    <cfRule type="beginsWith" dxfId="511" priority="417" operator="beginsWith" text="Stage">
      <formula>LEFT(BR208,LEN("Stage"))="Stage"</formula>
    </cfRule>
    <cfRule type="beginsWith" dxfId="510" priority="418" operator="beginsWith" text="Entreprise">
      <formula>LEFT(BR208,LEN("Entreprise"))="Entreprise"</formula>
    </cfRule>
    <cfRule type="beginsWith" dxfId="509" priority="419" operator="beginsWith" text="TOMIC">
      <formula>LEFT(BR208,LEN("TOMIC"))="TOMIC"</formula>
    </cfRule>
    <cfRule type="beginsWith" dxfId="508" priority="420" operator="beginsWith" text="Voltaire">
      <formula>LEFT(BR208,LEN("Voltaire"))="Voltaire"</formula>
    </cfRule>
  </conditionalFormatting>
  <conditionalFormatting sqref="BR209">
    <cfRule type="beginsWith" dxfId="507" priority="421" operator="beginsWith" text="Lancement Projet fil rouge">
      <formula>LEFT(BR209,LEN("Lancement Projet fil rouge"))="Lancement Projet fil rouge"</formula>
    </cfRule>
    <cfRule type="beginsWith" dxfId="506" priority="422" operator="beginsWith" text="Vacances">
      <formula>LEFT(BR209,LEN("Vacances"))="Vacances"</formula>
    </cfRule>
    <cfRule type="beginsWith" dxfId="505" priority="423" operator="beginsWith" text="Séminaire d'intégration">
      <formula>LEFT(BR209,LEN("Séminaire d'intégration"))="Séminaire d'intégration"</formula>
    </cfRule>
    <cfRule type="beginsWith" dxfId="504" priority="424" operator="beginsWith" text="Accueil">
      <formula>LEFT(BR209,LEN("Accueil"))="Accueil"</formula>
    </cfRule>
    <cfRule type="beginsWith" dxfId="503" priority="425" operator="beginsWith" text="TOPHYC">
      <formula>LEFT(BR209,LEN("TOPHYC"))="TOPHYC"</formula>
    </cfRule>
    <cfRule type="beginsWith" dxfId="502" priority="426" operator="beginsWith" text="Global Exam">
      <formula>LEFT(BR209,LEN("Global Exam"))="Global Exam"</formula>
    </cfRule>
    <cfRule type="beginsWith" dxfId="501" priority="427" operator="beginsWith" text="Stage">
      <formula>LEFT(BR209,LEN("Stage"))="Stage"</formula>
    </cfRule>
    <cfRule type="beginsWith" dxfId="500" priority="428" operator="beginsWith" text="Entreprise">
      <formula>LEFT(BR209,LEN("Entreprise"))="Entreprise"</formula>
    </cfRule>
    <cfRule type="beginsWith" dxfId="499" priority="429" operator="beginsWith" text="TOMIC">
      <formula>LEFT(BR209,LEN("TOMIC"))="TOMIC"</formula>
    </cfRule>
    <cfRule type="beginsWith" dxfId="498" priority="430" operator="beginsWith" text="Voltaire">
      <formula>LEFT(BR209,LEN("Voltaire"))="Voltaire"</formula>
    </cfRule>
  </conditionalFormatting>
  <conditionalFormatting sqref="BR220">
    <cfRule type="beginsWith" dxfId="497" priority="541" operator="beginsWith" text="Lancement Projet fil rouge">
      <formula>LEFT(BR220,LEN("Lancement Projet fil rouge"))="Lancement Projet fil rouge"</formula>
    </cfRule>
    <cfRule type="beginsWith" dxfId="496" priority="542" operator="beginsWith" text="Vacances">
      <formula>LEFT(BR220,LEN("Vacances"))="Vacances"</formula>
    </cfRule>
    <cfRule type="beginsWith" dxfId="495" priority="543" operator="beginsWith" text="Séminaire d'intégration">
      <formula>LEFT(BR220,LEN("Séminaire d'intégration"))="Séminaire d'intégration"</formula>
    </cfRule>
    <cfRule type="beginsWith" dxfId="494" priority="544" operator="beginsWith" text="Accueil">
      <formula>LEFT(BR220,LEN("Accueil"))="Accueil"</formula>
    </cfRule>
    <cfRule type="beginsWith" dxfId="493" priority="545" operator="beginsWith" text="TOPHYC">
      <formula>LEFT(BR220,LEN("TOPHYC"))="TOPHYC"</formula>
    </cfRule>
    <cfRule type="beginsWith" dxfId="492" priority="546" operator="beginsWith" text="Global Exam">
      <formula>LEFT(BR220,LEN("Global Exam"))="Global Exam"</formula>
    </cfRule>
    <cfRule type="beginsWith" dxfId="491" priority="547" operator="beginsWith" text="Stage">
      <formula>LEFT(BR220,LEN("Stage"))="Stage"</formula>
    </cfRule>
    <cfRule type="beginsWith" dxfId="490" priority="548" operator="beginsWith" text="Entreprise">
      <formula>LEFT(BR220,LEN("Entreprise"))="Entreprise"</formula>
    </cfRule>
    <cfRule type="beginsWith" dxfId="489" priority="549" operator="beginsWith" text="TOMIC">
      <formula>LEFT(BR220,LEN("TOMIC"))="TOMIC"</formula>
    </cfRule>
    <cfRule type="beginsWith" dxfId="488" priority="550" operator="beginsWith" text="Voltaire">
      <formula>LEFT(BR220,LEN("Voltaire"))="Voltaire"</formula>
    </cfRule>
  </conditionalFormatting>
  <conditionalFormatting sqref="BR224">
    <cfRule type="beginsWith" dxfId="487" priority="481" operator="beginsWith" text="Lancement Projet fil rouge">
      <formula>LEFT(BR224,LEN("Lancement Projet fil rouge"))="Lancement Projet fil rouge"</formula>
    </cfRule>
    <cfRule type="beginsWith" dxfId="486" priority="482" operator="beginsWith" text="Vacances">
      <formula>LEFT(BR224,LEN("Vacances"))="Vacances"</formula>
    </cfRule>
    <cfRule type="beginsWith" dxfId="485" priority="483" operator="beginsWith" text="Séminaire d'intégration">
      <formula>LEFT(BR224,LEN("Séminaire d'intégration"))="Séminaire d'intégration"</formula>
    </cfRule>
    <cfRule type="beginsWith" dxfId="484" priority="484" operator="beginsWith" text="Accueil">
      <formula>LEFT(BR224,LEN("Accueil"))="Accueil"</formula>
    </cfRule>
    <cfRule type="beginsWith" dxfId="483" priority="485" operator="beginsWith" text="TOPHYC">
      <formula>LEFT(BR224,LEN("TOPHYC"))="TOPHYC"</formula>
    </cfRule>
    <cfRule type="beginsWith" dxfId="482" priority="486" operator="beginsWith" text="Global Exam">
      <formula>LEFT(BR224,LEN("Global Exam"))="Global Exam"</formula>
    </cfRule>
    <cfRule type="beginsWith" dxfId="481" priority="487" operator="beginsWith" text="Stage">
      <formula>LEFT(BR224,LEN("Stage"))="Stage"</formula>
    </cfRule>
    <cfRule type="beginsWith" dxfId="480" priority="488" operator="beginsWith" text="Entreprise">
      <formula>LEFT(BR224,LEN("Entreprise"))="Entreprise"</formula>
    </cfRule>
    <cfRule type="beginsWith" dxfId="479" priority="489" operator="beginsWith" text="TOMIC">
      <formula>LEFT(BR224,LEN("TOMIC"))="TOMIC"</formula>
    </cfRule>
    <cfRule type="beginsWith" dxfId="478" priority="490" operator="beginsWith" text="Voltaire">
      <formula>LEFT(BR224,LEN("Voltaire"))="Voltaire"</formula>
    </cfRule>
  </conditionalFormatting>
  <conditionalFormatting sqref="BR228">
    <cfRule type="beginsWith" dxfId="477" priority="471" operator="beginsWith" text="Lancement Projet fil rouge">
      <formula>LEFT(BR228,LEN("Lancement Projet fil rouge"))="Lancement Projet fil rouge"</formula>
    </cfRule>
    <cfRule type="beginsWith" dxfId="476" priority="472" operator="beginsWith" text="Vacances">
      <formula>LEFT(BR228,LEN("Vacances"))="Vacances"</formula>
    </cfRule>
    <cfRule type="beginsWith" dxfId="475" priority="473" operator="beginsWith" text="Séminaire d'intégration">
      <formula>LEFT(BR228,LEN("Séminaire d'intégration"))="Séminaire d'intégration"</formula>
    </cfRule>
    <cfRule type="beginsWith" dxfId="474" priority="474" operator="beginsWith" text="Accueil">
      <formula>LEFT(BR228,LEN("Accueil"))="Accueil"</formula>
    </cfRule>
    <cfRule type="beginsWith" dxfId="473" priority="475" operator="beginsWith" text="TOPHYC">
      <formula>LEFT(BR228,LEN("TOPHYC"))="TOPHYC"</formula>
    </cfRule>
    <cfRule type="beginsWith" dxfId="472" priority="476" operator="beginsWith" text="Global Exam">
      <formula>LEFT(BR228,LEN("Global Exam"))="Global Exam"</formula>
    </cfRule>
    <cfRule type="beginsWith" dxfId="471" priority="477" operator="beginsWith" text="Stage">
      <formula>LEFT(BR228,LEN("Stage"))="Stage"</formula>
    </cfRule>
    <cfRule type="beginsWith" dxfId="470" priority="478" operator="beginsWith" text="Entreprise">
      <formula>LEFT(BR228,LEN("Entreprise"))="Entreprise"</formula>
    </cfRule>
    <cfRule type="beginsWith" dxfId="469" priority="479" operator="beginsWith" text="TOMIC">
      <formula>LEFT(BR228,LEN("TOMIC"))="TOMIC"</formula>
    </cfRule>
    <cfRule type="beginsWith" dxfId="468" priority="480" operator="beginsWith" text="Voltaire">
      <formula>LEFT(BR228,LEN("Voltaire"))="Voltaire"</formula>
    </cfRule>
  </conditionalFormatting>
  <conditionalFormatting sqref="BR6:BR10">
    <cfRule type="beginsWith" dxfId="467" priority="675" operator="beginsWith" text="TOPHYC">
      <formula>LEFT(BR6,LEN("TOPHYC"))="TOPHYC"</formula>
    </cfRule>
    <cfRule type="beginsWith" dxfId="466" priority="676" operator="beginsWith" text="Global Exam">
      <formula>LEFT(BR6,LEN("Global Exam"))="Global Exam"</formula>
    </cfRule>
    <cfRule type="beginsWith" dxfId="465" priority="679" operator="beginsWith" text="TOMIC">
      <formula>LEFT(BR6,LEN("TOMIC"))="TOMIC"</formula>
    </cfRule>
  </conditionalFormatting>
  <conditionalFormatting sqref="BR11:BR15">
    <cfRule type="beginsWith" dxfId="464" priority="705" operator="beginsWith" text="TOPHYC">
      <formula>LEFT(BR11,LEN("TOPHYC"))="TOPHYC"</formula>
    </cfRule>
    <cfRule type="beginsWith" dxfId="463" priority="706" operator="beginsWith" text="Global Exam">
      <formula>LEFT(BR11,LEN("Global Exam"))="Global Exam"</formula>
    </cfRule>
    <cfRule type="beginsWith" dxfId="462" priority="709" operator="beginsWith" text="TOMIC">
      <formula>LEFT(BR11,LEN("TOMIC"))="TOMIC"</formula>
    </cfRule>
  </conditionalFormatting>
  <conditionalFormatting sqref="BR16:BR20">
    <cfRule type="beginsWith" dxfId="461" priority="715" operator="beginsWith" text="TOPHYC">
      <formula>LEFT(BR16,LEN("TOPHYC"))="TOPHYC"</formula>
    </cfRule>
    <cfRule type="beginsWith" dxfId="460" priority="716" operator="beginsWith" text="Global Exam">
      <formula>LEFT(BR16,LEN("Global Exam"))="Global Exam"</formula>
    </cfRule>
    <cfRule type="beginsWith" dxfId="459" priority="719" operator="beginsWith" text="TOMIC">
      <formula>LEFT(BR16,LEN("TOMIC"))="TOMIC"</formula>
    </cfRule>
  </conditionalFormatting>
  <conditionalFormatting sqref="BR21:BR25">
    <cfRule type="beginsWith" dxfId="458" priority="695" operator="beginsWith" text="TOPHYC">
      <formula>LEFT(BR21,LEN("TOPHYC"))="TOPHYC"</formula>
    </cfRule>
    <cfRule type="beginsWith" dxfId="457" priority="696" operator="beginsWith" text="Global Exam">
      <formula>LEFT(BR21,LEN("Global Exam"))="Global Exam"</formula>
    </cfRule>
    <cfRule type="beginsWith" dxfId="456" priority="699" operator="beginsWith" text="TOMIC">
      <formula>LEFT(BR21,LEN("TOMIC"))="TOMIC"</formula>
    </cfRule>
  </conditionalFormatting>
  <conditionalFormatting sqref="BR156:BR158">
    <cfRule type="beginsWith" dxfId="455" priority="601" operator="beginsWith" text="Lancement Projet fil rouge">
      <formula>LEFT(BR156,LEN("Lancement Projet fil rouge"))="Lancement Projet fil rouge"</formula>
    </cfRule>
    <cfRule type="beginsWith" dxfId="454" priority="602" operator="beginsWith" text="Vacances">
      <formula>LEFT(BR156,LEN("Vacances"))="Vacances"</formula>
    </cfRule>
    <cfRule type="beginsWith" dxfId="453" priority="603" operator="beginsWith" text="Séminaire d'intégration">
      <formula>LEFT(BR156,LEN("Séminaire d'intégration"))="Séminaire d'intégration"</formula>
    </cfRule>
    <cfRule type="beginsWith" dxfId="452" priority="604" operator="beginsWith" text="Accueil">
      <formula>LEFT(BR156,LEN("Accueil"))="Accueil"</formula>
    </cfRule>
    <cfRule type="beginsWith" dxfId="451" priority="605" operator="beginsWith" text="TOPHYC">
      <formula>LEFT(BR156,LEN("TOPHYC"))="TOPHYC"</formula>
    </cfRule>
    <cfRule type="beginsWith" dxfId="450" priority="606" operator="beginsWith" text="Global Exam">
      <formula>LEFT(BR156,LEN("Global Exam"))="Global Exam"</formula>
    </cfRule>
    <cfRule type="beginsWith" dxfId="449" priority="607" operator="beginsWith" text="Stage">
      <formula>LEFT(BR156,LEN("Stage"))="Stage"</formula>
    </cfRule>
    <cfRule type="beginsWith" dxfId="448" priority="608" operator="beginsWith" text="Entreprise">
      <formula>LEFT(BR156,LEN("Entreprise"))="Entreprise"</formula>
    </cfRule>
    <cfRule type="beginsWith" dxfId="447" priority="609" operator="beginsWith" text="TOMIC">
      <formula>LEFT(BR156,LEN("TOMIC"))="TOMIC"</formula>
    </cfRule>
    <cfRule type="beginsWith" dxfId="446" priority="610" operator="beginsWith" text="Voltaire">
      <formula>LEFT(BR156,LEN("Voltaire"))="Voltaire"</formula>
    </cfRule>
  </conditionalFormatting>
  <conditionalFormatting sqref="BR181:BR185">
    <cfRule type="beginsWith" dxfId="445" priority="725" operator="beginsWith" text="TOPHYC">
      <formula>LEFT(BR181,LEN("TOPHYC"))="TOPHYC"</formula>
    </cfRule>
    <cfRule type="beginsWith" dxfId="444" priority="726" operator="beginsWith" text="Global Exam">
      <formula>LEFT(BR181,LEN("Global Exam"))="Global Exam"</formula>
    </cfRule>
    <cfRule type="beginsWith" dxfId="443" priority="729" operator="beginsWith" text="TOMIC">
      <formula>LEFT(BR181,LEN("TOMIC"))="TOMIC"</formula>
    </cfRule>
  </conditionalFormatting>
  <conditionalFormatting sqref="BR190 BR186">
    <cfRule type="beginsWith" dxfId="442" priority="755" operator="beginsWith" text="TOPHYC">
      <formula>LEFT(BR186,LEN("TOPHYC"))="TOPHYC"</formula>
    </cfRule>
    <cfRule type="beginsWith" dxfId="441" priority="756" operator="beginsWith" text="Global Exam">
      <formula>LEFT(BR186,LEN("Global Exam"))="Global Exam"</formula>
    </cfRule>
    <cfRule type="beginsWith" dxfId="440" priority="759" operator="beginsWith" text="TOMIC">
      <formula>LEFT(BR186,LEN("TOMIC"))="TOMIC"</formula>
    </cfRule>
  </conditionalFormatting>
  <conditionalFormatting sqref="BR206 BR210">
    <cfRule type="beginsWith" dxfId="439" priority="771" operator="beginsWith" text="Lancement Projet fil rouge">
      <formula>LEFT(BR206,LEN("Lancement Projet fil rouge"))="Lancement Projet fil rouge"</formula>
    </cfRule>
    <cfRule type="beginsWith" dxfId="438" priority="772" operator="beginsWith" text="Vacances">
      <formula>LEFT(BR206,LEN("Vacances"))="Vacances"</formula>
    </cfRule>
    <cfRule type="beginsWith" dxfId="437" priority="773" operator="beginsWith" text="Séminaire d'intégration">
      <formula>LEFT(BR206,LEN("Séminaire d'intégration"))="Séminaire d'intégration"</formula>
    </cfRule>
    <cfRule type="beginsWith" dxfId="436" priority="774" operator="beginsWith" text="Accueil">
      <formula>LEFT(BR206,LEN("Accueil"))="Accueil"</formula>
    </cfRule>
    <cfRule type="beginsWith" dxfId="435" priority="775" operator="beginsWith" text="TOPHYC">
      <formula>LEFT(BR206,LEN("TOPHYC"))="TOPHYC"</formula>
    </cfRule>
    <cfRule type="beginsWith" dxfId="434" priority="776" operator="beginsWith" text="Global Exam">
      <formula>LEFT(BR206,LEN("Global Exam"))="Global Exam"</formula>
    </cfRule>
    <cfRule type="beginsWith" dxfId="433" priority="777" operator="beginsWith" text="Stage">
      <formula>LEFT(BR206,LEN("Stage"))="Stage"</formula>
    </cfRule>
    <cfRule type="beginsWith" dxfId="432" priority="778" operator="beginsWith" text="Entreprise">
      <formula>LEFT(BR206,LEN("Entreprise"))="Entreprise"</formula>
    </cfRule>
    <cfRule type="beginsWith" dxfId="431" priority="779" operator="beginsWith" text="TOMIC">
      <formula>LEFT(BR206,LEN("TOMIC"))="TOMIC"</formula>
    </cfRule>
    <cfRule type="beginsWith" dxfId="430" priority="780" operator="beginsWith" text="Voltaire">
      <formula>LEFT(BR206,LEN("Voltaire"))="Voltaire"</formula>
    </cfRule>
  </conditionalFormatting>
  <conditionalFormatting sqref="BR218">
    <cfRule type="beginsWith" dxfId="429" priority="781" operator="beginsWith" text="Lancement Projet fil rouge">
      <formula>LEFT(BR218,LEN("Lancement Projet fil rouge"))="Lancement Projet fil rouge"</formula>
    </cfRule>
    <cfRule type="beginsWith" dxfId="428" priority="782" operator="beginsWith" text="Vacances">
      <formula>LEFT(BR218,LEN("Vacances"))="Vacances"</formula>
    </cfRule>
    <cfRule type="beginsWith" dxfId="427" priority="783" operator="beginsWith" text="Séminaire d'intégration">
      <formula>LEFT(BR218,LEN("Séminaire d'intégration"))="Séminaire d'intégration"</formula>
    </cfRule>
    <cfRule type="beginsWith" dxfId="426" priority="784" operator="beginsWith" text="Accueil">
      <formula>LEFT(BR218,LEN("Accueil"))="Accueil"</formula>
    </cfRule>
    <cfRule type="beginsWith" dxfId="425" priority="785" operator="beginsWith" text="TOPHYC">
      <formula>LEFT(BR218,LEN("TOPHYC"))="TOPHYC"</formula>
    </cfRule>
    <cfRule type="beginsWith" dxfId="424" priority="786" operator="beginsWith" text="Global Exam">
      <formula>LEFT(BR218,LEN("Global Exam"))="Global Exam"</formula>
    </cfRule>
    <cfRule type="beginsWith" dxfId="423" priority="787" operator="beginsWith" text="Stage">
      <formula>LEFT(BR218,LEN("Stage"))="Stage"</formula>
    </cfRule>
    <cfRule type="beginsWith" dxfId="422" priority="788" operator="beginsWith" text="Entreprise">
      <formula>LEFT(BR218,LEN("Entreprise"))="Entreprise"</formula>
    </cfRule>
    <cfRule type="beginsWith" dxfId="421" priority="789" operator="beginsWith" text="TOMIC">
      <formula>LEFT(BR218,LEN("TOMIC"))="TOMIC"</formula>
    </cfRule>
    <cfRule type="beginsWith" dxfId="420" priority="790" operator="beginsWith" text="Voltaire">
      <formula>LEFT(BR218,LEN("Voltaire"))="Voltaire"</formula>
    </cfRule>
  </conditionalFormatting>
  <conditionalFormatting sqref="BR226:BR227 BR229:BR230">
    <cfRule type="beginsWith" dxfId="419" priority="535" operator="beginsWith" text="TOPHYC">
      <formula>LEFT(BR226,LEN("TOPHYC"))="TOPHYC"</formula>
    </cfRule>
    <cfRule type="beginsWith" dxfId="418" priority="536" operator="beginsWith" text="Global Exam">
      <formula>LEFT(BR226,LEN("Global Exam"))="Global Exam"</formula>
    </cfRule>
    <cfRule type="beginsWith" dxfId="417" priority="539" operator="beginsWith" text="TOMIC">
      <formula>LEFT(BR226,LEN("TOMIC"))="TOMIC"</formula>
    </cfRule>
  </conditionalFormatting>
  <conditionalFormatting sqref="BR26:BR30">
    <cfRule type="beginsWith" dxfId="416" priority="401" operator="beginsWith" text="Lancement Projet fil rouge">
      <formula>LEFT(BR26,LEN("Lancement Projet fil rouge"))="Lancement Projet fil rouge"</formula>
    </cfRule>
    <cfRule type="beginsWith" dxfId="415" priority="402" operator="beginsWith" text="Vacances">
      <formula>LEFT(BR26,LEN("Vacances"))="Vacances"</formula>
    </cfRule>
    <cfRule type="beginsWith" dxfId="414" priority="403" operator="beginsWith" text="Séminaire d'intégration">
      <formula>LEFT(BR26,LEN("Séminaire d'intégration"))="Séminaire d'intégration"</formula>
    </cfRule>
    <cfRule type="beginsWith" dxfId="413" priority="404" operator="beginsWith" text="Accueil">
      <formula>LEFT(BR26,LEN("Accueil"))="Accueil"</formula>
    </cfRule>
    <cfRule type="beginsWith" dxfId="412" priority="407" operator="beginsWith" text="Stage">
      <formula>LEFT(BR26,LEN("Stage"))="Stage"</formula>
    </cfRule>
    <cfRule type="beginsWith" dxfId="411" priority="408" operator="beginsWith" text="Entreprise">
      <formula>LEFT(BR26,LEN("Entreprise"))="Entreprise"</formula>
    </cfRule>
    <cfRule type="beginsWith" dxfId="410" priority="410" operator="beginsWith" text="Voltaire">
      <formula>LEFT(BR26,LEN("Voltaire"))="Voltaire"</formula>
    </cfRule>
  </conditionalFormatting>
  <conditionalFormatting sqref="BR26:BR30">
    <cfRule type="beginsWith" dxfId="409" priority="405" operator="beginsWith" text="TOPHYC">
      <formula>LEFT(BR26,LEN("TOPHYC"))="TOPHYC"</formula>
    </cfRule>
    <cfRule type="beginsWith" dxfId="408" priority="406" operator="beginsWith" text="Global Exam">
      <formula>LEFT(BR26,LEN("Global Exam"))="Global Exam"</formula>
    </cfRule>
    <cfRule type="beginsWith" dxfId="407" priority="409" operator="beginsWith" text="TOMIC">
      <formula>LEFT(BR26,LEN("TOMIC"))="TOMIC"</formula>
    </cfRule>
  </conditionalFormatting>
  <conditionalFormatting sqref="BR239:BR240">
    <cfRule type="beginsWith" dxfId="406" priority="394" operator="beginsWith" text="Lancement Projet fil rouge">
      <formula>LEFT(BR239,LEN("Lancement Projet fil rouge"))="Lancement Projet fil rouge"</formula>
    </cfRule>
  </conditionalFormatting>
  <conditionalFormatting sqref="BR239:BR240">
    <cfRule type="beginsWith" dxfId="405" priority="395" operator="beginsWith" text="Vacances">
      <formula>LEFT(BR239,LEN("Vacances"))="Vacances"</formula>
    </cfRule>
  </conditionalFormatting>
  <conditionalFormatting sqref="BR239:BR240">
    <cfRule type="beginsWith" dxfId="404" priority="396" operator="beginsWith" text="Séminaire d'intégration">
      <formula>LEFT(BR239,LEN("Séminaire d'intégration"))="Séminaire d'intégration"</formula>
    </cfRule>
  </conditionalFormatting>
  <conditionalFormatting sqref="BR239:BR240">
    <cfRule type="beginsWith" dxfId="403" priority="397" operator="beginsWith" text="Accueil">
      <formula>LEFT(BR239,LEN("Accueil"))="Accueil"</formula>
    </cfRule>
  </conditionalFormatting>
  <conditionalFormatting sqref="BR239:BR240">
    <cfRule type="beginsWith" dxfId="402" priority="398" operator="beginsWith" text="Stage">
      <formula>LEFT(BR239,LEN("Stage"))="Stage"</formula>
    </cfRule>
    <cfRule type="beginsWith" dxfId="401" priority="399" operator="beginsWith" text="Entreprise">
      <formula>LEFT(BR239,LEN("Entreprise"))="Entreprise"</formula>
    </cfRule>
    <cfRule type="beginsWith" dxfId="400" priority="400" operator="beginsWith" text="Voltaire">
      <formula>LEFT(BR239,LEN("Voltaire"))="Voltaire"</formula>
    </cfRule>
  </conditionalFormatting>
  <conditionalFormatting sqref="BR236">
    <cfRule type="beginsWith" dxfId="399" priority="384" operator="beginsWith" text="Lancement Projet fil rouge">
      <formula>LEFT(BR236,LEN("Lancement Projet fil rouge"))="Lancement Projet fil rouge"</formula>
    </cfRule>
  </conditionalFormatting>
  <conditionalFormatting sqref="BR236">
    <cfRule type="beginsWith" dxfId="398" priority="385" operator="beginsWith" text="Vacances">
      <formula>LEFT(BR236,LEN("Vacances"))="Vacances"</formula>
    </cfRule>
  </conditionalFormatting>
  <conditionalFormatting sqref="BR236">
    <cfRule type="beginsWith" dxfId="397" priority="386" operator="beginsWith" text="Séminaire d'intégration">
      <formula>LEFT(BR236,LEN("Séminaire d'intégration"))="Séminaire d'intégration"</formula>
    </cfRule>
  </conditionalFormatting>
  <conditionalFormatting sqref="BR236">
    <cfRule type="beginsWith" dxfId="396" priority="387" operator="beginsWith" text="Accueil">
      <formula>LEFT(BR236,LEN("Accueil"))="Accueil"</formula>
    </cfRule>
  </conditionalFormatting>
  <conditionalFormatting sqref="BR236">
    <cfRule type="beginsWith" dxfId="395" priority="390" operator="beginsWith" text="Stage">
      <formula>LEFT(BR236,LEN("Stage"))="Stage"</formula>
    </cfRule>
    <cfRule type="beginsWith" dxfId="394" priority="391" operator="beginsWith" text="Entreprise">
      <formula>LEFT(BR236,LEN("Entreprise"))="Entreprise"</formula>
    </cfRule>
    <cfRule type="beginsWith" dxfId="393" priority="393" operator="beginsWith" text="Voltaire">
      <formula>LEFT(BR236,LEN("Voltaire"))="Voltaire"</formula>
    </cfRule>
  </conditionalFormatting>
  <conditionalFormatting sqref="BR236">
    <cfRule type="beginsWith" dxfId="392" priority="388" operator="beginsWith" text="TOPHYC">
      <formula>LEFT(BR236,LEN("TOPHYC"))="TOPHYC"</formula>
    </cfRule>
    <cfRule type="beginsWith" dxfId="391" priority="389" operator="beginsWith" text="Global Exam">
      <formula>LEFT(BR236,LEN("Global Exam"))="Global Exam"</formula>
    </cfRule>
    <cfRule type="beginsWith" dxfId="390" priority="392" operator="beginsWith" text="TOMIC">
      <formula>LEFT(BR236,LEN("TOMIC"))="TOMIC"</formula>
    </cfRule>
  </conditionalFormatting>
  <conditionalFormatting sqref="BR231:BR235">
    <cfRule type="beginsWith" dxfId="389" priority="377" operator="beginsWith" text="Lancement Projet fil rouge">
      <formula>LEFT(BR231,LEN("Lancement Projet fil rouge"))="Lancement Projet fil rouge"</formula>
    </cfRule>
  </conditionalFormatting>
  <conditionalFormatting sqref="BR231:BR235">
    <cfRule type="beginsWith" dxfId="388" priority="378" operator="beginsWith" text="Vacances">
      <formula>LEFT(BR231,LEN("Vacances"))="Vacances"</formula>
    </cfRule>
  </conditionalFormatting>
  <conditionalFormatting sqref="BR231:BR235">
    <cfRule type="beginsWith" dxfId="387" priority="379" operator="beginsWith" text="Séminaire d'intégration">
      <formula>LEFT(BR231,LEN("Séminaire d'intégration"))="Séminaire d'intégration"</formula>
    </cfRule>
  </conditionalFormatting>
  <conditionalFormatting sqref="BR231:BR235">
    <cfRule type="beginsWith" dxfId="386" priority="380" operator="beginsWith" text="Accueil">
      <formula>LEFT(BR231,LEN("Accueil"))="Accueil"</formula>
    </cfRule>
  </conditionalFormatting>
  <conditionalFormatting sqref="BR231:BR235">
    <cfRule type="beginsWith" dxfId="385" priority="381" operator="beginsWith" text="Stage">
      <formula>LEFT(BR231,LEN("Stage"))="Stage"</formula>
    </cfRule>
    <cfRule type="beginsWith" dxfId="384" priority="382" operator="beginsWith" text="Entreprise">
      <formula>LEFT(BR231,LEN("Entreprise"))="Entreprise"</formula>
    </cfRule>
    <cfRule type="beginsWith" dxfId="383" priority="383" operator="beginsWith" text="Voltaire">
      <formula>LEFT(BR231,LEN("Voltaire"))="Voltaire"</formula>
    </cfRule>
  </conditionalFormatting>
  <conditionalFormatting sqref="BR150">
    <cfRule type="beginsWith" dxfId="382" priority="367" operator="beginsWith" text="Lancement Projet fil rouge">
      <formula>LEFT(BR150,LEN("Lancement Projet fil rouge"))="Lancement Projet fil rouge"</formula>
    </cfRule>
    <cfRule type="beginsWith" dxfId="381" priority="368" operator="beginsWith" text="Vacances">
      <formula>LEFT(BR150,LEN("Vacances"))="Vacances"</formula>
    </cfRule>
    <cfRule type="beginsWith" dxfId="380" priority="369" operator="beginsWith" text="Séminaire d'intégration">
      <formula>LEFT(BR150,LEN("Séminaire d'intégration"))="Séminaire d'intégration"</formula>
    </cfRule>
    <cfRule type="beginsWith" dxfId="379" priority="370" operator="beginsWith" text="Accueil">
      <formula>LEFT(BR150,LEN("Accueil"))="Accueil"</formula>
    </cfRule>
    <cfRule type="beginsWith" dxfId="378" priority="373" operator="beginsWith" text="Stage">
      <formula>LEFT(BR150,LEN("Stage"))="Stage"</formula>
    </cfRule>
    <cfRule type="beginsWith" dxfId="377" priority="374" operator="beginsWith" text="Entreprise">
      <formula>LEFT(BR150,LEN("Entreprise"))="Entreprise"</formula>
    </cfRule>
    <cfRule type="beginsWith" dxfId="376" priority="376" operator="beginsWith" text="Voltaire">
      <formula>LEFT(BR150,LEN("Voltaire"))="Voltaire"</formula>
    </cfRule>
  </conditionalFormatting>
  <conditionalFormatting sqref="BR150">
    <cfRule type="beginsWith" dxfId="375" priority="371" operator="beginsWith" text="TOPHYC">
      <formula>LEFT(BR150,LEN("TOPHYC"))="TOPHYC"</formula>
    </cfRule>
    <cfRule type="beginsWith" dxfId="374" priority="372" operator="beginsWith" text="Global Exam">
      <formula>LEFT(BR150,LEN("Global Exam"))="Global Exam"</formula>
    </cfRule>
    <cfRule type="beginsWith" dxfId="373" priority="375" operator="beginsWith" text="TOMIC">
      <formula>LEFT(BR150,LEN("TOMIC"))="TOMIC"</formula>
    </cfRule>
  </conditionalFormatting>
  <conditionalFormatting sqref="BR159">
    <cfRule type="beginsWith" dxfId="372" priority="357" operator="beginsWith" text="Lancement Projet fil rouge">
      <formula>LEFT(BR159,LEN("Lancement Projet fil rouge"))="Lancement Projet fil rouge"</formula>
    </cfRule>
    <cfRule type="beginsWith" dxfId="371" priority="358" operator="beginsWith" text="Vacances">
      <formula>LEFT(BR159,LEN("Vacances"))="Vacances"</formula>
    </cfRule>
    <cfRule type="beginsWith" dxfId="370" priority="359" operator="beginsWith" text="Séminaire d'intégration">
      <formula>LEFT(BR159,LEN("Séminaire d'intégration"))="Séminaire d'intégration"</formula>
    </cfRule>
    <cfRule type="beginsWith" dxfId="369" priority="360" operator="beginsWith" text="Accueil">
      <formula>LEFT(BR159,LEN("Accueil"))="Accueil"</formula>
    </cfRule>
    <cfRule type="beginsWith" dxfId="368" priority="361" operator="beginsWith" text="TOPHYC">
      <formula>LEFT(BR159,LEN("TOPHYC"))="TOPHYC"</formula>
    </cfRule>
    <cfRule type="beginsWith" dxfId="367" priority="362" operator="beginsWith" text="Global Exam">
      <formula>LEFT(BR159,LEN("Global Exam"))="Global Exam"</formula>
    </cfRule>
    <cfRule type="beginsWith" dxfId="366" priority="363" operator="beginsWith" text="Stage">
      <formula>LEFT(BR159,LEN("Stage"))="Stage"</formula>
    </cfRule>
    <cfRule type="beginsWith" dxfId="365" priority="364" operator="beginsWith" text="Entreprise">
      <formula>LEFT(BR159,LEN("Entreprise"))="Entreprise"</formula>
    </cfRule>
    <cfRule type="beginsWith" dxfId="364" priority="365" operator="beginsWith" text="TOMIC">
      <formula>LEFT(BR159,LEN("TOMIC"))="TOMIC"</formula>
    </cfRule>
    <cfRule type="beginsWith" dxfId="363" priority="366" operator="beginsWith" text="Voltaire">
      <formula>LEFT(BR159,LEN("Voltaire"))="Voltaire"</formula>
    </cfRule>
  </conditionalFormatting>
  <conditionalFormatting sqref="BR169">
    <cfRule type="beginsWith" dxfId="352" priority="337" operator="beginsWith" text="Lancement Projet fil rouge">
      <formula>LEFT(BR169,LEN("Lancement Projet fil rouge"))="Lancement Projet fil rouge"</formula>
    </cfRule>
    <cfRule type="beginsWith" dxfId="351" priority="338" operator="beginsWith" text="Vacances">
      <formula>LEFT(BR169,LEN("Vacances"))="Vacances"</formula>
    </cfRule>
    <cfRule type="beginsWith" dxfId="350" priority="339" operator="beginsWith" text="Séminaire d'intégration">
      <formula>LEFT(BR169,LEN("Séminaire d'intégration"))="Séminaire d'intégration"</formula>
    </cfRule>
    <cfRule type="beginsWith" dxfId="349" priority="340" operator="beginsWith" text="Accueil">
      <formula>LEFT(BR169,LEN("Accueil"))="Accueil"</formula>
    </cfRule>
    <cfRule type="beginsWith" dxfId="348" priority="341" operator="beginsWith" text="TOPHYC">
      <formula>LEFT(BR169,LEN("TOPHYC"))="TOPHYC"</formula>
    </cfRule>
    <cfRule type="beginsWith" dxfId="347" priority="342" operator="beginsWith" text="Global Exam">
      <formula>LEFT(BR169,LEN("Global Exam"))="Global Exam"</formula>
    </cfRule>
    <cfRule type="beginsWith" dxfId="346" priority="343" operator="beginsWith" text="Stage">
      <formula>LEFT(BR169,LEN("Stage"))="Stage"</formula>
    </cfRule>
    <cfRule type="beginsWith" dxfId="345" priority="344" operator="beginsWith" text="Entreprise">
      <formula>LEFT(BR169,LEN("Entreprise"))="Entreprise"</formula>
    </cfRule>
    <cfRule type="beginsWith" dxfId="344" priority="345" operator="beginsWith" text="TOMIC">
      <formula>LEFT(BR169,LEN("TOMIC"))="TOMIC"</formula>
    </cfRule>
    <cfRule type="beginsWith" dxfId="343" priority="346" operator="beginsWith" text="Voltaire">
      <formula>LEFT(BR169,LEN("Voltaire"))="Voltaire"</formula>
    </cfRule>
  </conditionalFormatting>
  <conditionalFormatting sqref="BR216:BR217">
    <cfRule type="beginsWith" dxfId="322" priority="307" operator="beginsWith" text="Lancement Projet fil rouge">
      <formula>LEFT(BR216,LEN("Lancement Projet fil rouge"))="Lancement Projet fil rouge"</formula>
    </cfRule>
  </conditionalFormatting>
  <conditionalFormatting sqref="BR216:BR217">
    <cfRule type="beginsWith" dxfId="321" priority="308" operator="beginsWith" text="Vacances">
      <formula>LEFT(BR216,LEN("Vacances"))="Vacances"</formula>
    </cfRule>
  </conditionalFormatting>
  <conditionalFormatting sqref="BR216:BR217">
    <cfRule type="beginsWith" dxfId="320" priority="309" operator="beginsWith" text="Séminaire d'intégration">
      <formula>LEFT(BR216,LEN("Séminaire d'intégration"))="Séminaire d'intégration"</formula>
    </cfRule>
  </conditionalFormatting>
  <conditionalFormatting sqref="BR216:BR217">
    <cfRule type="beginsWith" dxfId="319" priority="310" operator="beginsWith" text="Accueil">
      <formula>LEFT(BR216,LEN("Accueil"))="Accueil"</formula>
    </cfRule>
  </conditionalFormatting>
  <conditionalFormatting sqref="BR216:BR217">
    <cfRule type="beginsWith" dxfId="318" priority="313" operator="beginsWith" text="Stage">
      <formula>LEFT(BR216,LEN("Stage"))="Stage"</formula>
    </cfRule>
    <cfRule type="beginsWith" dxfId="317" priority="314" operator="beginsWith" text="Entreprise">
      <formula>LEFT(BR216,LEN("Entreprise"))="Entreprise"</formula>
    </cfRule>
    <cfRule type="beginsWith" dxfId="316" priority="316" operator="beginsWith" text="Voltaire">
      <formula>LEFT(BR216,LEN("Voltaire"))="Voltaire"</formula>
    </cfRule>
  </conditionalFormatting>
  <conditionalFormatting sqref="BR216:BR217">
    <cfRule type="beginsWith" dxfId="315" priority="311" operator="beginsWith" text="TOPHYC">
      <formula>LEFT(BR216,LEN("TOPHYC"))="TOPHYC"</formula>
    </cfRule>
    <cfRule type="beginsWith" dxfId="314" priority="312" operator="beginsWith" text="Global Exam">
      <formula>LEFT(BR216,LEN("Global Exam"))="Global Exam"</formula>
    </cfRule>
    <cfRule type="beginsWith" dxfId="313" priority="315" operator="beginsWith" text="TOMIC">
      <formula>LEFT(BR216,LEN("TOMIC"))="TOMIC"</formula>
    </cfRule>
  </conditionalFormatting>
  <conditionalFormatting sqref="BR219">
    <cfRule type="beginsWith" dxfId="312" priority="297" operator="beginsWith" text="Lancement Projet fil rouge">
      <formula>LEFT(BR219,LEN("Lancement Projet fil rouge"))="Lancement Projet fil rouge"</formula>
    </cfRule>
  </conditionalFormatting>
  <conditionalFormatting sqref="BR219">
    <cfRule type="beginsWith" dxfId="311" priority="298" operator="beginsWith" text="Vacances">
      <formula>LEFT(BR219,LEN("Vacances"))="Vacances"</formula>
    </cfRule>
  </conditionalFormatting>
  <conditionalFormatting sqref="BR219">
    <cfRule type="beginsWith" dxfId="310" priority="299" operator="beginsWith" text="Séminaire d'intégration">
      <formula>LEFT(BR219,LEN("Séminaire d'intégration"))="Séminaire d'intégration"</formula>
    </cfRule>
  </conditionalFormatting>
  <conditionalFormatting sqref="BR219">
    <cfRule type="beginsWith" dxfId="309" priority="300" operator="beginsWith" text="Accueil">
      <formula>LEFT(BR219,LEN("Accueil"))="Accueil"</formula>
    </cfRule>
  </conditionalFormatting>
  <conditionalFormatting sqref="BR219">
    <cfRule type="beginsWith" dxfId="308" priority="303" operator="beginsWith" text="Stage">
      <formula>LEFT(BR219,LEN("Stage"))="Stage"</formula>
    </cfRule>
    <cfRule type="beginsWith" dxfId="307" priority="304" operator="beginsWith" text="Entreprise">
      <formula>LEFT(BR219,LEN("Entreprise"))="Entreprise"</formula>
    </cfRule>
    <cfRule type="beginsWith" dxfId="306" priority="306" operator="beginsWith" text="Voltaire">
      <formula>LEFT(BR219,LEN("Voltaire"))="Voltaire"</formula>
    </cfRule>
  </conditionalFormatting>
  <conditionalFormatting sqref="BR219">
    <cfRule type="beginsWith" dxfId="305" priority="301" operator="beginsWith" text="TOPHYC">
      <formula>LEFT(BR219,LEN("TOPHYC"))="TOPHYC"</formula>
    </cfRule>
    <cfRule type="beginsWith" dxfId="304" priority="302" operator="beginsWith" text="Global Exam">
      <formula>LEFT(BR219,LEN("Global Exam"))="Global Exam"</formula>
    </cfRule>
    <cfRule type="beginsWith" dxfId="303" priority="305" operator="beginsWith" text="TOMIC">
      <formula>LEFT(BR219,LEN("TOMIC"))="TOMIC"</formula>
    </cfRule>
  </conditionalFormatting>
  <conditionalFormatting sqref="BR214">
    <cfRule type="beginsWith" dxfId="302" priority="287" operator="beginsWith" text="Lancement Projet fil rouge">
      <formula>LEFT(BR214,LEN("Lancement Projet fil rouge"))="Lancement Projet fil rouge"</formula>
    </cfRule>
    <cfRule type="beginsWith" dxfId="301" priority="288" operator="beginsWith" text="Vacances">
      <formula>LEFT(BR214,LEN("Vacances"))="Vacances"</formula>
    </cfRule>
    <cfRule type="beginsWith" dxfId="300" priority="289" operator="beginsWith" text="Séminaire d'intégration">
      <formula>LEFT(BR214,LEN("Séminaire d'intégration"))="Séminaire d'intégration"</formula>
    </cfRule>
    <cfRule type="beginsWith" dxfId="299" priority="290" operator="beginsWith" text="Accueil">
      <formula>LEFT(BR214,LEN("Accueil"))="Accueil"</formula>
    </cfRule>
    <cfRule type="beginsWith" dxfId="298" priority="291" operator="beginsWith" text="TOPHYC">
      <formula>LEFT(BR214,LEN("TOPHYC"))="TOPHYC"</formula>
    </cfRule>
    <cfRule type="beginsWith" dxfId="297" priority="292" operator="beginsWith" text="Global Exam">
      <formula>LEFT(BR214,LEN("Global Exam"))="Global Exam"</formula>
    </cfRule>
    <cfRule type="beginsWith" dxfId="296" priority="293" operator="beginsWith" text="Stage">
      <formula>LEFT(BR214,LEN("Stage"))="Stage"</formula>
    </cfRule>
    <cfRule type="beginsWith" dxfId="295" priority="294" operator="beginsWith" text="Entreprise">
      <formula>LEFT(BR214,LEN("Entreprise"))="Entreprise"</formula>
    </cfRule>
    <cfRule type="beginsWith" dxfId="294" priority="295" operator="beginsWith" text="TOMIC">
      <formula>LEFT(BR214,LEN("TOMIC"))="TOMIC"</formula>
    </cfRule>
    <cfRule type="beginsWith" dxfId="293" priority="296" operator="beginsWith" text="Voltaire">
      <formula>LEFT(BR214,LEN("Voltaire"))="Voltaire"</formula>
    </cfRule>
  </conditionalFormatting>
  <conditionalFormatting sqref="BP130">
    <cfRule type="beginsWith" dxfId="292" priority="277" operator="beginsWith" text="Lancement Projet fil rouge">
      <formula>LEFT(BP130,LEN("Lancement Projet fil rouge"))="Lancement Projet fil rouge"</formula>
    </cfRule>
    <cfRule type="beginsWith" dxfId="291" priority="278" operator="beginsWith" text="Vacances">
      <formula>LEFT(BP130,LEN("Vacances"))="Vacances"</formula>
    </cfRule>
    <cfRule type="beginsWith" dxfId="290" priority="279" operator="beginsWith" text="Séminaire d'intégration">
      <formula>LEFT(BP130,LEN("Séminaire d'intégration"))="Séminaire d'intégration"</formula>
    </cfRule>
    <cfRule type="beginsWith" dxfId="289" priority="280" operator="beginsWith" text="Accueil">
      <formula>LEFT(BP130,LEN("Accueil"))="Accueil"</formula>
    </cfRule>
    <cfRule type="beginsWith" dxfId="288" priority="281" operator="beginsWith" text="TOPHYC">
      <formula>LEFT(BP130,LEN("TOPHYC"))="TOPHYC"</formula>
    </cfRule>
    <cfRule type="beginsWith" dxfId="287" priority="282" operator="beginsWith" text="Global Exam">
      <formula>LEFT(BP130,LEN("Global Exam"))="Global Exam"</formula>
    </cfRule>
    <cfRule type="beginsWith" dxfId="286" priority="283" operator="beginsWith" text="Stage">
      <formula>LEFT(BP130,LEN("Stage"))="Stage"</formula>
    </cfRule>
    <cfRule type="beginsWith" dxfId="285" priority="284" operator="beginsWith" text="Entreprise">
      <formula>LEFT(BP130,LEN("Entreprise"))="Entreprise"</formula>
    </cfRule>
    <cfRule type="beginsWith" dxfId="284" priority="285" operator="beginsWith" text="TOMIC">
      <formula>LEFT(BP130,LEN("TOMIC"))="TOMIC"</formula>
    </cfRule>
    <cfRule type="beginsWith" dxfId="283" priority="286" operator="beginsWith" text="Voltaire">
      <formula>LEFT(BP130,LEN("Voltaire"))="Voltaire"</formula>
    </cfRule>
  </conditionalFormatting>
  <conditionalFormatting sqref="BR164">
    <cfRule type="beginsWith" dxfId="282" priority="267" operator="beginsWith" text="Lancement Projet fil rouge">
      <formula>LEFT(BR164,LEN("Lancement Projet fil rouge"))="Lancement Projet fil rouge"</formula>
    </cfRule>
  </conditionalFormatting>
  <conditionalFormatting sqref="BR164">
    <cfRule type="beginsWith" dxfId="281" priority="268" operator="beginsWith" text="Vacances">
      <formula>LEFT(BR164,LEN("Vacances"))="Vacances"</formula>
    </cfRule>
  </conditionalFormatting>
  <conditionalFormatting sqref="BR164">
    <cfRule type="beginsWith" dxfId="280" priority="269" operator="beginsWith" text="Séminaire d'intégration">
      <formula>LEFT(BR164,LEN("Séminaire d'intégration"))="Séminaire d'intégration"</formula>
    </cfRule>
  </conditionalFormatting>
  <conditionalFormatting sqref="BR164">
    <cfRule type="beginsWith" dxfId="279" priority="270" operator="beginsWith" text="Accueil">
      <formula>LEFT(BR164,LEN("Accueil"))="Accueil"</formula>
    </cfRule>
  </conditionalFormatting>
  <conditionalFormatting sqref="BR164">
    <cfRule type="beginsWith" dxfId="278" priority="273" operator="beginsWith" text="Stage">
      <formula>LEFT(BR164,LEN("Stage"))="Stage"</formula>
    </cfRule>
    <cfRule type="beginsWith" dxfId="277" priority="274" operator="beginsWith" text="Entreprise">
      <formula>LEFT(BR164,LEN("Entreprise"))="Entreprise"</formula>
    </cfRule>
    <cfRule type="beginsWith" dxfId="276" priority="276" operator="beginsWith" text="Voltaire">
      <formula>LEFT(BR164,LEN("Voltaire"))="Voltaire"</formula>
    </cfRule>
  </conditionalFormatting>
  <conditionalFormatting sqref="BR164">
    <cfRule type="beginsWith" dxfId="275" priority="271" operator="beginsWith" text="TOPHYC">
      <formula>LEFT(BR164,LEN("TOPHYC"))="TOPHYC"</formula>
    </cfRule>
    <cfRule type="beginsWith" dxfId="274" priority="272" operator="beginsWith" text="Global Exam">
      <formula>LEFT(BR164,LEN("Global Exam"))="Global Exam"</formula>
    </cfRule>
    <cfRule type="beginsWith" dxfId="273" priority="275" operator="beginsWith" text="TOMIC">
      <formula>LEFT(BR164,LEN("TOMIC"))="TOMIC"</formula>
    </cfRule>
  </conditionalFormatting>
  <conditionalFormatting sqref="BR174">
    <cfRule type="beginsWith" dxfId="272" priority="257" operator="beginsWith" text="Lancement Projet fil rouge">
      <formula>LEFT(BR174,LEN("Lancement Projet fil rouge"))="Lancement Projet fil rouge"</formula>
    </cfRule>
  </conditionalFormatting>
  <conditionalFormatting sqref="BR174">
    <cfRule type="beginsWith" dxfId="271" priority="258" operator="beginsWith" text="Vacances">
      <formula>LEFT(BR174,LEN("Vacances"))="Vacances"</formula>
    </cfRule>
  </conditionalFormatting>
  <conditionalFormatting sqref="BR174">
    <cfRule type="beginsWith" dxfId="270" priority="259" operator="beginsWith" text="Séminaire d'intégration">
      <formula>LEFT(BR174,LEN("Séminaire d'intégration"))="Séminaire d'intégration"</formula>
    </cfRule>
  </conditionalFormatting>
  <conditionalFormatting sqref="BR174">
    <cfRule type="beginsWith" dxfId="269" priority="260" operator="beginsWith" text="Accueil">
      <formula>LEFT(BR174,LEN("Accueil"))="Accueil"</formula>
    </cfRule>
  </conditionalFormatting>
  <conditionalFormatting sqref="BR174">
    <cfRule type="beginsWith" dxfId="268" priority="263" operator="beginsWith" text="Stage">
      <formula>LEFT(BR174,LEN("Stage"))="Stage"</formula>
    </cfRule>
    <cfRule type="beginsWith" dxfId="267" priority="264" operator="beginsWith" text="Entreprise">
      <formula>LEFT(BR174,LEN("Entreprise"))="Entreprise"</formula>
    </cfRule>
    <cfRule type="beginsWith" dxfId="266" priority="266" operator="beginsWith" text="Voltaire">
      <formula>LEFT(BR174,LEN("Voltaire"))="Voltaire"</formula>
    </cfRule>
  </conditionalFormatting>
  <conditionalFormatting sqref="BR174">
    <cfRule type="beginsWith" dxfId="265" priority="261" operator="beginsWith" text="TOPHYC">
      <formula>LEFT(BR174,LEN("TOPHYC"))="TOPHYC"</formula>
    </cfRule>
    <cfRule type="beginsWith" dxfId="264" priority="262" operator="beginsWith" text="Global Exam">
      <formula>LEFT(BR174,LEN("Global Exam"))="Global Exam"</formula>
    </cfRule>
    <cfRule type="beginsWith" dxfId="263" priority="265" operator="beginsWith" text="TOMIC">
      <formula>LEFT(BR174,LEN("TOMIC"))="TOMIC"</formula>
    </cfRule>
  </conditionalFormatting>
  <conditionalFormatting sqref="BP189">
    <cfRule type="beginsWith" dxfId="262" priority="247" operator="beginsWith" text="Lancement Projet fil rouge">
      <formula>LEFT(BP189,LEN("Lancement Projet fil rouge"))="Lancement Projet fil rouge"</formula>
    </cfRule>
    <cfRule type="beginsWith" dxfId="261" priority="248" operator="beginsWith" text="Vacances">
      <formula>LEFT(BP189,LEN("Vacances"))="Vacances"</formula>
    </cfRule>
    <cfRule type="beginsWith" dxfId="260" priority="249" operator="beginsWith" text="Séminaire d'intégration">
      <formula>LEFT(BP189,LEN("Séminaire d'intégration"))="Séminaire d'intégration"</formula>
    </cfRule>
    <cfRule type="beginsWith" dxfId="259" priority="250" operator="beginsWith" text="Accueil">
      <formula>LEFT(BP189,LEN("Accueil"))="Accueil"</formula>
    </cfRule>
    <cfRule type="beginsWith" dxfId="258" priority="251" operator="beginsWith" text="TOPHYC">
      <formula>LEFT(BP189,LEN("TOPHYC"))="TOPHYC"</formula>
    </cfRule>
    <cfRule type="beginsWith" dxfId="257" priority="252" operator="beginsWith" text="Global Exam">
      <formula>LEFT(BP189,LEN("Global Exam"))="Global Exam"</formula>
    </cfRule>
    <cfRule type="beginsWith" dxfId="256" priority="253" operator="beginsWith" text="Stage">
      <formula>LEFT(BP189,LEN("Stage"))="Stage"</formula>
    </cfRule>
    <cfRule type="beginsWith" dxfId="255" priority="254" operator="beginsWith" text="Entreprise">
      <formula>LEFT(BP189,LEN("Entreprise"))="Entreprise"</formula>
    </cfRule>
    <cfRule type="beginsWith" dxfId="254" priority="255" operator="beginsWith" text="TOMIC">
      <formula>LEFT(BP189,LEN("TOMIC"))="TOMIC"</formula>
    </cfRule>
    <cfRule type="beginsWith" dxfId="253" priority="256" operator="beginsWith" text="Voltaire">
      <formula>LEFT(BP189,LEN("Voltaire"))="Voltaire"</formula>
    </cfRule>
  </conditionalFormatting>
  <conditionalFormatting sqref="BR204">
    <cfRule type="beginsWith" dxfId="252" priority="237" operator="beginsWith" text="Lancement Projet fil rouge">
      <formula>LEFT(BR204,LEN("Lancement Projet fil rouge"))="Lancement Projet fil rouge"</formula>
    </cfRule>
    <cfRule type="beginsWith" dxfId="251" priority="238" operator="beginsWith" text="Vacances">
      <formula>LEFT(BR204,LEN("Vacances"))="Vacances"</formula>
    </cfRule>
    <cfRule type="beginsWith" dxfId="250" priority="239" operator="beginsWith" text="Séminaire d'intégration">
      <formula>LEFT(BR204,LEN("Séminaire d'intégration"))="Séminaire d'intégration"</formula>
    </cfRule>
    <cfRule type="beginsWith" dxfId="249" priority="240" operator="beginsWith" text="Accueil">
      <formula>LEFT(BR204,LEN("Accueil"))="Accueil"</formula>
    </cfRule>
    <cfRule type="beginsWith" dxfId="248" priority="241" operator="beginsWith" text="TOPHYC">
      <formula>LEFT(BR204,LEN("TOPHYC"))="TOPHYC"</formula>
    </cfRule>
    <cfRule type="beginsWith" dxfId="247" priority="242" operator="beginsWith" text="Global Exam">
      <formula>LEFT(BR204,LEN("Global Exam"))="Global Exam"</formula>
    </cfRule>
    <cfRule type="beginsWith" dxfId="246" priority="243" operator="beginsWith" text="Stage">
      <formula>LEFT(BR204,LEN("Stage"))="Stage"</formula>
    </cfRule>
    <cfRule type="beginsWith" dxfId="245" priority="244" operator="beginsWith" text="Entreprise">
      <formula>LEFT(BR204,LEN("Entreprise"))="Entreprise"</formula>
    </cfRule>
    <cfRule type="beginsWith" dxfId="244" priority="245" operator="beginsWith" text="TOMIC">
      <formula>LEFT(BR204,LEN("TOMIC"))="TOMIC"</formula>
    </cfRule>
    <cfRule type="beginsWith" dxfId="243" priority="246" operator="beginsWith" text="Voltaire">
      <formula>LEFT(BR204,LEN("Voltaire"))="Voltaire"</formula>
    </cfRule>
  </conditionalFormatting>
  <conditionalFormatting sqref="BP208">
    <cfRule type="beginsWith" dxfId="242" priority="227" operator="beginsWith" text="Lancement Projet fil rouge">
      <formula>LEFT(BP208,LEN("Lancement Projet fil rouge"))="Lancement Projet fil rouge"</formula>
    </cfRule>
  </conditionalFormatting>
  <conditionalFormatting sqref="BP208">
    <cfRule type="beginsWith" dxfId="241" priority="228" operator="beginsWith" text="Vacances">
      <formula>LEFT(BP208,LEN("Vacances"))="Vacances"</formula>
    </cfRule>
  </conditionalFormatting>
  <conditionalFormatting sqref="BP208">
    <cfRule type="beginsWith" dxfId="240" priority="229" operator="beginsWith" text="Séminaire d'intégration">
      <formula>LEFT(BP208,LEN("Séminaire d'intégration"))="Séminaire d'intégration"</formula>
    </cfRule>
  </conditionalFormatting>
  <conditionalFormatting sqref="BP208">
    <cfRule type="beginsWith" dxfId="239" priority="230" operator="beginsWith" text="Accueil">
      <formula>LEFT(BP208,LEN("Accueil"))="Accueil"</formula>
    </cfRule>
  </conditionalFormatting>
  <conditionalFormatting sqref="BP208">
    <cfRule type="beginsWith" dxfId="238" priority="233" operator="beginsWith" text="Stage">
      <formula>LEFT(BP208,LEN("Stage"))="Stage"</formula>
    </cfRule>
    <cfRule type="beginsWith" dxfId="237" priority="234" operator="beginsWith" text="Entreprise">
      <formula>LEFT(BP208,LEN("Entreprise"))="Entreprise"</formula>
    </cfRule>
    <cfRule type="beginsWith" dxfId="236" priority="236" operator="beginsWith" text="Voltaire">
      <formula>LEFT(BP208,LEN("Voltaire"))="Voltaire"</formula>
    </cfRule>
  </conditionalFormatting>
  <conditionalFormatting sqref="BP208">
    <cfRule type="beginsWith" dxfId="235" priority="231" operator="beginsWith" text="TOPHYC">
      <formula>LEFT(BP208,LEN("TOPHYC"))="TOPHYC"</formula>
    </cfRule>
    <cfRule type="beginsWith" dxfId="234" priority="232" operator="beginsWith" text="Global Exam">
      <formula>LEFT(BP208,LEN("Global Exam"))="Global Exam"</formula>
    </cfRule>
    <cfRule type="beginsWith" dxfId="233" priority="235" operator="beginsWith" text="TOMIC">
      <formula>LEFT(BP208,LEN("TOMIC"))="TOMIC"</formula>
    </cfRule>
  </conditionalFormatting>
  <conditionalFormatting sqref="BR205">
    <cfRule type="beginsWith" dxfId="232" priority="217" operator="beginsWith" text="Lancement Projet fil rouge">
      <formula>LEFT(BR205,LEN("Lancement Projet fil rouge"))="Lancement Projet fil rouge"</formula>
    </cfRule>
    <cfRule type="beginsWith" dxfId="231" priority="218" operator="beginsWith" text="Vacances">
      <formula>LEFT(BR205,LEN("Vacances"))="Vacances"</formula>
    </cfRule>
    <cfRule type="beginsWith" dxfId="230" priority="219" operator="beginsWith" text="Séminaire d'intégration">
      <formula>LEFT(BR205,LEN("Séminaire d'intégration"))="Séminaire d'intégration"</formula>
    </cfRule>
    <cfRule type="beginsWith" dxfId="229" priority="220" operator="beginsWith" text="Accueil">
      <formula>LEFT(BR205,LEN("Accueil"))="Accueil"</formula>
    </cfRule>
    <cfRule type="beginsWith" dxfId="228" priority="221" operator="beginsWith" text="TOPHYC">
      <formula>LEFT(BR205,LEN("TOPHYC"))="TOPHYC"</formula>
    </cfRule>
    <cfRule type="beginsWith" dxfId="227" priority="222" operator="beginsWith" text="Global Exam">
      <formula>LEFT(BR205,LEN("Global Exam"))="Global Exam"</formula>
    </cfRule>
    <cfRule type="beginsWith" dxfId="226" priority="223" operator="beginsWith" text="Stage">
      <formula>LEFT(BR205,LEN("Stage"))="Stage"</formula>
    </cfRule>
    <cfRule type="beginsWith" dxfId="225" priority="224" operator="beginsWith" text="Entreprise">
      <formula>LEFT(BR205,LEN("Entreprise"))="Entreprise"</formula>
    </cfRule>
    <cfRule type="beginsWith" dxfId="224" priority="225" operator="beginsWith" text="TOMIC">
      <formula>LEFT(BR205,LEN("TOMIC"))="TOMIC"</formula>
    </cfRule>
    <cfRule type="beginsWith" dxfId="223" priority="226" operator="beginsWith" text="Voltaire">
      <formula>LEFT(BR205,LEN("Voltaire"))="Voltaire"</formula>
    </cfRule>
  </conditionalFormatting>
  <conditionalFormatting sqref="BP209">
    <cfRule type="beginsWith" dxfId="222" priority="207" operator="beginsWith" text="Lancement Projet fil rouge">
      <formula>LEFT(BP209,LEN("Lancement Projet fil rouge"))="Lancement Projet fil rouge"</formula>
    </cfRule>
  </conditionalFormatting>
  <conditionalFormatting sqref="BP209">
    <cfRule type="beginsWith" dxfId="221" priority="208" operator="beginsWith" text="Vacances">
      <formula>LEFT(BP209,LEN("Vacances"))="Vacances"</formula>
    </cfRule>
  </conditionalFormatting>
  <conditionalFormatting sqref="BP209">
    <cfRule type="beginsWith" dxfId="220" priority="209" operator="beginsWith" text="Séminaire d'intégration">
      <formula>LEFT(BP209,LEN("Séminaire d'intégration"))="Séminaire d'intégration"</formula>
    </cfRule>
  </conditionalFormatting>
  <conditionalFormatting sqref="BP209">
    <cfRule type="beginsWith" dxfId="219" priority="210" operator="beginsWith" text="Accueil">
      <formula>LEFT(BP209,LEN("Accueil"))="Accueil"</formula>
    </cfRule>
  </conditionalFormatting>
  <conditionalFormatting sqref="BP209">
    <cfRule type="beginsWith" dxfId="218" priority="213" operator="beginsWith" text="Stage">
      <formula>LEFT(BP209,LEN("Stage"))="Stage"</formula>
    </cfRule>
    <cfRule type="beginsWith" dxfId="217" priority="214" operator="beginsWith" text="Entreprise">
      <formula>LEFT(BP209,LEN("Entreprise"))="Entreprise"</formula>
    </cfRule>
    <cfRule type="beginsWith" dxfId="216" priority="216" operator="beginsWith" text="Voltaire">
      <formula>LEFT(BP209,LEN("Voltaire"))="Voltaire"</formula>
    </cfRule>
  </conditionalFormatting>
  <conditionalFormatting sqref="BP209">
    <cfRule type="beginsWith" dxfId="215" priority="211" operator="beginsWith" text="TOPHYC">
      <formula>LEFT(BP209,LEN("TOPHYC"))="TOPHYC"</formula>
    </cfRule>
    <cfRule type="beginsWith" dxfId="214" priority="212" operator="beginsWith" text="Global Exam">
      <formula>LEFT(BP209,LEN("Global Exam"))="Global Exam"</formula>
    </cfRule>
    <cfRule type="beginsWith" dxfId="213" priority="215" operator="beginsWith" text="TOMIC">
      <formula>LEFT(BP209,LEN("TOMIC"))="TOMIC"</formula>
    </cfRule>
  </conditionalFormatting>
  <conditionalFormatting sqref="BQ221">
    <cfRule type="beginsWith" dxfId="212" priority="200" operator="beginsWith" text="Lancement Projet fil rouge">
      <formula>LEFT(BQ221,LEN("Lancement Projet fil rouge"))="Lancement Projet fil rouge"</formula>
    </cfRule>
    <cfRule type="beginsWith" dxfId="211" priority="201" operator="beginsWith" text="Vacances">
      <formula>LEFT(BQ221,LEN("Vacances"))="Vacances"</formula>
    </cfRule>
    <cfRule type="beginsWith" dxfId="210" priority="202" operator="beginsWith" text="Séminaire d'intégration">
      <formula>LEFT(BQ221,LEN("Séminaire d'intégration"))="Séminaire d'intégration"</formula>
    </cfRule>
    <cfRule type="beginsWith" dxfId="209" priority="203" operator="beginsWith" text="Accueil">
      <formula>LEFT(BQ221,LEN("Accueil"))="Accueil"</formula>
    </cfRule>
    <cfRule type="beginsWith" dxfId="208" priority="204" operator="beginsWith" text="Stage">
      <formula>LEFT(BQ221,LEN("Stage"))="Stage"</formula>
    </cfRule>
    <cfRule type="beginsWith" dxfId="207" priority="205" operator="beginsWith" text="Entreprise">
      <formula>LEFT(BQ221,LEN("Entreprise"))="Entreprise"</formula>
    </cfRule>
    <cfRule type="beginsWith" dxfId="206" priority="206" operator="beginsWith" text="Voltaire">
      <formula>LEFT(BQ221,LEN("Voltaire"))="Voltaire"</formula>
    </cfRule>
  </conditionalFormatting>
  <conditionalFormatting sqref="BP221:BP223 BP225 BP241:BP260">
    <cfRule type="beginsWith" dxfId="198" priority="190" operator="beginsWith" text="Lancement Projet fil rouge">
      <formula>LEFT(BP221,LEN("Lancement Projet fil rouge"))="Lancement Projet fil rouge"</formula>
    </cfRule>
  </conditionalFormatting>
  <conditionalFormatting sqref="BP221:BP223 BP225 BP241:BP260">
    <cfRule type="beginsWith" dxfId="197" priority="191" operator="beginsWith" text="Vacances">
      <formula>LEFT(BP221,LEN("Vacances"))="Vacances"</formula>
    </cfRule>
  </conditionalFormatting>
  <conditionalFormatting sqref="BP221:BP223 BP225 BP241:BP260">
    <cfRule type="beginsWith" dxfId="196" priority="192" operator="beginsWith" text="Séminaire d'intégration">
      <formula>LEFT(BP221,LEN("Séminaire d'intégration"))="Séminaire d'intégration"</formula>
    </cfRule>
  </conditionalFormatting>
  <conditionalFormatting sqref="BP221:BP223 BP225 BP241:BP260">
    <cfRule type="beginsWith" dxfId="195" priority="193" operator="beginsWith" text="Accueil">
      <formula>LEFT(BP221,LEN("Accueil"))="Accueil"</formula>
    </cfRule>
  </conditionalFormatting>
  <conditionalFormatting sqref="BP221:BP223 BP225 BP241:BP260">
    <cfRule type="beginsWith" dxfId="194" priority="196" operator="beginsWith" text="Stage">
      <formula>LEFT(BP221,LEN("Stage"))="Stage"</formula>
    </cfRule>
    <cfRule type="beginsWith" dxfId="193" priority="197" operator="beginsWith" text="Entreprise">
      <formula>LEFT(BP221,LEN("Entreprise"))="Entreprise"</formula>
    </cfRule>
    <cfRule type="beginsWith" dxfId="192" priority="199" operator="beginsWith" text="Voltaire">
      <formula>LEFT(BP221,LEN("Voltaire"))="Voltaire"</formula>
    </cfRule>
  </conditionalFormatting>
  <conditionalFormatting sqref="BP221:BP223 BP225 BP241:BP260">
    <cfRule type="beginsWith" dxfId="191" priority="194" operator="beginsWith" text="TOPHYC">
      <formula>LEFT(BP221,LEN("TOPHYC"))="TOPHYC"</formula>
    </cfRule>
    <cfRule type="beginsWith" dxfId="190" priority="195" operator="beginsWith" text="Global Exam">
      <formula>LEFT(BP221,LEN("Global Exam"))="Global Exam"</formula>
    </cfRule>
    <cfRule type="beginsWith" dxfId="189" priority="198" operator="beginsWith" text="TOMIC">
      <formula>LEFT(BP221,LEN("TOMIC"))="TOMIC"</formula>
    </cfRule>
  </conditionalFormatting>
  <conditionalFormatting sqref="BP226:BP227 BP229:BP230">
    <cfRule type="beginsWith" dxfId="188" priority="180" operator="beginsWith" text="Lancement Projet fil rouge">
      <formula>LEFT(BP226,LEN("Lancement Projet fil rouge"))="Lancement Projet fil rouge"</formula>
    </cfRule>
    <cfRule type="beginsWith" dxfId="187" priority="181" operator="beginsWith" text="Vacances">
      <formula>LEFT(BP226,LEN("Vacances"))="Vacances"</formula>
    </cfRule>
    <cfRule type="beginsWith" dxfId="186" priority="182" operator="beginsWith" text="Séminaire d'intégration">
      <formula>LEFT(BP226,LEN("Séminaire d'intégration"))="Séminaire d'intégration"</formula>
    </cfRule>
    <cfRule type="beginsWith" dxfId="185" priority="183" operator="beginsWith" text="Accueil">
      <formula>LEFT(BP226,LEN("Accueil"))="Accueil"</formula>
    </cfRule>
    <cfRule type="beginsWith" dxfId="184" priority="186" operator="beginsWith" text="Stage">
      <formula>LEFT(BP226,LEN("Stage"))="Stage"</formula>
    </cfRule>
    <cfRule type="beginsWith" dxfId="183" priority="187" operator="beginsWith" text="Entreprise">
      <formula>LEFT(BP226,LEN("Entreprise"))="Entreprise"</formula>
    </cfRule>
    <cfRule type="beginsWith" dxfId="182" priority="189" operator="beginsWith" text="Voltaire">
      <formula>LEFT(BP226,LEN("Voltaire"))="Voltaire"</formula>
    </cfRule>
  </conditionalFormatting>
  <conditionalFormatting sqref="BP224">
    <cfRule type="beginsWith" dxfId="181" priority="170" operator="beginsWith" text="Lancement Projet fil rouge">
      <formula>LEFT(BP224,LEN("Lancement Projet fil rouge"))="Lancement Projet fil rouge"</formula>
    </cfRule>
    <cfRule type="beginsWith" dxfId="180" priority="171" operator="beginsWith" text="Vacances">
      <formula>LEFT(BP224,LEN("Vacances"))="Vacances"</formula>
    </cfRule>
    <cfRule type="beginsWith" dxfId="179" priority="172" operator="beginsWith" text="Séminaire d'intégration">
      <formula>LEFT(BP224,LEN("Séminaire d'intégration"))="Séminaire d'intégration"</formula>
    </cfRule>
    <cfRule type="beginsWith" dxfId="178" priority="173" operator="beginsWith" text="Accueil">
      <formula>LEFT(BP224,LEN("Accueil"))="Accueil"</formula>
    </cfRule>
    <cfRule type="beginsWith" dxfId="177" priority="174" operator="beginsWith" text="TOPHYC">
      <formula>LEFT(BP224,LEN("TOPHYC"))="TOPHYC"</formula>
    </cfRule>
    <cfRule type="beginsWith" dxfId="176" priority="175" operator="beginsWith" text="Global Exam">
      <formula>LEFT(BP224,LEN("Global Exam"))="Global Exam"</formula>
    </cfRule>
    <cfRule type="beginsWith" dxfId="175" priority="176" operator="beginsWith" text="Stage">
      <formula>LEFT(BP224,LEN("Stage"))="Stage"</formula>
    </cfRule>
    <cfRule type="beginsWith" dxfId="174" priority="177" operator="beginsWith" text="Entreprise">
      <formula>LEFT(BP224,LEN("Entreprise"))="Entreprise"</formula>
    </cfRule>
    <cfRule type="beginsWith" dxfId="173" priority="178" operator="beginsWith" text="TOMIC">
      <formula>LEFT(BP224,LEN("TOMIC"))="TOMIC"</formula>
    </cfRule>
    <cfRule type="beginsWith" dxfId="172" priority="179" operator="beginsWith" text="Voltaire">
      <formula>LEFT(BP224,LEN("Voltaire"))="Voltaire"</formula>
    </cfRule>
  </conditionalFormatting>
  <conditionalFormatting sqref="BP228">
    <cfRule type="beginsWith" dxfId="171" priority="160" operator="beginsWith" text="Lancement Projet fil rouge">
      <formula>LEFT(BP228,LEN("Lancement Projet fil rouge"))="Lancement Projet fil rouge"</formula>
    </cfRule>
    <cfRule type="beginsWith" dxfId="170" priority="161" operator="beginsWith" text="Vacances">
      <formula>LEFT(BP228,LEN("Vacances"))="Vacances"</formula>
    </cfRule>
    <cfRule type="beginsWith" dxfId="169" priority="162" operator="beginsWith" text="Séminaire d'intégration">
      <formula>LEFT(BP228,LEN("Séminaire d'intégration"))="Séminaire d'intégration"</formula>
    </cfRule>
    <cfRule type="beginsWith" dxfId="168" priority="163" operator="beginsWith" text="Accueil">
      <formula>LEFT(BP228,LEN("Accueil"))="Accueil"</formula>
    </cfRule>
    <cfRule type="beginsWith" dxfId="167" priority="164" operator="beginsWith" text="TOPHYC">
      <formula>LEFT(BP228,LEN("TOPHYC"))="TOPHYC"</formula>
    </cfRule>
    <cfRule type="beginsWith" dxfId="166" priority="165" operator="beginsWith" text="Global Exam">
      <formula>LEFT(BP228,LEN("Global Exam"))="Global Exam"</formula>
    </cfRule>
    <cfRule type="beginsWith" dxfId="165" priority="166" operator="beginsWith" text="Stage">
      <formula>LEFT(BP228,LEN("Stage"))="Stage"</formula>
    </cfRule>
    <cfRule type="beginsWith" dxfId="164" priority="167" operator="beginsWith" text="Entreprise">
      <formula>LEFT(BP228,LEN("Entreprise"))="Entreprise"</formula>
    </cfRule>
    <cfRule type="beginsWith" dxfId="163" priority="168" operator="beginsWith" text="TOMIC">
      <formula>LEFT(BP228,LEN("TOMIC"))="TOMIC"</formula>
    </cfRule>
    <cfRule type="beginsWith" dxfId="162" priority="169" operator="beginsWith" text="Voltaire">
      <formula>LEFT(BP228,LEN("Voltaire"))="Voltaire"</formula>
    </cfRule>
  </conditionalFormatting>
  <conditionalFormatting sqref="BP226:BP227 BP229:BP230">
    <cfRule type="beginsWith" dxfId="161" priority="184" operator="beginsWith" text="TOPHYC">
      <formula>LEFT(BP226,LEN("TOPHYC"))="TOPHYC"</formula>
    </cfRule>
    <cfRule type="beginsWith" dxfId="160" priority="185" operator="beginsWith" text="Global Exam">
      <formula>LEFT(BP226,LEN("Global Exam"))="Global Exam"</formula>
    </cfRule>
    <cfRule type="beginsWith" dxfId="159" priority="188" operator="beginsWith" text="TOMIC">
      <formula>LEFT(BP226,LEN("TOMIC"))="TOMIC"</formula>
    </cfRule>
  </conditionalFormatting>
  <conditionalFormatting sqref="BP239:BP240">
    <cfRule type="beginsWith" dxfId="158" priority="153" operator="beginsWith" text="Lancement Projet fil rouge">
      <formula>LEFT(BP239,LEN("Lancement Projet fil rouge"))="Lancement Projet fil rouge"</formula>
    </cfRule>
  </conditionalFormatting>
  <conditionalFormatting sqref="BP239:BP240">
    <cfRule type="beginsWith" dxfId="157" priority="154" operator="beginsWith" text="Vacances">
      <formula>LEFT(BP239,LEN("Vacances"))="Vacances"</formula>
    </cfRule>
  </conditionalFormatting>
  <conditionalFormatting sqref="BP239:BP240">
    <cfRule type="beginsWith" dxfId="156" priority="155" operator="beginsWith" text="Séminaire d'intégration">
      <formula>LEFT(BP239,LEN("Séminaire d'intégration"))="Séminaire d'intégration"</formula>
    </cfRule>
  </conditionalFormatting>
  <conditionalFormatting sqref="BP239:BP240">
    <cfRule type="beginsWith" dxfId="155" priority="156" operator="beginsWith" text="Accueil">
      <formula>LEFT(BP239,LEN("Accueil"))="Accueil"</formula>
    </cfRule>
  </conditionalFormatting>
  <conditionalFormatting sqref="BP239:BP240">
    <cfRule type="beginsWith" dxfId="154" priority="157" operator="beginsWith" text="Stage">
      <formula>LEFT(BP239,LEN("Stage"))="Stage"</formula>
    </cfRule>
    <cfRule type="beginsWith" dxfId="153" priority="158" operator="beginsWith" text="Entreprise">
      <formula>LEFT(BP239,LEN("Entreprise"))="Entreprise"</formula>
    </cfRule>
    <cfRule type="beginsWith" dxfId="152" priority="159" operator="beginsWith" text="Voltaire">
      <formula>LEFT(BP239,LEN("Voltaire"))="Voltaire"</formula>
    </cfRule>
  </conditionalFormatting>
  <conditionalFormatting sqref="BP236">
    <cfRule type="beginsWith" dxfId="151" priority="143" operator="beginsWith" text="Lancement Projet fil rouge">
      <formula>LEFT(BP236,LEN("Lancement Projet fil rouge"))="Lancement Projet fil rouge"</formula>
    </cfRule>
  </conditionalFormatting>
  <conditionalFormatting sqref="BP236">
    <cfRule type="beginsWith" dxfId="150" priority="144" operator="beginsWith" text="Vacances">
      <formula>LEFT(BP236,LEN("Vacances"))="Vacances"</formula>
    </cfRule>
  </conditionalFormatting>
  <conditionalFormatting sqref="BP236">
    <cfRule type="beginsWith" dxfId="149" priority="145" operator="beginsWith" text="Séminaire d'intégration">
      <formula>LEFT(BP236,LEN("Séminaire d'intégration"))="Séminaire d'intégration"</formula>
    </cfRule>
  </conditionalFormatting>
  <conditionalFormatting sqref="BP236">
    <cfRule type="beginsWith" dxfId="148" priority="146" operator="beginsWith" text="Accueil">
      <formula>LEFT(BP236,LEN("Accueil"))="Accueil"</formula>
    </cfRule>
  </conditionalFormatting>
  <conditionalFormatting sqref="BP236">
    <cfRule type="beginsWith" dxfId="147" priority="149" operator="beginsWith" text="Stage">
      <formula>LEFT(BP236,LEN("Stage"))="Stage"</formula>
    </cfRule>
    <cfRule type="beginsWith" dxfId="146" priority="150" operator="beginsWith" text="Entreprise">
      <formula>LEFT(BP236,LEN("Entreprise"))="Entreprise"</formula>
    </cfRule>
    <cfRule type="beginsWith" dxfId="145" priority="152" operator="beginsWith" text="Voltaire">
      <formula>LEFT(BP236,LEN("Voltaire"))="Voltaire"</formula>
    </cfRule>
  </conditionalFormatting>
  <conditionalFormatting sqref="BP236">
    <cfRule type="beginsWith" dxfId="144" priority="147" operator="beginsWith" text="TOPHYC">
      <formula>LEFT(BP236,LEN("TOPHYC"))="TOPHYC"</formula>
    </cfRule>
    <cfRule type="beginsWith" dxfId="143" priority="148" operator="beginsWith" text="Global Exam">
      <formula>LEFT(BP236,LEN("Global Exam"))="Global Exam"</formula>
    </cfRule>
    <cfRule type="beginsWith" dxfId="142" priority="151" operator="beginsWith" text="TOMIC">
      <formula>LEFT(BP236,LEN("TOMIC"))="TOMIC"</formula>
    </cfRule>
  </conditionalFormatting>
  <conditionalFormatting sqref="BP231:BP235">
    <cfRule type="beginsWith" dxfId="141" priority="136" operator="beginsWith" text="Lancement Projet fil rouge">
      <formula>LEFT(BP231,LEN("Lancement Projet fil rouge"))="Lancement Projet fil rouge"</formula>
    </cfRule>
  </conditionalFormatting>
  <conditionalFormatting sqref="BP231:BP235">
    <cfRule type="beginsWith" dxfId="140" priority="137" operator="beginsWith" text="Vacances">
      <formula>LEFT(BP231,LEN("Vacances"))="Vacances"</formula>
    </cfRule>
  </conditionalFormatting>
  <conditionalFormatting sqref="BP231:BP235">
    <cfRule type="beginsWith" dxfId="139" priority="138" operator="beginsWith" text="Séminaire d'intégration">
      <formula>LEFT(BP231,LEN("Séminaire d'intégration"))="Séminaire d'intégration"</formula>
    </cfRule>
  </conditionalFormatting>
  <conditionalFormatting sqref="BP231:BP235">
    <cfRule type="beginsWith" dxfId="138" priority="139" operator="beginsWith" text="Accueil">
      <formula>LEFT(BP231,LEN("Accueil"))="Accueil"</formula>
    </cfRule>
  </conditionalFormatting>
  <conditionalFormatting sqref="BP231:BP235">
    <cfRule type="beginsWith" dxfId="137" priority="140" operator="beginsWith" text="Stage">
      <formula>LEFT(BP231,LEN("Stage"))="Stage"</formula>
    </cfRule>
    <cfRule type="beginsWith" dxfId="136" priority="141" operator="beginsWith" text="Entreprise">
      <formula>LEFT(BP231,LEN("Entreprise"))="Entreprise"</formula>
    </cfRule>
    <cfRule type="beginsWith" dxfId="135" priority="142" operator="beginsWith" text="Voltaire">
      <formula>LEFT(BP231,LEN("Voltaire"))="Voltaire"</formula>
    </cfRule>
  </conditionalFormatting>
  <conditionalFormatting sqref="BQ181">
    <cfRule type="beginsWith" dxfId="118" priority="113" operator="beginsWith" text="Lancement Projet fil rouge">
      <formula>LEFT(BQ181,LEN("Lancement Projet fil rouge"))="Lancement Projet fil rouge"</formula>
    </cfRule>
    <cfRule type="beginsWith" dxfId="117" priority="114" operator="beginsWith" text="Vacances">
      <formula>LEFT(BQ181,LEN("Vacances"))="Vacances"</formula>
    </cfRule>
    <cfRule type="beginsWith" dxfId="116" priority="115" operator="beginsWith" text="Séminaire d'intégration">
      <formula>LEFT(BQ181,LEN("Séminaire d'intégration"))="Séminaire d'intégration"</formula>
    </cfRule>
    <cfRule type="beginsWith" dxfId="115" priority="116" operator="beginsWith" text="Accueil">
      <formula>LEFT(BQ181,LEN("Accueil"))="Accueil"</formula>
    </cfRule>
    <cfRule type="beginsWith" dxfId="114" priority="117" operator="beginsWith" text="Stage">
      <formula>LEFT(BQ181,LEN("Stage"))="Stage"</formula>
    </cfRule>
    <cfRule type="beginsWith" dxfId="113" priority="118" operator="beginsWith" text="Entreprise">
      <formula>LEFT(BQ181,LEN("Entreprise"))="Entreprise"</formula>
    </cfRule>
    <cfRule type="beginsWith" dxfId="112" priority="119" operator="beginsWith" text="Voltaire">
      <formula>LEFT(BQ181,LEN("Voltaire"))="Voltaire"</formula>
    </cfRule>
  </conditionalFormatting>
  <conditionalFormatting sqref="BP181:BP185">
    <cfRule type="beginsWith" dxfId="111" priority="103" operator="beginsWith" text="Lancement Projet fil rouge">
      <formula>LEFT(BP181,LEN("Lancement Projet fil rouge"))="Lancement Projet fil rouge"</formula>
    </cfRule>
    <cfRule type="beginsWith" dxfId="110" priority="104" operator="beginsWith" text="Vacances">
      <formula>LEFT(BP181,LEN("Vacances"))="Vacances"</formula>
    </cfRule>
    <cfRule type="beginsWith" dxfId="109" priority="105" operator="beginsWith" text="Séminaire d'intégration">
      <formula>LEFT(BP181,LEN("Séminaire d'intégration"))="Séminaire d'intégration"</formula>
    </cfRule>
    <cfRule type="beginsWith" dxfId="108" priority="106" operator="beginsWith" text="Accueil">
      <formula>LEFT(BP181,LEN("Accueil"))="Accueil"</formula>
    </cfRule>
    <cfRule type="beginsWith" dxfId="107" priority="109" operator="beginsWith" text="Stage">
      <formula>LEFT(BP181,LEN("Stage"))="Stage"</formula>
    </cfRule>
    <cfRule type="beginsWith" dxfId="106" priority="110" operator="beginsWith" text="Entreprise">
      <formula>LEFT(BP181,LEN("Entreprise"))="Entreprise"</formula>
    </cfRule>
    <cfRule type="beginsWith" dxfId="105" priority="112" operator="beginsWith" text="Voltaire">
      <formula>LEFT(BP181,LEN("Voltaire"))="Voltaire"</formula>
    </cfRule>
  </conditionalFormatting>
  <conditionalFormatting sqref="BP181:BP185">
    <cfRule type="beginsWith" dxfId="104" priority="107" operator="beginsWith" text="TOPHYC">
      <formula>LEFT(BP181,LEN("TOPHYC"))="TOPHYC"</formula>
    </cfRule>
    <cfRule type="beginsWith" dxfId="103" priority="108" operator="beginsWith" text="Global Exam">
      <formula>LEFT(BP181,LEN("Global Exam"))="Global Exam"</formula>
    </cfRule>
    <cfRule type="beginsWith" dxfId="102" priority="111" operator="beginsWith" text="TOMIC">
      <formula>LEFT(BP181,LEN("TOMIC"))="TOMIC"</formula>
    </cfRule>
  </conditionalFormatting>
  <conditionalFormatting sqref="BN161">
    <cfRule type="beginsWith" dxfId="53" priority="39" operator="beginsWith" text="Projet professionnel : Séminaire PFI">
      <formula>LEFT(BN161,LEN("Projet professionnel : Séminaire PFI"))="Projet professionnel : Séminaire PFI"</formula>
    </cfRule>
    <cfRule type="beginsWith" dxfId="52" priority="40" operator="beginsWith" text="Lancement Projet fil rouge">
      <formula>LEFT(BN161,LEN("Lancement Projet fil rouge"))="Lancement Projet fil rouge"</formula>
    </cfRule>
    <cfRule type="beginsWith" dxfId="51" priority="41" operator="beginsWith" text="Vacances">
      <formula>LEFT(BN161,LEN("Vacances"))="Vacances"</formula>
    </cfRule>
    <cfRule type="beginsWith" dxfId="50" priority="42" operator="beginsWith" text="Séminaire d'intégration">
      <formula>LEFT(BN161,LEN("Séminaire d'intégration"))="Séminaire d'intégration"</formula>
    </cfRule>
    <cfRule type="beginsWith" dxfId="49" priority="43" operator="beginsWith" text="Accueil">
      <formula>LEFT(BN161,LEN("Accueil"))="Accueil"</formula>
    </cfRule>
    <cfRule type="beginsWith" dxfId="48" priority="44" operator="beginsWith" text="Stage">
      <formula>LEFT(BN161,LEN("Stage"))="Stage"</formula>
    </cfRule>
    <cfRule type="beginsWith" dxfId="47" priority="45" operator="beginsWith" text="Entreprise">
      <formula>LEFT(BN161,LEN("Entreprise"))="Entreprise"</formula>
    </cfRule>
    <cfRule type="beginsWith" dxfId="46" priority="46" operator="beginsWith" text="Voltaire">
      <formula>LEFT(BN161,LEN("Voltaire"))="Voltaire"</formula>
    </cfRule>
    <cfRule type="beginsWith" dxfId="45" priority="47" operator="beginsWith" text="Projet professionnel : Séminaire PFI">
      <formula>LEFT(BN161,LEN("Projet professionnel : Séminaire PFI"))="Projet professionnel : Séminaire PFI"</formula>
    </cfRule>
    <cfRule type="beginsWith" dxfId="44" priority="48" operator="beginsWith" text="Lancement Projet fil rouge">
      <formula>LEFT(BN161,LEN("Lancement Projet fil rouge"))="Lancement Projet fil rouge"</formula>
    </cfRule>
    <cfRule type="beginsWith" dxfId="43" priority="49" operator="beginsWith" text="Vacances">
      <formula>LEFT(BN161,LEN("Vacances"))="Vacances"</formula>
    </cfRule>
    <cfRule type="beginsWith" dxfId="42" priority="50" operator="beginsWith" text="Séminaire d'intégration">
      <formula>LEFT(BN161,LEN("Séminaire d'intégration"))="Séminaire d'intégration"</formula>
    </cfRule>
    <cfRule type="beginsWith" dxfId="41" priority="51" operator="beginsWith" text="Accueil">
      <formula>LEFT(BN161,LEN("Accueil"))="Accueil"</formula>
    </cfRule>
    <cfRule type="beginsWith" dxfId="40" priority="52" operator="beginsWith" text="Stage">
      <formula>LEFT(BN161,LEN("Stage"))="Stage"</formula>
    </cfRule>
    <cfRule type="beginsWith" dxfId="39" priority="53" operator="beginsWith" text="Entreprise">
      <formula>LEFT(BN161,LEN("Entreprise"))="Entreprise"</formula>
    </cfRule>
    <cfRule type="beginsWith" dxfId="38" priority="54" operator="beginsWith" text="Voltaire">
      <formula>LEFT(BN161,LEN("Voltaire"))="Voltaire"</formula>
    </cfRule>
  </conditionalFormatting>
  <conditionalFormatting sqref="BN206">
    <cfRule type="beginsWith" dxfId="37" priority="31" operator="beginsWith" text="Projet professionnel : Séminaire PFI">
      <formula>LEFT(BN206,LEN("Projet professionnel : Séminaire PFI"))="Projet professionnel : Séminaire PFI"</formula>
    </cfRule>
    <cfRule type="beginsWith" dxfId="36" priority="32" operator="beginsWith" text="Lancement Projet fil rouge">
      <formula>LEFT(BN206,LEN("Lancement Projet fil rouge"))="Lancement Projet fil rouge"</formula>
    </cfRule>
    <cfRule type="beginsWith" dxfId="35" priority="33" operator="beginsWith" text="Vacances">
      <formula>LEFT(BN206,LEN("Vacances"))="Vacances"</formula>
    </cfRule>
    <cfRule type="beginsWith" dxfId="34" priority="34" operator="beginsWith" text="Séminaire d'intégration">
      <formula>LEFT(BN206,LEN("Séminaire d'intégration"))="Séminaire d'intégration"</formula>
    </cfRule>
    <cfRule type="beginsWith" dxfId="33" priority="35" operator="beginsWith" text="Accueil">
      <formula>LEFT(BN206,LEN("Accueil"))="Accueil"</formula>
    </cfRule>
    <cfRule type="beginsWith" dxfId="32" priority="36" operator="beginsWith" text="Stage">
      <formula>LEFT(BN206,LEN("Stage"))="Stage"</formula>
    </cfRule>
    <cfRule type="beginsWith" dxfId="31" priority="37" operator="beginsWith" text="Entreprise">
      <formula>LEFT(BN206,LEN("Entreprise"))="Entreprise"</formula>
    </cfRule>
    <cfRule type="beginsWith" dxfId="30" priority="38" operator="beginsWith" text="Voltaire">
      <formula>LEFT(BN206,LEN("Voltaire"))="Voltaire"</formula>
    </cfRule>
  </conditionalFormatting>
  <conditionalFormatting sqref="BN176">
    <cfRule type="beginsWith" dxfId="29" priority="23" operator="beginsWith" text="Projet professionnel : Séminaire PFI">
      <formula>LEFT(BN176,LEN("Projet professionnel : Séminaire PFI"))="Projet professionnel : Séminaire PFI"</formula>
    </cfRule>
    <cfRule type="beginsWith" dxfId="28" priority="24" operator="beginsWith" text="Lancement Projet fil rouge">
      <formula>LEFT(BN176,LEN("Lancement Projet fil rouge"))="Lancement Projet fil rouge"</formula>
    </cfRule>
    <cfRule type="beginsWith" dxfId="27" priority="25" operator="beginsWith" text="Vacances">
      <formula>LEFT(BN176,LEN("Vacances"))="Vacances"</formula>
    </cfRule>
    <cfRule type="beginsWith" dxfId="26" priority="26" operator="beginsWith" text="Séminaire d'intégration">
      <formula>LEFT(BN176,LEN("Séminaire d'intégration"))="Séminaire d'intégration"</formula>
    </cfRule>
    <cfRule type="beginsWith" dxfId="25" priority="27" operator="beginsWith" text="Accueil">
      <formula>LEFT(BN176,LEN("Accueil"))="Accueil"</formula>
    </cfRule>
    <cfRule type="beginsWith" dxfId="24" priority="28" operator="beginsWith" text="Stage">
      <formula>LEFT(BN176,LEN("Stage"))="Stage"</formula>
    </cfRule>
    <cfRule type="beginsWith" dxfId="23" priority="29" operator="beginsWith" text="Entreprise">
      <formula>LEFT(BN176,LEN("Entreprise"))="Entreprise"</formula>
    </cfRule>
    <cfRule type="beginsWith" dxfId="22" priority="30" operator="beginsWith" text="Voltaire">
      <formula>LEFT(BN176,LEN("Voltaire"))="Voltaire"</formula>
    </cfRule>
  </conditionalFormatting>
  <conditionalFormatting sqref="BN171">
    <cfRule type="beginsWith" dxfId="21" priority="15" operator="beginsWith" text="Projet professionnel : Séminaire PFI">
      <formula>LEFT(BN171,LEN("Projet professionnel : Séminaire PFI"))="Projet professionnel : Séminaire PFI"</formula>
    </cfRule>
    <cfRule type="beginsWith" dxfId="20" priority="16" operator="beginsWith" text="Lancement Projet fil rouge">
      <formula>LEFT(BN171,LEN("Lancement Projet fil rouge"))="Lancement Projet fil rouge"</formula>
    </cfRule>
    <cfRule type="beginsWith" dxfId="19" priority="17" operator="beginsWith" text="Vacances">
      <formula>LEFT(BN171,LEN("Vacances"))="Vacances"</formula>
    </cfRule>
    <cfRule type="beginsWith" dxfId="18" priority="18" operator="beginsWith" text="Séminaire d'intégration">
      <formula>LEFT(BN171,LEN("Séminaire d'intégration"))="Séminaire d'intégration"</formula>
    </cfRule>
    <cfRule type="beginsWith" dxfId="17" priority="19" operator="beginsWith" text="Accueil">
      <formula>LEFT(BN171,LEN("Accueil"))="Accueil"</formula>
    </cfRule>
    <cfRule type="beginsWith" dxfId="16" priority="20" operator="beginsWith" text="Stage">
      <formula>LEFT(BN171,LEN("Stage"))="Stage"</formula>
    </cfRule>
    <cfRule type="beginsWith" dxfId="15" priority="21" operator="beginsWith" text="Entreprise">
      <formula>LEFT(BN171,LEN("Entreprise"))="Entreprise"</formula>
    </cfRule>
    <cfRule type="beginsWith" dxfId="14" priority="22" operator="beginsWith" text="Voltaire">
      <formula>LEFT(BN171,LEN("Voltaire"))="Voltaire"</formula>
    </cfRule>
  </conditionalFormatting>
  <conditionalFormatting sqref="BO26">
    <cfRule type="beginsWith" dxfId="13" priority="8" operator="beginsWith" text="Lancement Projet fil rouge">
      <formula>LEFT(BO26,LEN("Lancement Projet fil rouge"))="Lancement Projet fil rouge"</formula>
    </cfRule>
    <cfRule type="beginsWith" dxfId="12" priority="9" operator="beginsWith" text="Vacances">
      <formula>LEFT(BO26,LEN("Vacances"))="Vacances"</formula>
    </cfRule>
    <cfRule type="beginsWith" dxfId="11" priority="10" operator="beginsWith" text="Séminaire d'intégration">
      <formula>LEFT(BO26,LEN("Séminaire d'intégration"))="Séminaire d'intégration"</formula>
    </cfRule>
    <cfRule type="beginsWith" dxfId="10" priority="11" operator="beginsWith" text="Accueil">
      <formula>LEFT(BO26,LEN("Accueil"))="Accueil"</formula>
    </cfRule>
    <cfRule type="beginsWith" dxfId="9" priority="12" operator="beginsWith" text="Stage">
      <formula>LEFT(BO26,LEN("Stage"))="Stage"</formula>
    </cfRule>
    <cfRule type="beginsWith" dxfId="8" priority="13" operator="beginsWith" text="Entreprise">
      <formula>LEFT(BO26,LEN("Entreprise"))="Entreprise"</formula>
    </cfRule>
    <cfRule type="beginsWith" dxfId="7" priority="14" operator="beginsWith" text="Voltaire">
      <formula>LEFT(BO26,LEN("Voltaire"))="Voltaire"</formula>
    </cfRule>
  </conditionalFormatting>
  <conditionalFormatting sqref="BQ26">
    <cfRule type="beginsWith" dxfId="6" priority="1" operator="beginsWith" text="Lancement Projet fil rouge">
      <formula>LEFT(BQ26,LEN("Lancement Projet fil rouge"))="Lancement Projet fil rouge"</formula>
    </cfRule>
    <cfRule type="beginsWith" dxfId="5" priority="2" operator="beginsWith" text="Vacances">
      <formula>LEFT(BQ26,LEN("Vacances"))="Vacances"</formula>
    </cfRule>
    <cfRule type="beginsWith" dxfId="4" priority="3" operator="beginsWith" text="Séminaire d'intégration">
      <formula>LEFT(BQ26,LEN("Séminaire d'intégration"))="Séminaire d'intégration"</formula>
    </cfRule>
    <cfRule type="beginsWith" dxfId="3" priority="4" operator="beginsWith" text="Accueil">
      <formula>LEFT(BQ26,LEN("Accueil"))="Accueil"</formula>
    </cfRule>
    <cfRule type="beginsWith" dxfId="2" priority="5" operator="beginsWith" text="Stage">
      <formula>LEFT(BQ26,LEN("Stage"))="Stage"</formula>
    </cfRule>
    <cfRule type="beginsWith" dxfId="1" priority="6" operator="beginsWith" text="Entreprise">
      <formula>LEFT(BQ26,LEN("Entreprise"))="Entreprise"</formula>
    </cfRule>
    <cfRule type="beginsWith" dxfId="0" priority="7" operator="beginsWith" text="Voltaire">
      <formula>LEFT(BQ26,LEN("Voltaire"))="Voltaire"</formula>
    </cfRule>
  </conditionalFormatting>
  <pageMargins left="0.70866141732283472" right="0.70866141732283472" top="0.74803149606299213" bottom="0.74803149606299213" header="0.31496062992125984" footer="0.31496062992125984"/>
  <pageSetup paperSize="9" fitToHeight="0" orientation="portrait" r:id="rId1"/>
  <headerFooter>
    <oddFooter>&amp;LCalendrier de la scolarité 2025-2026</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A5" sqref="A5"/>
    </sheetView>
  </sheetViews>
  <sheetFormatPr baseColWidth="10" defaultRowHeight="14.25" x14ac:dyDescent="0.2"/>
  <cols>
    <col min="1" max="1" width="30.125" customWidth="1"/>
    <col min="2" max="2" width="104" customWidth="1"/>
  </cols>
  <sheetData>
    <row r="1" spans="1:2" x14ac:dyDescent="0.2">
      <c r="A1" t="s">
        <v>389</v>
      </c>
      <c r="B1" t="s">
        <v>390</v>
      </c>
    </row>
    <row r="2" spans="1:2" x14ac:dyDescent="0.2">
      <c r="A2" t="s">
        <v>397</v>
      </c>
      <c r="B2" t="s">
        <v>408</v>
      </c>
    </row>
    <row r="3" spans="1:2" x14ac:dyDescent="0.2">
      <c r="A3" t="s">
        <v>409</v>
      </c>
      <c r="B3" t="s">
        <v>410</v>
      </c>
    </row>
    <row r="4" spans="1:2" x14ac:dyDescent="0.2">
      <c r="A4" t="s">
        <v>462</v>
      </c>
      <c r="B4" t="s">
        <v>463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
  <sheetViews>
    <sheetView workbookViewId="0">
      <selection activeCell="C1" sqref="C1:R1"/>
    </sheetView>
  </sheetViews>
  <sheetFormatPr baseColWidth="10" defaultColWidth="9" defaultRowHeight="14.25" x14ac:dyDescent="0.2"/>
  <cols>
    <col min="4" max="4" width="10" customWidth="1"/>
    <col min="16" max="16" width="17" customWidth="1"/>
  </cols>
  <sheetData>
    <row r="1" spans="1:18" ht="15" x14ac:dyDescent="0.25">
      <c r="A1" s="7">
        <v>28</v>
      </c>
      <c r="B1" s="7">
        <v>35</v>
      </c>
      <c r="C1" s="1079" t="s">
        <v>234</v>
      </c>
      <c r="D1" s="1079"/>
      <c r="E1" s="1079" t="s">
        <v>235</v>
      </c>
      <c r="F1" s="1079"/>
      <c r="G1" s="1079" t="s">
        <v>296</v>
      </c>
      <c r="H1" s="1079"/>
      <c r="I1" s="1079" t="s">
        <v>236</v>
      </c>
      <c r="J1" s="1079"/>
      <c r="K1" s="1079" t="s">
        <v>237</v>
      </c>
      <c r="L1" s="1079"/>
      <c r="M1" s="1079" t="s">
        <v>238</v>
      </c>
      <c r="N1" s="1079"/>
      <c r="O1" s="1079" t="s">
        <v>297</v>
      </c>
      <c r="P1" s="1079"/>
      <c r="Q1" s="1079" t="s">
        <v>239</v>
      </c>
      <c r="R1" s="1079"/>
    </row>
    <row r="2" spans="1:18" x14ac:dyDescent="0.2">
      <c r="A2" s="1078" t="s">
        <v>240</v>
      </c>
      <c r="B2" s="1078"/>
      <c r="C2" s="7" t="s">
        <v>241</v>
      </c>
      <c r="D2" s="7" t="s">
        <v>26</v>
      </c>
      <c r="E2" s="7" t="s">
        <v>241</v>
      </c>
      <c r="F2" s="7" t="s">
        <v>26</v>
      </c>
      <c r="G2" s="523" t="s">
        <v>241</v>
      </c>
      <c r="H2" s="523" t="s">
        <v>26</v>
      </c>
      <c r="I2" s="7" t="s">
        <v>241</v>
      </c>
      <c r="J2" s="7" t="s">
        <v>26</v>
      </c>
      <c r="K2" s="7" t="s">
        <v>241</v>
      </c>
      <c r="L2" s="7" t="s">
        <v>26</v>
      </c>
      <c r="M2" s="7" t="s">
        <v>241</v>
      </c>
      <c r="N2" s="7" t="s">
        <v>26</v>
      </c>
      <c r="O2" s="523" t="s">
        <v>241</v>
      </c>
      <c r="P2" s="523" t="s">
        <v>26</v>
      </c>
      <c r="Q2" s="7" t="s">
        <v>241</v>
      </c>
      <c r="R2" s="7" t="s">
        <v>26</v>
      </c>
    </row>
    <row r="3" spans="1:18" x14ac:dyDescent="0.2">
      <c r="A3" s="1077" t="s">
        <v>242</v>
      </c>
      <c r="B3" t="s">
        <v>243</v>
      </c>
      <c r="C3" s="8">
        <v>12.6</v>
      </c>
      <c r="D3" s="10"/>
      <c r="E3" s="8">
        <v>12.6</v>
      </c>
      <c r="F3" s="10"/>
      <c r="G3" s="522">
        <v>12.6</v>
      </c>
      <c r="H3" s="10"/>
      <c r="I3" s="8">
        <v>2</v>
      </c>
      <c r="J3" s="8"/>
      <c r="K3" s="8">
        <v>7</v>
      </c>
      <c r="L3" s="8"/>
      <c r="M3" s="8">
        <v>12.6</v>
      </c>
      <c r="N3" s="10"/>
      <c r="O3" s="522">
        <v>12.6</v>
      </c>
      <c r="P3" s="10"/>
      <c r="Q3" s="8">
        <v>7</v>
      </c>
      <c r="R3" s="8">
        <v>6</v>
      </c>
    </row>
    <row r="4" spans="1:18" x14ac:dyDescent="0.2">
      <c r="A4" s="1077"/>
      <c r="B4" t="s">
        <v>244</v>
      </c>
      <c r="C4" s="8">
        <v>6</v>
      </c>
      <c r="D4" s="10"/>
      <c r="E4" s="8">
        <v>1</v>
      </c>
      <c r="F4" s="8">
        <v>7</v>
      </c>
      <c r="G4" s="522">
        <v>1</v>
      </c>
      <c r="H4" s="522">
        <v>7</v>
      </c>
      <c r="I4" s="8">
        <v>5.6</v>
      </c>
      <c r="J4" s="8"/>
      <c r="K4" s="8">
        <v>4</v>
      </c>
      <c r="L4" s="8"/>
      <c r="M4" s="8">
        <v>1</v>
      </c>
      <c r="N4" s="8">
        <v>7</v>
      </c>
      <c r="O4" s="522">
        <v>1</v>
      </c>
      <c r="P4" s="522">
        <v>7</v>
      </c>
      <c r="Q4" s="8">
        <v>4</v>
      </c>
      <c r="R4" s="8">
        <v>4</v>
      </c>
    </row>
    <row r="5" spans="1:18" x14ac:dyDescent="0.2">
      <c r="A5" s="1077" t="s">
        <v>245</v>
      </c>
      <c r="B5" t="s">
        <v>246</v>
      </c>
      <c r="C5" s="8">
        <v>6.6</v>
      </c>
      <c r="D5" s="10"/>
      <c r="E5" s="8">
        <v>2.2000000000000002</v>
      </c>
      <c r="F5" s="8">
        <v>7.8</v>
      </c>
      <c r="G5" s="522">
        <v>2.2000000000000002</v>
      </c>
      <c r="H5" s="522">
        <v>7.8</v>
      </c>
      <c r="I5" s="8">
        <v>9.6</v>
      </c>
      <c r="J5" s="8"/>
      <c r="K5" s="8">
        <v>4.5999999999999996</v>
      </c>
      <c r="L5" s="8"/>
      <c r="M5" s="8">
        <v>2.2000000000000002</v>
      </c>
      <c r="N5" s="8">
        <v>7.8</v>
      </c>
      <c r="O5" s="522">
        <v>2.2000000000000002</v>
      </c>
      <c r="P5" s="522">
        <v>7.8</v>
      </c>
      <c r="Q5" s="8">
        <v>6</v>
      </c>
      <c r="R5" s="8">
        <v>4</v>
      </c>
    </row>
    <row r="6" spans="1:18" x14ac:dyDescent="0.2">
      <c r="A6" s="1077"/>
      <c r="B6" t="s">
        <v>247</v>
      </c>
      <c r="C6" s="8">
        <v>7</v>
      </c>
      <c r="D6" s="10"/>
      <c r="E6" s="8">
        <v>7</v>
      </c>
      <c r="F6" s="10"/>
      <c r="G6" s="522">
        <v>7</v>
      </c>
      <c r="H6" s="10"/>
      <c r="I6" s="8">
        <v>4.8</v>
      </c>
      <c r="J6" s="8"/>
      <c r="K6" s="8">
        <v>5.8</v>
      </c>
      <c r="L6" s="8"/>
      <c r="M6" s="8">
        <v>7</v>
      </c>
      <c r="N6" s="10"/>
      <c r="O6" s="522">
        <v>7</v>
      </c>
      <c r="P6" s="10"/>
      <c r="Q6" s="8">
        <v>5.2</v>
      </c>
      <c r="R6" s="8">
        <v>12</v>
      </c>
    </row>
    <row r="7" spans="1:18" x14ac:dyDescent="0.2">
      <c r="A7" s="1077" t="s">
        <v>248</v>
      </c>
      <c r="B7" t="s">
        <v>243</v>
      </c>
      <c r="C7" s="8">
        <v>11.6</v>
      </c>
      <c r="D7" s="10"/>
      <c r="E7" s="10"/>
      <c r="F7" s="8">
        <v>13</v>
      </c>
      <c r="G7" s="10"/>
      <c r="H7" s="522">
        <v>13</v>
      </c>
      <c r="I7" s="8">
        <v>2</v>
      </c>
      <c r="J7" s="8"/>
      <c r="K7" s="8">
        <v>4.2</v>
      </c>
      <c r="L7" s="8"/>
      <c r="M7" s="10"/>
      <c r="N7" s="8">
        <v>13</v>
      </c>
      <c r="O7" s="10"/>
      <c r="P7" s="522">
        <v>13</v>
      </c>
      <c r="Q7" s="8">
        <v>4</v>
      </c>
      <c r="R7" s="8">
        <v>13</v>
      </c>
    </row>
    <row r="8" spans="1:18" x14ac:dyDescent="0.2">
      <c r="A8" s="1077"/>
      <c r="B8" t="s">
        <v>244</v>
      </c>
      <c r="C8" s="8">
        <v>6</v>
      </c>
      <c r="D8" s="10"/>
      <c r="E8" s="8">
        <v>2</v>
      </c>
      <c r="F8" s="8">
        <v>5</v>
      </c>
      <c r="G8" s="522">
        <v>2</v>
      </c>
      <c r="H8" s="522">
        <v>5</v>
      </c>
      <c r="I8" s="8">
        <v>3</v>
      </c>
      <c r="J8" s="8"/>
      <c r="K8" s="8">
        <v>5</v>
      </c>
      <c r="L8" s="8"/>
      <c r="M8" s="8">
        <v>2</v>
      </c>
      <c r="N8" s="8">
        <v>5</v>
      </c>
      <c r="O8" s="522">
        <v>2</v>
      </c>
      <c r="P8" s="522">
        <v>5</v>
      </c>
      <c r="Q8" s="8">
        <v>6</v>
      </c>
      <c r="R8" s="8">
        <v>2</v>
      </c>
    </row>
    <row r="9" spans="1:18" x14ac:dyDescent="0.2">
      <c r="A9" s="1077" t="s">
        <v>249</v>
      </c>
      <c r="B9" t="s">
        <v>246</v>
      </c>
      <c r="C9" s="8">
        <v>5</v>
      </c>
      <c r="D9" s="8">
        <v>4</v>
      </c>
      <c r="E9" s="8">
        <v>6.6</v>
      </c>
      <c r="F9" s="10"/>
      <c r="G9" s="522">
        <v>6.6</v>
      </c>
      <c r="H9" s="10"/>
      <c r="I9" s="8">
        <v>5.8</v>
      </c>
      <c r="J9" s="8"/>
      <c r="K9" s="8">
        <v>2</v>
      </c>
      <c r="L9" s="8"/>
      <c r="M9" s="8">
        <v>6.6</v>
      </c>
      <c r="N9" s="10"/>
      <c r="O9" s="522">
        <v>6.6</v>
      </c>
      <c r="P9" s="10"/>
      <c r="Q9" s="8">
        <v>2.8</v>
      </c>
      <c r="R9" s="8">
        <v>6</v>
      </c>
    </row>
    <row r="10" spans="1:18" x14ac:dyDescent="0.2">
      <c r="A10" s="1077"/>
      <c r="B10" t="s">
        <v>247</v>
      </c>
      <c r="C10" s="8">
        <v>0.2</v>
      </c>
      <c r="D10" s="8">
        <v>10.8</v>
      </c>
      <c r="E10" s="8">
        <v>8</v>
      </c>
      <c r="F10" s="10"/>
      <c r="G10" s="522">
        <v>8</v>
      </c>
      <c r="H10" s="10"/>
      <c r="I10" s="8">
        <v>0.2</v>
      </c>
      <c r="J10" s="8"/>
      <c r="K10" s="8">
        <v>2</v>
      </c>
      <c r="L10" s="8"/>
      <c r="M10" s="8">
        <v>8</v>
      </c>
      <c r="N10" s="10"/>
      <c r="O10" s="522">
        <v>8</v>
      </c>
      <c r="P10" s="10"/>
      <c r="Q10" s="8">
        <v>0.8</v>
      </c>
      <c r="R10" s="8">
        <v>17</v>
      </c>
    </row>
    <row r="11" spans="1:18" x14ac:dyDescent="0.2">
      <c r="A11" s="1077" t="s">
        <v>250</v>
      </c>
      <c r="B11" t="s">
        <v>243</v>
      </c>
      <c r="C11" s="9">
        <v>7.2</v>
      </c>
      <c r="D11" s="9"/>
      <c r="E11" s="8">
        <v>11.6</v>
      </c>
      <c r="F11" s="10"/>
      <c r="G11" s="522">
        <v>11.6</v>
      </c>
      <c r="H11" s="10"/>
      <c r="I11" s="8"/>
      <c r="J11" s="8"/>
      <c r="K11" s="8">
        <v>4.5999999999999996</v>
      </c>
      <c r="L11" s="8"/>
      <c r="M11" s="8">
        <v>11.6</v>
      </c>
      <c r="N11" s="10"/>
      <c r="O11" s="522">
        <v>11.6</v>
      </c>
      <c r="P11" s="10"/>
      <c r="Q11" s="8">
        <v>4.5999999999999996</v>
      </c>
      <c r="R11" s="8">
        <v>12</v>
      </c>
    </row>
    <row r="12" spans="1:18" x14ac:dyDescent="0.2">
      <c r="A12" s="1077"/>
      <c r="B12" t="s">
        <v>244</v>
      </c>
      <c r="C12" s="9">
        <v>3</v>
      </c>
      <c r="D12" s="9"/>
      <c r="E12" s="8">
        <v>4</v>
      </c>
      <c r="F12" s="8">
        <v>4</v>
      </c>
      <c r="G12" s="522">
        <v>4</v>
      </c>
      <c r="H12" s="522">
        <v>4</v>
      </c>
      <c r="I12" s="8"/>
      <c r="J12" s="8"/>
      <c r="K12" s="8"/>
      <c r="L12" s="8"/>
      <c r="M12" s="8">
        <v>4</v>
      </c>
      <c r="N12" s="8">
        <v>4</v>
      </c>
      <c r="O12" s="522">
        <v>4</v>
      </c>
      <c r="P12" s="522">
        <v>4</v>
      </c>
      <c r="Q12" s="8"/>
      <c r="R12" s="8">
        <v>8</v>
      </c>
    </row>
    <row r="13" spans="1:18" x14ac:dyDescent="0.2">
      <c r="A13" s="1077" t="s">
        <v>251</v>
      </c>
      <c r="B13" t="s">
        <v>246</v>
      </c>
      <c r="C13" s="9">
        <v>3</v>
      </c>
      <c r="D13" s="9"/>
      <c r="E13" s="10"/>
      <c r="F13" s="8">
        <v>9</v>
      </c>
      <c r="G13" s="10"/>
      <c r="H13" s="522">
        <v>9</v>
      </c>
      <c r="I13" s="8"/>
      <c r="J13" s="8"/>
      <c r="K13" s="8">
        <v>5</v>
      </c>
      <c r="L13" s="8"/>
      <c r="M13" s="10"/>
      <c r="N13" s="8">
        <v>9</v>
      </c>
      <c r="O13" s="10"/>
      <c r="P13" s="522">
        <v>9</v>
      </c>
      <c r="Q13" s="8">
        <v>5</v>
      </c>
      <c r="R13" s="8">
        <v>4</v>
      </c>
    </row>
    <row r="14" spans="1:18" x14ac:dyDescent="0.2">
      <c r="A14" s="1077"/>
      <c r="B14" t="s">
        <v>247</v>
      </c>
      <c r="C14" s="9">
        <v>4</v>
      </c>
      <c r="D14" s="9"/>
      <c r="E14" s="8">
        <v>0.2</v>
      </c>
      <c r="F14" s="8">
        <v>12.8</v>
      </c>
      <c r="G14" s="522">
        <v>0.2</v>
      </c>
      <c r="H14" s="522">
        <v>12.8</v>
      </c>
      <c r="I14" s="8"/>
      <c r="J14" s="8"/>
      <c r="K14" s="8">
        <v>3</v>
      </c>
      <c r="L14" s="8"/>
      <c r="M14" s="8">
        <v>0.2</v>
      </c>
      <c r="N14" s="8">
        <v>12.8</v>
      </c>
      <c r="O14" s="522">
        <v>0.2</v>
      </c>
      <c r="P14" s="522">
        <v>12.8</v>
      </c>
      <c r="Q14" s="8">
        <v>2.8</v>
      </c>
      <c r="R14" s="8">
        <v>15</v>
      </c>
    </row>
    <row r="15" spans="1:18" x14ac:dyDescent="0.2">
      <c r="C15" s="8">
        <v>1</v>
      </c>
      <c r="D15" s="8"/>
    </row>
    <row r="16" spans="1:18" x14ac:dyDescent="0.2">
      <c r="A16" s="1078" t="s">
        <v>252</v>
      </c>
      <c r="B16" s="1078"/>
      <c r="C16" s="7" t="s">
        <v>241</v>
      </c>
      <c r="D16" s="7" t="s">
        <v>26</v>
      </c>
      <c r="E16" s="7" t="s">
        <v>241</v>
      </c>
      <c r="F16" s="7" t="s">
        <v>26</v>
      </c>
      <c r="G16" s="523" t="s">
        <v>241</v>
      </c>
      <c r="H16" s="523" t="s">
        <v>26</v>
      </c>
      <c r="I16" s="7" t="s">
        <v>241</v>
      </c>
      <c r="J16" s="7" t="s">
        <v>26</v>
      </c>
      <c r="K16" s="7" t="s">
        <v>241</v>
      </c>
      <c r="L16" s="7" t="s">
        <v>26</v>
      </c>
      <c r="M16" s="7" t="s">
        <v>241</v>
      </c>
      <c r="N16" s="7" t="s">
        <v>26</v>
      </c>
      <c r="O16" s="523" t="s">
        <v>241</v>
      </c>
      <c r="P16" s="523" t="s">
        <v>26</v>
      </c>
      <c r="Q16" s="7" t="s">
        <v>241</v>
      </c>
      <c r="R16" s="7" t="s">
        <v>26</v>
      </c>
    </row>
    <row r="17" spans="1:18" x14ac:dyDescent="0.2">
      <c r="A17" s="1077" t="s">
        <v>242</v>
      </c>
      <c r="B17" t="s">
        <v>243</v>
      </c>
      <c r="C17" s="8">
        <f t="shared" ref="C17:C24" si="0">C3*$A$1</f>
        <v>352.8</v>
      </c>
      <c r="D17" s="10"/>
      <c r="E17" s="8">
        <f>E3*$B$1</f>
        <v>441</v>
      </c>
      <c r="F17" s="10"/>
      <c r="G17" s="522">
        <f>G3*$B$1</f>
        <v>441</v>
      </c>
      <c r="H17" s="10"/>
      <c r="I17" s="8">
        <f t="shared" ref="I17:I24" si="1">I3*$B$1</f>
        <v>70</v>
      </c>
      <c r="J17" s="8"/>
      <c r="K17" s="8">
        <f t="shared" ref="K17:K25" si="2">K3*$B$1</f>
        <v>245</v>
      </c>
      <c r="L17" s="8"/>
      <c r="M17" s="8">
        <f>M3*$B$1</f>
        <v>441</v>
      </c>
      <c r="N17" s="10"/>
      <c r="O17" s="522">
        <f>O3*$B$1</f>
        <v>441</v>
      </c>
      <c r="P17" s="10"/>
      <c r="Q17" s="8">
        <f t="shared" ref="Q17:Q25" si="3">Q3*$B$1</f>
        <v>245</v>
      </c>
      <c r="R17" s="8"/>
    </row>
    <row r="18" spans="1:18" x14ac:dyDescent="0.2">
      <c r="A18" s="1077"/>
      <c r="B18" t="s">
        <v>244</v>
      </c>
      <c r="C18" s="8">
        <f t="shared" si="0"/>
        <v>168</v>
      </c>
      <c r="D18" s="10"/>
      <c r="E18" s="8">
        <f>E4*$B$1</f>
        <v>35</v>
      </c>
      <c r="F18" s="8">
        <f>F4*$B$1</f>
        <v>245</v>
      </c>
      <c r="G18" s="522">
        <f>G4*$B$1</f>
        <v>35</v>
      </c>
      <c r="H18" s="522">
        <f>H4*$B$1</f>
        <v>245</v>
      </c>
      <c r="I18" s="8">
        <f t="shared" si="1"/>
        <v>196</v>
      </c>
      <c r="J18" s="8"/>
      <c r="K18" s="8">
        <f t="shared" si="2"/>
        <v>140</v>
      </c>
      <c r="L18" s="8"/>
      <c r="M18" s="8">
        <f>M4*$B$1</f>
        <v>35</v>
      </c>
      <c r="N18" s="8">
        <f>N4*$B$1</f>
        <v>245</v>
      </c>
      <c r="O18" s="522">
        <f>O4*$B$1</f>
        <v>35</v>
      </c>
      <c r="P18" s="522">
        <f>P4*$B$1</f>
        <v>245</v>
      </c>
      <c r="Q18" s="8">
        <f t="shared" si="3"/>
        <v>140</v>
      </c>
      <c r="R18" s="8"/>
    </row>
    <row r="19" spans="1:18" x14ac:dyDescent="0.2">
      <c r="A19" s="1077" t="s">
        <v>245</v>
      </c>
      <c r="B19" t="s">
        <v>246</v>
      </c>
      <c r="C19" s="8">
        <f t="shared" si="0"/>
        <v>184.79999999999998</v>
      </c>
      <c r="D19" s="10"/>
      <c r="E19" s="8">
        <f>E5*$B$1</f>
        <v>77</v>
      </c>
      <c r="F19" s="8">
        <f>F5*$B$1</f>
        <v>273</v>
      </c>
      <c r="G19" s="522">
        <f>G5*$B$1</f>
        <v>77</v>
      </c>
      <c r="H19" s="522">
        <f>H5*$B$1</f>
        <v>273</v>
      </c>
      <c r="I19" s="8">
        <f t="shared" si="1"/>
        <v>336</v>
      </c>
      <c r="J19" s="8"/>
      <c r="K19" s="8">
        <f t="shared" si="2"/>
        <v>161</v>
      </c>
      <c r="L19" s="8"/>
      <c r="M19" s="8">
        <f>M5*$B$1</f>
        <v>77</v>
      </c>
      <c r="N19" s="8">
        <f>N5*$B$1</f>
        <v>273</v>
      </c>
      <c r="O19" s="522">
        <f>O5*$B$1</f>
        <v>77</v>
      </c>
      <c r="P19" s="522">
        <f>P5*$B$1</f>
        <v>273</v>
      </c>
      <c r="Q19" s="8">
        <f t="shared" si="3"/>
        <v>210</v>
      </c>
      <c r="R19" s="8"/>
    </row>
    <row r="20" spans="1:18" x14ac:dyDescent="0.2">
      <c r="A20" s="1077"/>
      <c r="B20" t="s">
        <v>247</v>
      </c>
      <c r="C20" s="8">
        <f t="shared" si="0"/>
        <v>196</v>
      </c>
      <c r="D20" s="10"/>
      <c r="E20" s="8">
        <f>E6*$B$1</f>
        <v>245</v>
      </c>
      <c r="F20" s="10"/>
      <c r="G20" s="522">
        <f>G6*$B$1</f>
        <v>245</v>
      </c>
      <c r="H20" s="10"/>
      <c r="I20" s="8">
        <f t="shared" si="1"/>
        <v>168</v>
      </c>
      <c r="J20" s="8"/>
      <c r="K20" s="8">
        <f t="shared" si="2"/>
        <v>203</v>
      </c>
      <c r="L20" s="8"/>
      <c r="M20" s="8">
        <f>M6*$B$1</f>
        <v>245</v>
      </c>
      <c r="N20" s="10"/>
      <c r="O20" s="522">
        <f>O6*$B$1</f>
        <v>245</v>
      </c>
      <c r="P20" s="10"/>
      <c r="Q20" s="8">
        <f t="shared" si="3"/>
        <v>182</v>
      </c>
      <c r="R20" s="8"/>
    </row>
    <row r="21" spans="1:18" x14ac:dyDescent="0.2">
      <c r="A21" s="1077" t="s">
        <v>248</v>
      </c>
      <c r="B21" t="s">
        <v>243</v>
      </c>
      <c r="C21" s="8">
        <f t="shared" si="0"/>
        <v>324.8</v>
      </c>
      <c r="D21" s="10"/>
      <c r="E21" s="10"/>
      <c r="F21" s="8">
        <f>F7*$B$1</f>
        <v>455</v>
      </c>
      <c r="G21" s="10"/>
      <c r="H21" s="522">
        <f>H7*$B$1</f>
        <v>455</v>
      </c>
      <c r="I21" s="8">
        <f t="shared" si="1"/>
        <v>70</v>
      </c>
      <c r="J21" s="8"/>
      <c r="K21" s="8">
        <f t="shared" si="2"/>
        <v>147</v>
      </c>
      <c r="L21" s="8"/>
      <c r="M21" s="10"/>
      <c r="N21" s="8">
        <f>N7*$B$1</f>
        <v>455</v>
      </c>
      <c r="O21" s="10"/>
      <c r="P21" s="522">
        <f>P7*$B$1</f>
        <v>455</v>
      </c>
      <c r="Q21" s="8">
        <f t="shared" si="3"/>
        <v>140</v>
      </c>
      <c r="R21" s="8"/>
    </row>
    <row r="22" spans="1:18" x14ac:dyDescent="0.2">
      <c r="A22" s="1077"/>
      <c r="B22" t="s">
        <v>244</v>
      </c>
      <c r="C22" s="8">
        <f t="shared" si="0"/>
        <v>168</v>
      </c>
      <c r="D22" s="10"/>
      <c r="E22" s="8">
        <f>E8*$B$1</f>
        <v>70</v>
      </c>
      <c r="F22" s="8">
        <f>F8*$B$1</f>
        <v>175</v>
      </c>
      <c r="G22" s="522">
        <f>G8*$B$1</f>
        <v>70</v>
      </c>
      <c r="H22" s="522">
        <f>H8*$B$1</f>
        <v>175</v>
      </c>
      <c r="I22" s="8">
        <f t="shared" si="1"/>
        <v>105</v>
      </c>
      <c r="J22" s="8"/>
      <c r="K22" s="8">
        <f t="shared" si="2"/>
        <v>175</v>
      </c>
      <c r="L22" s="8"/>
      <c r="M22" s="8">
        <f>M8*$B$1</f>
        <v>70</v>
      </c>
      <c r="N22" s="8">
        <f>N8*$B$1</f>
        <v>175</v>
      </c>
      <c r="O22" s="522">
        <f>O8*$B$1</f>
        <v>70</v>
      </c>
      <c r="P22" s="522">
        <f>P8*$B$1</f>
        <v>175</v>
      </c>
      <c r="Q22" s="8">
        <f t="shared" si="3"/>
        <v>210</v>
      </c>
      <c r="R22" s="8"/>
    </row>
    <row r="23" spans="1:18" x14ac:dyDescent="0.2">
      <c r="A23" s="1077" t="s">
        <v>249</v>
      </c>
      <c r="B23" t="s">
        <v>246</v>
      </c>
      <c r="C23" s="8">
        <f t="shared" si="0"/>
        <v>140</v>
      </c>
      <c r="D23" s="8">
        <f>D9*$B$1</f>
        <v>140</v>
      </c>
      <c r="E23" s="8">
        <f>E9*$B$1</f>
        <v>231</v>
      </c>
      <c r="F23" s="10"/>
      <c r="G23" s="522">
        <f>G9*$B$1</f>
        <v>231</v>
      </c>
      <c r="H23" s="10"/>
      <c r="I23" s="8">
        <f t="shared" si="1"/>
        <v>203</v>
      </c>
      <c r="J23" s="8"/>
      <c r="K23" s="8">
        <f t="shared" si="2"/>
        <v>70</v>
      </c>
      <c r="L23" s="8"/>
      <c r="M23" s="8">
        <f>M9*$B$1</f>
        <v>231</v>
      </c>
      <c r="N23" s="10"/>
      <c r="O23" s="522">
        <f>O9*$B$1</f>
        <v>231</v>
      </c>
      <c r="P23" s="10"/>
      <c r="Q23" s="8">
        <f t="shared" si="3"/>
        <v>98</v>
      </c>
      <c r="R23" s="8"/>
    </row>
    <row r="24" spans="1:18" x14ac:dyDescent="0.2">
      <c r="A24" s="1077"/>
      <c r="B24" t="s">
        <v>247</v>
      </c>
      <c r="C24" s="8">
        <f t="shared" si="0"/>
        <v>5.6000000000000005</v>
      </c>
      <c r="D24" s="8">
        <f>D10*$B$1</f>
        <v>378</v>
      </c>
      <c r="E24" s="8">
        <f>E10*$B$1</f>
        <v>280</v>
      </c>
      <c r="F24" s="10"/>
      <c r="G24" s="522">
        <f>G10*$B$1</f>
        <v>280</v>
      </c>
      <c r="H24" s="10"/>
      <c r="I24" s="8">
        <f t="shared" si="1"/>
        <v>7</v>
      </c>
      <c r="J24" s="8"/>
      <c r="K24" s="8">
        <f t="shared" si="2"/>
        <v>70</v>
      </c>
      <c r="L24" s="8"/>
      <c r="M24" s="8">
        <f>M10*$B$1</f>
        <v>280</v>
      </c>
      <c r="N24" s="10"/>
      <c r="O24" s="522">
        <f>O10*$B$1</f>
        <v>280</v>
      </c>
      <c r="P24" s="10"/>
      <c r="Q24" s="8">
        <f t="shared" si="3"/>
        <v>28</v>
      </c>
      <c r="R24" s="8"/>
    </row>
    <row r="25" spans="1:18" x14ac:dyDescent="0.2">
      <c r="A25" s="1077" t="s">
        <v>250</v>
      </c>
      <c r="B25" t="s">
        <v>243</v>
      </c>
      <c r="C25" s="9">
        <f>C11*$B$1</f>
        <v>252</v>
      </c>
      <c r="D25" s="9"/>
      <c r="E25" s="8">
        <f>E11*$B$1</f>
        <v>406</v>
      </c>
      <c r="F25" s="10"/>
      <c r="G25" s="522">
        <f>G11*$B$1</f>
        <v>406</v>
      </c>
      <c r="H25" s="10"/>
      <c r="I25" s="8"/>
      <c r="J25" s="8"/>
      <c r="K25" s="8">
        <f t="shared" si="2"/>
        <v>161</v>
      </c>
      <c r="L25" s="8"/>
      <c r="M25" s="8">
        <f>M11*$B$1</f>
        <v>406</v>
      </c>
      <c r="N25" s="10"/>
      <c r="O25" s="522">
        <f>O11*$B$1</f>
        <v>406</v>
      </c>
      <c r="P25" s="10"/>
      <c r="Q25" s="8">
        <f t="shared" si="3"/>
        <v>161</v>
      </c>
      <c r="R25" s="8"/>
    </row>
    <row r="26" spans="1:18" x14ac:dyDescent="0.2">
      <c r="A26" s="1077"/>
      <c r="B26" t="s">
        <v>244</v>
      </c>
      <c r="C26" s="9">
        <f>C12*$B$1</f>
        <v>105</v>
      </c>
      <c r="D26" s="9"/>
      <c r="E26" s="8">
        <f>E12*$B$1</f>
        <v>140</v>
      </c>
      <c r="F26" s="8">
        <f>F12*$B$1</f>
        <v>140</v>
      </c>
      <c r="G26" s="522">
        <f>G12*$B$1</f>
        <v>140</v>
      </c>
      <c r="H26" s="522">
        <f>H12*$B$1</f>
        <v>140</v>
      </c>
      <c r="I26" s="8"/>
      <c r="J26" s="8"/>
      <c r="K26" s="8"/>
      <c r="L26" s="8"/>
      <c r="M26" s="8">
        <f>M12*$B$1</f>
        <v>140</v>
      </c>
      <c r="N26" s="8">
        <f>N12*$B$1</f>
        <v>140</v>
      </c>
      <c r="O26" s="522">
        <f>O12*$B$1</f>
        <v>140</v>
      </c>
      <c r="P26" s="522">
        <f>P12*$B$1</f>
        <v>140</v>
      </c>
      <c r="Q26" s="8"/>
      <c r="R26" s="8"/>
    </row>
    <row r="27" spans="1:18" x14ac:dyDescent="0.2">
      <c r="A27" s="1077" t="s">
        <v>251</v>
      </c>
      <c r="B27" t="s">
        <v>246</v>
      </c>
      <c r="C27" s="9">
        <f>C13*$B$1</f>
        <v>105</v>
      </c>
      <c r="D27" s="9"/>
      <c r="E27" s="10"/>
      <c r="F27" s="8">
        <f>F13*$B$1</f>
        <v>315</v>
      </c>
      <c r="G27" s="10"/>
      <c r="H27" s="522">
        <f>H13*$B$1</f>
        <v>315</v>
      </c>
      <c r="I27" s="8"/>
      <c r="J27" s="8"/>
      <c r="K27" s="8">
        <f>K13*$B$1</f>
        <v>175</v>
      </c>
      <c r="L27" s="8"/>
      <c r="M27" s="10"/>
      <c r="N27" s="8">
        <f>N13*$B$1</f>
        <v>315</v>
      </c>
      <c r="O27" s="10"/>
      <c r="P27" s="522">
        <f>P13*$B$1</f>
        <v>315</v>
      </c>
      <c r="Q27" s="8">
        <f>Q13*$B$1</f>
        <v>175</v>
      </c>
      <c r="R27" s="8"/>
    </row>
    <row r="28" spans="1:18" x14ac:dyDescent="0.2">
      <c r="A28" s="1077"/>
      <c r="B28" t="s">
        <v>247</v>
      </c>
      <c r="C28" s="9">
        <f>C14*$B$1</f>
        <v>140</v>
      </c>
      <c r="D28" s="9"/>
      <c r="E28" s="8">
        <f>E14*$B$1</f>
        <v>7</v>
      </c>
      <c r="F28" s="8">
        <f>F14*$B$1</f>
        <v>448</v>
      </c>
      <c r="G28" s="522">
        <f>G14*$B$1</f>
        <v>7</v>
      </c>
      <c r="H28" s="522">
        <f>H14*$B$1</f>
        <v>448</v>
      </c>
      <c r="I28" s="8"/>
      <c r="J28" s="8"/>
      <c r="K28" s="8">
        <f>K14*$B$1</f>
        <v>105</v>
      </c>
      <c r="L28" s="8"/>
      <c r="M28" s="8">
        <f>M14*$B$1</f>
        <v>7</v>
      </c>
      <c r="N28" s="8">
        <f>N14*$B$1</f>
        <v>448</v>
      </c>
      <c r="O28" s="522">
        <f>O14*$B$1</f>
        <v>7</v>
      </c>
      <c r="P28" s="522">
        <f>P14*$B$1</f>
        <v>448</v>
      </c>
      <c r="Q28" s="8">
        <f>Q14*$B$1</f>
        <v>98</v>
      </c>
      <c r="R28" s="8"/>
    </row>
  </sheetData>
  <mergeCells count="22">
    <mergeCell ref="Q1:R1"/>
    <mergeCell ref="C1:D1"/>
    <mergeCell ref="E1:F1"/>
    <mergeCell ref="I1:J1"/>
    <mergeCell ref="K1:L1"/>
    <mergeCell ref="M1:N1"/>
    <mergeCell ref="G1:H1"/>
    <mergeCell ref="O1:P1"/>
    <mergeCell ref="A23:A24"/>
    <mergeCell ref="A25:A26"/>
    <mergeCell ref="A27:A28"/>
    <mergeCell ref="A2:B2"/>
    <mergeCell ref="A16:B16"/>
    <mergeCell ref="A17:A18"/>
    <mergeCell ref="A19:A20"/>
    <mergeCell ref="A21:A22"/>
    <mergeCell ref="A13:A14"/>
    <mergeCell ref="A3:A4"/>
    <mergeCell ref="A5:A6"/>
    <mergeCell ref="A7:A8"/>
    <mergeCell ref="A9:A10"/>
    <mergeCell ref="A11:A12"/>
  </mergeCell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0"/>
  <sheetViews>
    <sheetView workbookViewId="0">
      <selection activeCell="R11" sqref="R11"/>
    </sheetView>
  </sheetViews>
  <sheetFormatPr baseColWidth="10" defaultColWidth="9" defaultRowHeight="14.25" x14ac:dyDescent="0.2"/>
  <cols>
    <col min="2" max="2" width="17.5" customWidth="1"/>
    <col min="3" max="3" width="12.75" customWidth="1"/>
    <col min="5" max="5" width="10" customWidth="1"/>
    <col min="6" max="7" width="9" style="523"/>
    <col min="9" max="9" width="9.875" customWidth="1"/>
    <col min="11" max="11" width="11.375" customWidth="1"/>
    <col min="13" max="13" width="11.5" customWidth="1"/>
    <col min="14" max="14" width="12" customWidth="1"/>
    <col min="15" max="15" width="12.75" customWidth="1"/>
    <col min="16" max="16" width="12.125" customWidth="1"/>
  </cols>
  <sheetData>
    <row r="1" spans="2:17" ht="15" thickBot="1" x14ac:dyDescent="0.25"/>
    <row r="2" spans="2:17" ht="15" x14ac:dyDescent="0.25">
      <c r="B2" s="530"/>
      <c r="C2" s="550"/>
      <c r="D2" s="1083" t="s">
        <v>318</v>
      </c>
      <c r="E2" s="1082"/>
      <c r="F2" s="1082" t="s">
        <v>295</v>
      </c>
      <c r="G2" s="1082"/>
      <c r="H2" s="1082" t="s">
        <v>309</v>
      </c>
      <c r="I2" s="1082"/>
      <c r="J2" s="1082" t="s">
        <v>312</v>
      </c>
      <c r="K2" s="1082"/>
      <c r="L2" s="1082" t="s">
        <v>313</v>
      </c>
      <c r="M2" s="1082"/>
      <c r="N2" s="1082" t="s">
        <v>314</v>
      </c>
      <c r="O2" s="1082"/>
      <c r="P2" s="1082" t="s">
        <v>315</v>
      </c>
      <c r="Q2" s="1086"/>
    </row>
    <row r="3" spans="2:17" x14ac:dyDescent="0.2">
      <c r="B3" s="1084" t="s">
        <v>319</v>
      </c>
      <c r="C3" s="1085"/>
      <c r="D3" s="545" t="s">
        <v>241</v>
      </c>
      <c r="E3" s="531" t="s">
        <v>26</v>
      </c>
      <c r="F3" s="531" t="s">
        <v>241</v>
      </c>
      <c r="G3" s="531" t="s">
        <v>26</v>
      </c>
      <c r="H3" s="531" t="s">
        <v>241</v>
      </c>
      <c r="I3" s="531" t="s">
        <v>26</v>
      </c>
      <c r="J3" s="531" t="s">
        <v>241</v>
      </c>
      <c r="K3" s="531" t="s">
        <v>26</v>
      </c>
      <c r="L3" s="531" t="s">
        <v>241</v>
      </c>
      <c r="M3" s="531" t="s">
        <v>26</v>
      </c>
      <c r="N3" s="531" t="s">
        <v>241</v>
      </c>
      <c r="O3" s="531" t="s">
        <v>26</v>
      </c>
      <c r="P3" s="531" t="s">
        <v>241</v>
      </c>
      <c r="Q3" s="532" t="s">
        <v>26</v>
      </c>
    </row>
    <row r="4" spans="2:17" x14ac:dyDescent="0.2">
      <c r="B4" s="1080" t="s">
        <v>310</v>
      </c>
      <c r="C4" s="551" t="s">
        <v>298</v>
      </c>
      <c r="D4" s="546">
        <v>2.6</v>
      </c>
      <c r="E4" s="534"/>
      <c r="F4" s="535">
        <v>2.4</v>
      </c>
      <c r="G4" s="534"/>
      <c r="H4" s="533">
        <v>2.2000000000000002</v>
      </c>
      <c r="I4" s="534"/>
      <c r="J4" s="534"/>
      <c r="K4" s="533">
        <v>1.4</v>
      </c>
      <c r="L4" s="533">
        <v>2.2000000000000002</v>
      </c>
      <c r="M4" s="534"/>
      <c r="N4" s="533">
        <v>2.2000000000000002</v>
      </c>
      <c r="O4" s="534"/>
      <c r="P4" s="533">
        <v>2.2000000000000002</v>
      </c>
      <c r="Q4" s="536"/>
    </row>
    <row r="5" spans="2:17" x14ac:dyDescent="0.2">
      <c r="B5" s="1080"/>
      <c r="C5" s="551" t="s">
        <v>299</v>
      </c>
      <c r="D5" s="546">
        <v>3.6</v>
      </c>
      <c r="E5" s="534"/>
      <c r="F5" s="535">
        <v>3.6</v>
      </c>
      <c r="G5" s="534"/>
      <c r="H5" s="533">
        <v>3.6</v>
      </c>
      <c r="I5" s="534"/>
      <c r="J5" s="534"/>
      <c r="K5" s="533">
        <v>4.5999999999999996</v>
      </c>
      <c r="L5" s="533">
        <v>3.6</v>
      </c>
      <c r="M5" s="534"/>
      <c r="N5" s="533">
        <v>3.6</v>
      </c>
      <c r="O5" s="534"/>
      <c r="P5" s="533">
        <v>3.6</v>
      </c>
      <c r="Q5" s="536"/>
    </row>
    <row r="6" spans="2:17" x14ac:dyDescent="0.2">
      <c r="B6" s="1080"/>
      <c r="C6" s="551" t="s">
        <v>300</v>
      </c>
      <c r="D6" s="546">
        <v>3.6</v>
      </c>
      <c r="E6" s="534"/>
      <c r="F6" s="535">
        <v>3.6</v>
      </c>
      <c r="G6" s="534"/>
      <c r="H6" s="533">
        <v>3.6</v>
      </c>
      <c r="I6" s="534"/>
      <c r="J6" s="534"/>
      <c r="K6" s="533">
        <v>3.6</v>
      </c>
      <c r="L6" s="533">
        <v>3.6</v>
      </c>
      <c r="M6" s="534"/>
      <c r="N6" s="533">
        <v>3.6</v>
      </c>
      <c r="O6" s="534"/>
      <c r="P6" s="533">
        <v>3.6</v>
      </c>
      <c r="Q6" s="536"/>
    </row>
    <row r="7" spans="2:17" x14ac:dyDescent="0.2">
      <c r="B7" s="1080"/>
      <c r="C7" s="551" t="s">
        <v>301</v>
      </c>
      <c r="D7" s="546">
        <v>3</v>
      </c>
      <c r="E7" s="534"/>
      <c r="F7" s="535">
        <v>3</v>
      </c>
      <c r="G7" s="534"/>
      <c r="H7" s="533">
        <v>3</v>
      </c>
      <c r="I7" s="534"/>
      <c r="J7" s="534"/>
      <c r="K7" s="533">
        <v>4.2</v>
      </c>
      <c r="L7" s="533">
        <v>3</v>
      </c>
      <c r="M7" s="534"/>
      <c r="N7" s="533">
        <v>3</v>
      </c>
      <c r="O7" s="534"/>
      <c r="P7" s="533">
        <v>3</v>
      </c>
      <c r="Q7" s="536"/>
    </row>
    <row r="8" spans="2:17" ht="28.5" x14ac:dyDescent="0.2">
      <c r="B8" s="1080"/>
      <c r="C8" s="551" t="s">
        <v>302</v>
      </c>
      <c r="D8" s="546">
        <v>4</v>
      </c>
      <c r="E8" s="534"/>
      <c r="F8" s="535">
        <v>4</v>
      </c>
      <c r="G8" s="534"/>
      <c r="H8" s="533">
        <v>1</v>
      </c>
      <c r="I8" s="533">
        <v>3</v>
      </c>
      <c r="J8" s="534"/>
      <c r="K8" s="533">
        <v>4.2</v>
      </c>
      <c r="L8" s="533">
        <v>4</v>
      </c>
      <c r="M8" s="534"/>
      <c r="N8" s="533">
        <v>1</v>
      </c>
      <c r="O8" s="537" t="s">
        <v>316</v>
      </c>
      <c r="P8" s="533">
        <v>4</v>
      </c>
      <c r="Q8" s="536"/>
    </row>
    <row r="9" spans="2:17" ht="28.5" x14ac:dyDescent="0.2">
      <c r="B9" s="1080"/>
      <c r="C9" s="551" t="s">
        <v>303</v>
      </c>
      <c r="D9" s="546">
        <v>2</v>
      </c>
      <c r="E9" s="534"/>
      <c r="F9" s="535">
        <v>3</v>
      </c>
      <c r="G9" s="534"/>
      <c r="H9" s="534"/>
      <c r="I9" s="533">
        <v>4</v>
      </c>
      <c r="J9" s="533">
        <v>2</v>
      </c>
      <c r="K9" s="533">
        <v>2</v>
      </c>
      <c r="L9" s="534"/>
      <c r="M9" s="533">
        <v>4</v>
      </c>
      <c r="N9" s="533">
        <v>2</v>
      </c>
      <c r="O9" s="537" t="s">
        <v>317</v>
      </c>
      <c r="P9" s="534"/>
      <c r="Q9" s="538">
        <v>4</v>
      </c>
    </row>
    <row r="10" spans="2:17" x14ac:dyDescent="0.2">
      <c r="B10" s="1080" t="s">
        <v>311</v>
      </c>
      <c r="C10" s="551" t="s">
        <v>304</v>
      </c>
      <c r="D10" s="546">
        <v>4.4000000000000004</v>
      </c>
      <c r="E10" s="534"/>
      <c r="F10" s="535">
        <v>4.4000000000000004</v>
      </c>
      <c r="G10" s="534"/>
      <c r="H10" s="534"/>
      <c r="I10" s="533">
        <v>4.4000000000000004</v>
      </c>
      <c r="J10" s="533">
        <v>4.4000000000000004</v>
      </c>
      <c r="K10" s="534"/>
      <c r="L10" s="534"/>
      <c r="M10" s="533">
        <v>4.2</v>
      </c>
      <c r="N10" s="533">
        <v>4.4000000000000004</v>
      </c>
      <c r="O10" s="534"/>
      <c r="P10" s="534"/>
      <c r="Q10" s="538">
        <v>4.2</v>
      </c>
    </row>
    <row r="11" spans="2:17" x14ac:dyDescent="0.2">
      <c r="B11" s="1080"/>
      <c r="C11" s="551" t="s">
        <v>305</v>
      </c>
      <c r="D11" s="547">
        <v>1.4</v>
      </c>
      <c r="E11" s="539">
        <v>1.8</v>
      </c>
      <c r="F11" s="535">
        <v>4.2</v>
      </c>
      <c r="G11" s="534"/>
      <c r="H11" s="533">
        <v>1</v>
      </c>
      <c r="I11" s="533">
        <v>2.4</v>
      </c>
      <c r="J11" s="533">
        <v>3.2</v>
      </c>
      <c r="K11" s="534"/>
      <c r="L11" s="534"/>
      <c r="M11" s="533">
        <v>4.2</v>
      </c>
      <c r="N11" s="533">
        <v>3.2</v>
      </c>
      <c r="O11" s="534"/>
      <c r="P11" s="534"/>
      <c r="Q11" s="538">
        <v>4.2</v>
      </c>
    </row>
    <row r="12" spans="2:17" x14ac:dyDescent="0.2">
      <c r="B12" s="1080"/>
      <c r="C12" s="551" t="s">
        <v>306</v>
      </c>
      <c r="D12" s="548"/>
      <c r="E12" s="539">
        <v>3.4</v>
      </c>
      <c r="F12" s="535">
        <v>0.8</v>
      </c>
      <c r="G12" s="535">
        <v>2.4</v>
      </c>
      <c r="H12" s="533">
        <v>3.2</v>
      </c>
      <c r="I12" s="534"/>
      <c r="J12" s="533">
        <v>3.2</v>
      </c>
      <c r="K12" s="534"/>
      <c r="L12" s="534"/>
      <c r="M12" s="533">
        <v>3.2</v>
      </c>
      <c r="N12" s="533">
        <v>3.2</v>
      </c>
      <c r="O12" s="534"/>
      <c r="P12" s="534"/>
      <c r="Q12" s="538">
        <v>3.2</v>
      </c>
    </row>
    <row r="13" spans="2:17" x14ac:dyDescent="0.2">
      <c r="B13" s="1080"/>
      <c r="C13" s="551" t="s">
        <v>307</v>
      </c>
      <c r="D13" s="548"/>
      <c r="E13" s="539">
        <v>4.4000000000000004</v>
      </c>
      <c r="F13" s="534"/>
      <c r="G13" s="535">
        <v>4.4000000000000004</v>
      </c>
      <c r="H13" s="533">
        <v>4.2</v>
      </c>
      <c r="I13" s="534"/>
      <c r="J13" s="533">
        <v>4</v>
      </c>
      <c r="K13" s="534"/>
      <c r="L13" s="534"/>
      <c r="M13" s="533">
        <v>4.2</v>
      </c>
      <c r="N13" s="533">
        <v>4</v>
      </c>
      <c r="O13" s="534"/>
      <c r="P13" s="534"/>
      <c r="Q13" s="538">
        <v>4.2</v>
      </c>
    </row>
    <row r="14" spans="2:17" ht="15" thickBot="1" x14ac:dyDescent="0.25">
      <c r="B14" s="1081"/>
      <c r="C14" s="552" t="s">
        <v>308</v>
      </c>
      <c r="D14" s="549"/>
      <c r="E14" s="541">
        <v>1.6</v>
      </c>
      <c r="F14" s="540"/>
      <c r="G14" s="542">
        <v>4.2</v>
      </c>
      <c r="H14" s="540"/>
      <c r="I14" s="540"/>
      <c r="J14" s="540"/>
      <c r="K14" s="540"/>
      <c r="L14" s="543">
        <v>0.2</v>
      </c>
      <c r="M14" s="543">
        <v>4.2</v>
      </c>
      <c r="N14" s="540"/>
      <c r="O14" s="540"/>
      <c r="P14" s="543">
        <v>0.2</v>
      </c>
      <c r="Q14" s="544">
        <v>4.2</v>
      </c>
    </row>
    <row r="15" spans="2:17" x14ac:dyDescent="0.2">
      <c r="D15" s="522"/>
      <c r="E15" s="522"/>
    </row>
    <row r="16" spans="2:17" x14ac:dyDescent="0.2">
      <c r="B16" s="553" t="s">
        <v>320</v>
      </c>
      <c r="D16" s="529">
        <v>28</v>
      </c>
      <c r="E16" s="554">
        <v>35</v>
      </c>
      <c r="F16" s="529">
        <v>15</v>
      </c>
      <c r="G16" s="554">
        <v>35</v>
      </c>
      <c r="H16" s="554">
        <v>32</v>
      </c>
      <c r="I16" s="554">
        <v>35</v>
      </c>
      <c r="J16" s="554">
        <v>32</v>
      </c>
      <c r="K16" s="554">
        <v>35</v>
      </c>
      <c r="L16" s="554">
        <v>32</v>
      </c>
      <c r="M16" s="554">
        <v>35</v>
      </c>
      <c r="N16" s="554">
        <v>32</v>
      </c>
      <c r="O16" s="554">
        <v>35</v>
      </c>
      <c r="P16" s="554">
        <v>32</v>
      </c>
      <c r="Q16" s="554">
        <v>35</v>
      </c>
    </row>
    <row r="17" spans="2:17" ht="15" thickBot="1" x14ac:dyDescent="0.25"/>
    <row r="18" spans="2:17" ht="15" x14ac:dyDescent="0.25">
      <c r="B18" s="530"/>
      <c r="C18" s="550"/>
      <c r="D18" s="1083" t="s">
        <v>318</v>
      </c>
      <c r="E18" s="1082"/>
      <c r="F18" s="1082" t="s">
        <v>295</v>
      </c>
      <c r="G18" s="1082"/>
      <c r="H18" s="1082" t="s">
        <v>309</v>
      </c>
      <c r="I18" s="1082"/>
      <c r="J18" s="1082" t="s">
        <v>312</v>
      </c>
      <c r="K18" s="1082"/>
      <c r="L18" s="1082" t="s">
        <v>313</v>
      </c>
      <c r="M18" s="1082"/>
      <c r="N18" s="1082" t="s">
        <v>314</v>
      </c>
      <c r="O18" s="1082"/>
      <c r="P18" s="1082" t="s">
        <v>315</v>
      </c>
      <c r="Q18" s="1086"/>
    </row>
    <row r="19" spans="2:17" x14ac:dyDescent="0.2">
      <c r="B19" s="1084" t="s">
        <v>252</v>
      </c>
      <c r="C19" s="1085"/>
      <c r="D19" s="545" t="s">
        <v>241</v>
      </c>
      <c r="E19" s="531" t="s">
        <v>26</v>
      </c>
      <c r="F19" s="531" t="s">
        <v>241</v>
      </c>
      <c r="G19" s="531" t="s">
        <v>26</v>
      </c>
      <c r="H19" s="531" t="s">
        <v>241</v>
      </c>
      <c r="I19" s="531" t="s">
        <v>26</v>
      </c>
      <c r="J19" s="531" t="s">
        <v>241</v>
      </c>
      <c r="K19" s="531" t="s">
        <v>26</v>
      </c>
      <c r="L19" s="531" t="s">
        <v>241</v>
      </c>
      <c r="M19" s="531" t="s">
        <v>26</v>
      </c>
      <c r="N19" s="531" t="s">
        <v>241</v>
      </c>
      <c r="O19" s="531" t="s">
        <v>26</v>
      </c>
      <c r="P19" s="531" t="s">
        <v>241</v>
      </c>
      <c r="Q19" s="532" t="s">
        <v>26</v>
      </c>
    </row>
    <row r="20" spans="2:17" x14ac:dyDescent="0.2">
      <c r="B20" s="1080" t="s">
        <v>310</v>
      </c>
      <c r="C20" s="551" t="s">
        <v>298</v>
      </c>
      <c r="D20" s="546">
        <v>74</v>
      </c>
      <c r="E20" s="534"/>
      <c r="F20" s="535">
        <f>F4*$F$16</f>
        <v>36</v>
      </c>
      <c r="G20" s="534"/>
      <c r="H20" s="533">
        <f>H4*$H$16</f>
        <v>70.400000000000006</v>
      </c>
      <c r="I20" s="534"/>
      <c r="J20" s="534"/>
      <c r="K20" s="533">
        <f>K4*$K$16</f>
        <v>49</v>
      </c>
      <c r="L20" s="533">
        <f>L4*$L$16</f>
        <v>70.400000000000006</v>
      </c>
      <c r="M20" s="534"/>
      <c r="N20" s="533">
        <f>N4*$N$16</f>
        <v>70.400000000000006</v>
      </c>
      <c r="O20" s="534"/>
      <c r="P20" s="533">
        <f>P4*$P$16</f>
        <v>70.400000000000006</v>
      </c>
      <c r="Q20" s="536"/>
    </row>
    <row r="21" spans="2:17" x14ac:dyDescent="0.2">
      <c r="B21" s="1080"/>
      <c r="C21" s="551" t="s">
        <v>299</v>
      </c>
      <c r="D21" s="546">
        <v>100</v>
      </c>
      <c r="E21" s="534"/>
      <c r="F21" s="535">
        <f t="shared" ref="F21:F28" si="0">F5*$F$16</f>
        <v>54</v>
      </c>
      <c r="G21" s="534"/>
      <c r="H21" s="533">
        <f>H5*$H$16</f>
        <v>115.2</v>
      </c>
      <c r="I21" s="534"/>
      <c r="J21" s="534"/>
      <c r="K21" s="533">
        <f t="shared" ref="K21:K25" si="1">K5*$K$16</f>
        <v>161</v>
      </c>
      <c r="L21" s="533">
        <f t="shared" ref="L21:L24" si="2">L5*$L$16</f>
        <v>115.2</v>
      </c>
      <c r="M21" s="534"/>
      <c r="N21" s="533">
        <f t="shared" ref="N21:N29" si="3">N5*$N$16</f>
        <v>115.2</v>
      </c>
      <c r="O21" s="534"/>
      <c r="P21" s="533">
        <f t="shared" ref="P21:P24" si="4">P5*$P$16</f>
        <v>115.2</v>
      </c>
      <c r="Q21" s="536"/>
    </row>
    <row r="22" spans="2:17" x14ac:dyDescent="0.2">
      <c r="B22" s="1080"/>
      <c r="C22" s="551" t="s">
        <v>300</v>
      </c>
      <c r="D22" s="546">
        <v>100</v>
      </c>
      <c r="E22" s="534"/>
      <c r="F22" s="535">
        <f t="shared" si="0"/>
        <v>54</v>
      </c>
      <c r="G22" s="534"/>
      <c r="H22" s="533">
        <f>H6*$H$16</f>
        <v>115.2</v>
      </c>
      <c r="I22" s="534"/>
      <c r="J22" s="534"/>
      <c r="K22" s="533">
        <f t="shared" si="1"/>
        <v>126</v>
      </c>
      <c r="L22" s="533">
        <f t="shared" si="2"/>
        <v>115.2</v>
      </c>
      <c r="M22" s="534"/>
      <c r="N22" s="533">
        <f t="shared" si="3"/>
        <v>115.2</v>
      </c>
      <c r="O22" s="534"/>
      <c r="P22" s="533">
        <f t="shared" si="4"/>
        <v>115.2</v>
      </c>
      <c r="Q22" s="536"/>
    </row>
    <row r="23" spans="2:17" x14ac:dyDescent="0.2">
      <c r="B23" s="1080"/>
      <c r="C23" s="551" t="s">
        <v>301</v>
      </c>
      <c r="D23" s="546">
        <v>84</v>
      </c>
      <c r="E23" s="534"/>
      <c r="F23" s="535">
        <f t="shared" si="0"/>
        <v>45</v>
      </c>
      <c r="G23" s="534"/>
      <c r="H23" s="533">
        <f>H7*$H$16</f>
        <v>96</v>
      </c>
      <c r="I23" s="534"/>
      <c r="J23" s="534"/>
      <c r="K23" s="533">
        <f t="shared" si="1"/>
        <v>147</v>
      </c>
      <c r="L23" s="533">
        <f t="shared" si="2"/>
        <v>96</v>
      </c>
      <c r="M23" s="534"/>
      <c r="N23" s="533">
        <f t="shared" si="3"/>
        <v>96</v>
      </c>
      <c r="O23" s="534"/>
      <c r="P23" s="533">
        <f t="shared" si="4"/>
        <v>96</v>
      </c>
      <c r="Q23" s="536"/>
    </row>
    <row r="24" spans="2:17" x14ac:dyDescent="0.2">
      <c r="B24" s="1080"/>
      <c r="C24" s="551" t="s">
        <v>302</v>
      </c>
      <c r="D24" s="546">
        <v>112</v>
      </c>
      <c r="E24" s="534"/>
      <c r="F24" s="535">
        <f t="shared" si="0"/>
        <v>60</v>
      </c>
      <c r="G24" s="534"/>
      <c r="H24" s="533">
        <f>H8*$H$16</f>
        <v>32</v>
      </c>
      <c r="I24" s="533">
        <f>I8*$I$16</f>
        <v>105</v>
      </c>
      <c r="J24" s="534"/>
      <c r="K24" s="533">
        <f t="shared" si="1"/>
        <v>147</v>
      </c>
      <c r="L24" s="533">
        <f t="shared" si="2"/>
        <v>128</v>
      </c>
      <c r="M24" s="534"/>
      <c r="N24" s="533">
        <f t="shared" si="3"/>
        <v>32</v>
      </c>
      <c r="O24" s="537"/>
      <c r="P24" s="533">
        <f t="shared" si="4"/>
        <v>128</v>
      </c>
      <c r="Q24" s="536"/>
    </row>
    <row r="25" spans="2:17" x14ac:dyDescent="0.2">
      <c r="B25" s="1080"/>
      <c r="C25" s="551" t="s">
        <v>303</v>
      </c>
      <c r="D25" s="546">
        <v>56</v>
      </c>
      <c r="E25" s="534"/>
      <c r="F25" s="535">
        <f t="shared" si="0"/>
        <v>45</v>
      </c>
      <c r="G25" s="534"/>
      <c r="H25" s="534"/>
      <c r="I25" s="533">
        <f t="shared" ref="I25:I27" si="5">I9*$I$16</f>
        <v>140</v>
      </c>
      <c r="J25" s="533">
        <f>J9*$J$16</f>
        <v>64</v>
      </c>
      <c r="K25" s="533">
        <f t="shared" si="1"/>
        <v>70</v>
      </c>
      <c r="L25" s="534"/>
      <c r="M25" s="533">
        <f>M9*$M$16</f>
        <v>140</v>
      </c>
      <c r="N25" s="533">
        <f t="shared" si="3"/>
        <v>64</v>
      </c>
      <c r="O25" s="537"/>
      <c r="P25" s="534"/>
      <c r="Q25" s="538">
        <f>Q9*$Q$16</f>
        <v>140</v>
      </c>
    </row>
    <row r="26" spans="2:17" x14ac:dyDescent="0.2">
      <c r="B26" s="1080" t="s">
        <v>311</v>
      </c>
      <c r="C26" s="551" t="s">
        <v>304</v>
      </c>
      <c r="D26" s="546">
        <v>124</v>
      </c>
      <c r="E26" s="534"/>
      <c r="F26" s="535">
        <f t="shared" si="0"/>
        <v>66</v>
      </c>
      <c r="G26" s="534"/>
      <c r="H26" s="534"/>
      <c r="I26" s="533">
        <f t="shared" si="5"/>
        <v>154</v>
      </c>
      <c r="J26" s="533">
        <f t="shared" ref="J26:J29" si="6">J10*$J$16</f>
        <v>140.80000000000001</v>
      </c>
      <c r="K26" s="534"/>
      <c r="L26" s="534"/>
      <c r="M26" s="533">
        <f t="shared" ref="M26:M30" si="7">M10*$M$16</f>
        <v>147</v>
      </c>
      <c r="N26" s="533">
        <f t="shared" si="3"/>
        <v>140.80000000000001</v>
      </c>
      <c r="O26" s="534"/>
      <c r="P26" s="534"/>
      <c r="Q26" s="538">
        <f t="shared" ref="Q26:Q30" si="8">Q10*$Q$16</f>
        <v>147</v>
      </c>
    </row>
    <row r="27" spans="2:17" x14ac:dyDescent="0.2">
      <c r="B27" s="1080"/>
      <c r="C27" s="551" t="s">
        <v>305</v>
      </c>
      <c r="D27" s="546">
        <v>38</v>
      </c>
      <c r="E27" s="539">
        <f>E11*$E$16</f>
        <v>63</v>
      </c>
      <c r="F27" s="535">
        <f t="shared" si="0"/>
        <v>63</v>
      </c>
      <c r="G27" s="534"/>
      <c r="H27" s="533">
        <f>H11*$H$16</f>
        <v>32</v>
      </c>
      <c r="I27" s="533">
        <f t="shared" si="5"/>
        <v>84</v>
      </c>
      <c r="J27" s="533">
        <f t="shared" si="6"/>
        <v>102.4</v>
      </c>
      <c r="K27" s="534"/>
      <c r="L27" s="534"/>
      <c r="M27" s="533">
        <f t="shared" si="7"/>
        <v>147</v>
      </c>
      <c r="N27" s="533">
        <f t="shared" si="3"/>
        <v>102.4</v>
      </c>
      <c r="O27" s="534"/>
      <c r="P27" s="534"/>
      <c r="Q27" s="538">
        <f t="shared" si="8"/>
        <v>147</v>
      </c>
    </row>
    <row r="28" spans="2:17" x14ac:dyDescent="0.2">
      <c r="B28" s="1080"/>
      <c r="C28" s="551" t="s">
        <v>306</v>
      </c>
      <c r="D28" s="548"/>
      <c r="E28" s="539">
        <f t="shared" ref="E28:E30" si="9">E12*$E$16</f>
        <v>119</v>
      </c>
      <c r="F28" s="535">
        <f t="shared" si="0"/>
        <v>12</v>
      </c>
      <c r="G28" s="535">
        <f>G12*$G$16</f>
        <v>84</v>
      </c>
      <c r="H28" s="533">
        <f>H12*$H$16</f>
        <v>102.4</v>
      </c>
      <c r="I28" s="534"/>
      <c r="J28" s="533">
        <f t="shared" si="6"/>
        <v>102.4</v>
      </c>
      <c r="K28" s="534"/>
      <c r="L28" s="534"/>
      <c r="M28" s="533">
        <f t="shared" si="7"/>
        <v>112</v>
      </c>
      <c r="N28" s="533">
        <f t="shared" si="3"/>
        <v>102.4</v>
      </c>
      <c r="O28" s="534"/>
      <c r="P28" s="534"/>
      <c r="Q28" s="538">
        <f t="shared" si="8"/>
        <v>112</v>
      </c>
    </row>
    <row r="29" spans="2:17" x14ac:dyDescent="0.2">
      <c r="B29" s="1080"/>
      <c r="C29" s="551" t="s">
        <v>307</v>
      </c>
      <c r="D29" s="548"/>
      <c r="E29" s="539">
        <f t="shared" si="9"/>
        <v>154</v>
      </c>
      <c r="F29" s="534"/>
      <c r="G29" s="535">
        <f t="shared" ref="G29:G30" si="10">G13*$G$16</f>
        <v>154</v>
      </c>
      <c r="H29" s="533">
        <f>H13*$H$16</f>
        <v>134.4</v>
      </c>
      <c r="I29" s="534"/>
      <c r="J29" s="533">
        <f t="shared" si="6"/>
        <v>128</v>
      </c>
      <c r="K29" s="534"/>
      <c r="L29" s="534"/>
      <c r="M29" s="533">
        <f t="shared" si="7"/>
        <v>147</v>
      </c>
      <c r="N29" s="533">
        <f t="shared" si="3"/>
        <v>128</v>
      </c>
      <c r="O29" s="534"/>
      <c r="P29" s="534"/>
      <c r="Q29" s="538">
        <f t="shared" si="8"/>
        <v>147</v>
      </c>
    </row>
    <row r="30" spans="2:17" ht="15" thickBot="1" x14ac:dyDescent="0.25">
      <c r="B30" s="1081"/>
      <c r="C30" s="552" t="s">
        <v>308</v>
      </c>
      <c r="D30" s="549"/>
      <c r="E30" s="541">
        <f t="shared" si="9"/>
        <v>56</v>
      </c>
      <c r="F30" s="540"/>
      <c r="G30" s="542">
        <f t="shared" si="10"/>
        <v>147</v>
      </c>
      <c r="H30" s="540"/>
      <c r="I30" s="540"/>
      <c r="J30" s="540"/>
      <c r="K30" s="540"/>
      <c r="L30" s="543">
        <f t="shared" ref="L30" si="11">L14*$L$16</f>
        <v>6.4</v>
      </c>
      <c r="M30" s="543">
        <f t="shared" si="7"/>
        <v>147</v>
      </c>
      <c r="N30" s="540"/>
      <c r="O30" s="540"/>
      <c r="P30" s="543">
        <f t="shared" ref="P30" si="12">P14*$P$16</f>
        <v>6.4</v>
      </c>
      <c r="Q30" s="544">
        <f t="shared" si="8"/>
        <v>147</v>
      </c>
    </row>
  </sheetData>
  <mergeCells count="20">
    <mergeCell ref="P18:Q18"/>
    <mergeCell ref="N2:O2"/>
    <mergeCell ref="P2:Q2"/>
    <mergeCell ref="N18:O18"/>
    <mergeCell ref="B19:C19"/>
    <mergeCell ref="B20:B25"/>
    <mergeCell ref="B26:B30"/>
    <mergeCell ref="J2:K2"/>
    <mergeCell ref="L2:M2"/>
    <mergeCell ref="D18:E18"/>
    <mergeCell ref="F18:G18"/>
    <mergeCell ref="H18:I18"/>
    <mergeCell ref="J18:K18"/>
    <mergeCell ref="L18:M18"/>
    <mergeCell ref="F2:G2"/>
    <mergeCell ref="B4:B9"/>
    <mergeCell ref="B10:B14"/>
    <mergeCell ref="B3:C3"/>
    <mergeCell ref="D2:E2"/>
    <mergeCell ref="H2:I2"/>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E2155AF8726D44BD53D59EA0FED089" ma:contentTypeVersion="18" ma:contentTypeDescription="Crée un document." ma:contentTypeScope="" ma:versionID="85c92bfb600502baaeac9a902cb9f9c4">
  <xsd:schema xmlns:xsd="http://www.w3.org/2001/XMLSchema" xmlns:xs="http://www.w3.org/2001/XMLSchema" xmlns:p="http://schemas.microsoft.com/office/2006/metadata/properties" xmlns:ns2="0a29f275-95d5-4c98-a418-22eb01667c78" xmlns:ns3="ada32706-2fe3-47f6-933d-4c5ffaeaed01" targetNamespace="http://schemas.microsoft.com/office/2006/metadata/properties" ma:root="true" ma:fieldsID="cfd6dfdeac42b1c0bb0f9a1722505d5b" ns2:_="" ns3:_="">
    <xsd:import namespace="0a29f275-95d5-4c98-a418-22eb01667c78"/>
    <xsd:import namespace="ada32706-2fe3-47f6-933d-4c5ffaeaed0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9f275-95d5-4c98-a418-22eb01667c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aa141cfe-7933-482d-bbb8-97c86f16e511"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a32706-2fe3-47f6-933d-4c5ffaeaed01"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d0519279-afa0-4ad1-ad7d-5b6157afc9fe}" ma:internalName="TaxCatchAll" ma:showField="CatchAllData" ma:web="ada32706-2fe3-47f6-933d-4c5ffaeaed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29f275-95d5-4c98-a418-22eb01667c78">
      <Terms xmlns="http://schemas.microsoft.com/office/infopath/2007/PartnerControls"/>
    </lcf76f155ced4ddcb4097134ff3c332f>
    <TaxCatchAll xmlns="ada32706-2fe3-47f6-933d-4c5ffaeaed01" xsi:nil="true"/>
  </documentManagement>
</p:properties>
</file>

<file path=customXml/itemProps1.xml><?xml version="1.0" encoding="utf-8"?>
<ds:datastoreItem xmlns:ds="http://schemas.openxmlformats.org/officeDocument/2006/customXml" ds:itemID="{EB42981C-C9A4-4B56-BFA0-732CAD9AC07E}">
  <ds:schemaRefs>
    <ds:schemaRef ds:uri="http://schemas.microsoft.com/sharepoint/v3/contenttype/forms"/>
  </ds:schemaRefs>
</ds:datastoreItem>
</file>

<file path=customXml/itemProps2.xml><?xml version="1.0" encoding="utf-8"?>
<ds:datastoreItem xmlns:ds="http://schemas.openxmlformats.org/officeDocument/2006/customXml" ds:itemID="{028A9D0D-83D9-4EC3-8008-4B33DF6602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29f275-95d5-4c98-a418-22eb01667c78"/>
    <ds:schemaRef ds:uri="ada32706-2fe3-47f6-933d-4c5ffaeaed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171B93-778A-4B74-AA4C-E82CE9843E16}">
  <ds:schemaRefs>
    <ds:schemaRef ds:uri="http://purl.org/dc/dcmitype/"/>
    <ds:schemaRef ds:uri="ada32706-2fe3-47f6-933d-4c5ffaeaed01"/>
    <ds:schemaRef ds:uri="http://schemas.microsoft.com/office/2006/metadata/properties"/>
    <ds:schemaRef ds:uri="http://www.w3.org/XML/1998/namespace"/>
    <ds:schemaRef ds:uri="0a29f275-95d5-4c98-a418-22eb01667c78"/>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Calendrier rentrée 2025</vt:lpstr>
      <vt:lpstr>Modifications</vt:lpstr>
      <vt:lpstr>Volume</vt:lpstr>
      <vt:lpstr>Volume Mois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2025-07-21T15:52:33Z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0x010100F3E2155AF8726D44BD53D59EA0FED089</vt:lpwstr>
  </property>
  <property fmtid="{D5CDD505-2E9C-101B-9397-08002B2CF9AE}" pid="3" name="MediaServiceImageTags">
    <vt:lpwstr/>
  </property>
</Properties>
</file>